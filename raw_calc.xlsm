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tables/table1.xml" ContentType="application/vnd.openxmlformats-officedocument.spreadsheetml.table+xml"/>
  <Override PartName="/xl/drawings/drawing6.xml" ContentType="application/vnd.openxmlformats-officedocument.drawing+xml"/>
  <Override PartName="/xl/drawings/drawing7.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updateLinks="always" codeName="ThisWorkbook"/>
  <mc:AlternateContent xmlns:mc="http://schemas.openxmlformats.org/markup-compatibility/2006">
    <mc:Choice Requires="x15">
      <x15ac:absPath xmlns:x15ac="http://schemas.microsoft.com/office/spreadsheetml/2010/11/ac" url="C:\Users\10113120\Documents\pricing-calc\"/>
    </mc:Choice>
  </mc:AlternateContent>
  <xr:revisionPtr revIDLastSave="0" documentId="13_ncr:1_{F25CDF83-725D-44FE-B07D-FC102E70A7CB}" xr6:coauthVersionLast="47" xr6:coauthVersionMax="47" xr10:uidLastSave="{00000000-0000-0000-0000-000000000000}"/>
  <bookViews>
    <workbookView xWindow="28680" yWindow="-120" windowWidth="29040" windowHeight="15720" firstSheet="2" activeTab="10" xr2:uid="{00000000-000D-0000-FFFF-FFFF00000000}"/>
  </bookViews>
  <sheets>
    <sheet name="Improvements" sheetId="13" state="hidden" r:id="rId1"/>
    <sheet name="Table of Contents" sheetId="14" state="hidden" r:id="rId2"/>
    <sheet name="Output" sheetId="8" r:id="rId3"/>
    <sheet name="Pleats Calc" sheetId="10" state="hidden" r:id="rId4"/>
    <sheet name="Pricing Logic Pleats" sheetId="9" state="hidden" r:id="rId5"/>
    <sheet name="Panels-Links Calc" sheetId="12" state="hidden" r:id="rId6"/>
    <sheet name="Pricing Logic Panels-Links" sheetId="11" state="hidden" r:id="rId7"/>
    <sheet name="Pads Calc" sheetId="1" state="hidden" r:id="rId8"/>
    <sheet name="Pricing Logic Pads" sheetId="3" state="hidden" r:id="rId9"/>
    <sheet name="Sleeves Calc" sheetId="6" r:id="rId10"/>
    <sheet name="Pricing Logic Sleeves" sheetId="5" r:id="rId11"/>
    <sheet name="NAT Price" sheetId="15" r:id="rId12"/>
    <sheet name="Product Guide" sheetId="2" r:id="rId13"/>
    <sheet name="Sheet1" sheetId="4" r:id="rId14"/>
    <sheet name="Sheet2" sheetId="7" r:id="rId15"/>
  </sheets>
  <externalReferences>
    <externalReference r:id="rId16"/>
    <externalReference r:id="rId17"/>
    <externalReference r:id="rId18"/>
  </externalReferences>
  <definedNames>
    <definedName name="_xlnm._FilterDatabase" localSheetId="4" hidden="1">'Pricing Logic Pleats'!$A$1:$Q$65</definedName>
    <definedName name="Carton_price_pads">'Pads Calc'!$F$22</definedName>
    <definedName name="Carton_price_panelslinks">'Panels-Links Calc'!$E$28</definedName>
    <definedName name="Carton_Price_pleats">'Pleats Calc'!$F$24</definedName>
    <definedName name="Carton_price_sleeves">'Sleeves Calc'!$F$23</definedName>
    <definedName name="Carton_qty_pads">'Pads Calc'!$F$21</definedName>
    <definedName name="Carton_qty_panelslinks">'Panels-Links Calc'!$E$27</definedName>
    <definedName name="Carton_Qty_Pleats">'Pleats Calc'!$F$23</definedName>
    <definedName name="Carton_qty_sleeves">'Sleeves Calc'!$F$22</definedName>
    <definedName name="Choice1" localSheetId="11">_xlfn.ANCHORARRAY('[1]Pricing Logic Pads'!$AE$5)</definedName>
    <definedName name="Choice1" localSheetId="10">_xlfn.ANCHORARRAY('Pricing Logic Sleeves'!$AG$5)</definedName>
    <definedName name="Choice1">_xlfn.ANCHORARRAY('Pricing Logic Pads'!$AH$5)</definedName>
    <definedName name="Choice10" localSheetId="11">_xlfn.ANCHORARRAY('[1]Pricing Logic Pads'!$AE$14)</definedName>
    <definedName name="Choice10" localSheetId="10">_xlfn.ANCHORARRAY('Pricing Logic Sleeves'!$AG$14)</definedName>
    <definedName name="Choice10">_xlfn.ANCHORARRAY('Pricing Logic Pads'!$AH$14)</definedName>
    <definedName name="Choice2" localSheetId="11">_xlfn.ANCHORARRAY('[1]Pricing Logic Pads'!$AE$6)</definedName>
    <definedName name="Choice2" localSheetId="10">_xlfn.ANCHORARRAY('Pricing Logic Sleeves'!$AG$6)</definedName>
    <definedName name="Choice2">_xlfn.ANCHORARRAY('Pricing Logic Pads'!$AH$6)</definedName>
    <definedName name="Choice3" localSheetId="11">_xlfn.ANCHORARRAY('[1]Pricing Logic Pads'!$AE$7)</definedName>
    <definedName name="Choice3" localSheetId="10">_xlfn.ANCHORARRAY('Pricing Logic Sleeves'!$AG$7)</definedName>
    <definedName name="Choice3">_xlfn.ANCHORARRAY('Pricing Logic Pads'!$AH$7)</definedName>
    <definedName name="Choice4" localSheetId="11">_xlfn.ANCHORARRAY('[1]Pricing Logic Pads'!$AE$8)</definedName>
    <definedName name="Choice4" localSheetId="10">_xlfn.ANCHORARRAY('Pricing Logic Sleeves'!$AG$8)</definedName>
    <definedName name="Choice4">_xlfn.ANCHORARRAY('Pricing Logic Pads'!$AH$8)</definedName>
    <definedName name="Choice5" localSheetId="11">_xlfn.ANCHORARRAY('[1]Pricing Logic Pads'!$AE$9)</definedName>
    <definedName name="Choice5" localSheetId="10">_xlfn.ANCHORARRAY('Pricing Logic Sleeves'!$AG$9)</definedName>
    <definedName name="Choice5">_xlfn.ANCHORARRAY('Pricing Logic Pads'!$AH$9)</definedName>
    <definedName name="Choice6" localSheetId="11">_xlfn.ANCHORARRAY('[1]Pricing Logic Pads'!$AE$10)</definedName>
    <definedName name="Choice6" localSheetId="10">_xlfn.ANCHORARRAY('Pricing Logic Sleeves'!$AG$10)</definedName>
    <definedName name="Choice6">_xlfn.ANCHORARRAY('Pricing Logic Pads'!$AH$10)</definedName>
    <definedName name="Choice7" localSheetId="11">_xlfn.ANCHORARRAY('[1]Pricing Logic Pads'!$AE$11)</definedName>
    <definedName name="Choice7" localSheetId="10">_xlfn.ANCHORARRAY('Pricing Logic Sleeves'!$AG$11)</definedName>
    <definedName name="Choice7">_xlfn.ANCHORARRAY('Pricing Logic Pads'!$AH$11)</definedName>
    <definedName name="Choice8" localSheetId="11">_xlfn.ANCHORARRAY('[1]Pricing Logic Pads'!$AE$12)</definedName>
    <definedName name="Choice8" localSheetId="10">_xlfn.ANCHORARRAY('Pricing Logic Sleeves'!$AG$12)</definedName>
    <definedName name="Choice8">_xlfn.ANCHORARRAY('Pricing Logic Pads'!$AH$12)</definedName>
    <definedName name="Choice9" localSheetId="11">_xlfn.ANCHORARRAY('[1]Pricing Logic Pads'!$AE$13)</definedName>
    <definedName name="Choice9" localSheetId="10">_xlfn.ANCHORARRAY('Pricing Logic Sleeves'!$AG$13)</definedName>
    <definedName name="Choice9">_xlfn.ANCHORARRAY('Pricing Logic Pads'!$AH$13)</definedName>
    <definedName name="Double_11204_1" localSheetId="11">'[1]Pricing Logic Pleats'!$H$9:$H$15</definedName>
    <definedName name="Double_11204_1">'Pricing Logic Pleats'!$H$9:$H$15</definedName>
    <definedName name="Double_11204_2" localSheetId="11">'[1]Pricing Logic Pleats'!$L$9:$L$15</definedName>
    <definedName name="Double_11204_2">'Pricing Logic Pleats'!$L$9:$L$15</definedName>
    <definedName name="Double_12204_1" localSheetId="11">'[1]Pricing Logic Pleats'!$H$23:$H$29</definedName>
    <definedName name="Double_12204_1">'Pricing Logic Pleats'!$H$23:$H$29</definedName>
    <definedName name="Double_12204_2" localSheetId="11">'[1]Pricing Logic Pleats'!$L$23:$L$29</definedName>
    <definedName name="Double_12204_2">'Pricing Logic Pleats'!$L$23:$L$29</definedName>
    <definedName name="Double_21508_1">'Pricing Logic Pleats'!$H$120:$H$125</definedName>
    <definedName name="Double_21508_2">'Pricing Logic Pleats'!$L$120:$L$125</definedName>
    <definedName name="Double_21508_4">'Pricing Logic Pleats'!$P$120:$P$125</definedName>
    <definedName name="Double_23209_1" localSheetId="11">'[1]Pricing Logic Pleats'!$H$78:$H$83</definedName>
    <definedName name="Double_23209_1">'Pricing Logic Pleats'!$H$78:$H$83</definedName>
    <definedName name="Double_23209_2" localSheetId="11">'[1]Pricing Logic Pleats'!$L$78:$L$83</definedName>
    <definedName name="Double_23209_2">'Pricing Logic Pleats'!$L$78:$L$83</definedName>
    <definedName name="Double_23209_4" localSheetId="11">'[1]Pricing Logic Pleats'!$P$78:$P$83</definedName>
    <definedName name="Double_23209_4">'Pricing Logic Pleats'!$P$78:$P$83</definedName>
    <definedName name="Double_23210_1" localSheetId="11">'[1]Pricing Logic Pleats'!$H$90:$H$95</definedName>
    <definedName name="Double_23210_1">'Pricing Logic Pleats'!$H$90:$H$95</definedName>
    <definedName name="Double_23210_2" localSheetId="11">'[1]Pricing Logic Pleats'!$L$90:$L$95</definedName>
    <definedName name="Double_23210_2">'Pricing Logic Pleats'!$L$90:$L$95</definedName>
    <definedName name="Double_23210_4" localSheetId="11">'[1]Pricing Logic Pleats'!$P$90:$P$95</definedName>
    <definedName name="Double_23210_4">'Pricing Logic Pleats'!$P$90:$P$95</definedName>
    <definedName name="Double_23211_1" localSheetId="11">'[1]Pricing Logic Pleats'!$H$102:$H$107</definedName>
    <definedName name="Double_23211_1">'Pricing Logic Pleats'!$H$102:$H$107</definedName>
    <definedName name="Double_23211_2" localSheetId="11">'[1]Pricing Logic Pleats'!$L$102:$L$107</definedName>
    <definedName name="Double_23211_2">'Pricing Logic Pleats'!$L$102:$L$107</definedName>
    <definedName name="Double_23211_4" localSheetId="11">'[1]Pricing Logic Pleats'!$P$102:$P$107</definedName>
    <definedName name="Double_23211_4">'Pricing Logic Pleats'!$P$102:$P$107</definedName>
    <definedName name="Double_23213_1" localSheetId="11">'[1]Pricing Logic Pleats'!$H$114:$H$119</definedName>
    <definedName name="Double_23213_1">'Pricing Logic Pleats'!$H$114:$H$119</definedName>
    <definedName name="Double_23213_2" localSheetId="11">'[1]Pricing Logic Pleats'!$L$114:$L$119</definedName>
    <definedName name="Double_23213_2">'Pricing Logic Pleats'!$L$114:$L$119</definedName>
    <definedName name="Double_23213_4" localSheetId="11">'[1]Pricing Logic Pleats'!$P$114:$P$119</definedName>
    <definedName name="Double_23213_4">'Pricing Logic Pleats'!$P$114:$P$119</definedName>
    <definedName name="Double_23309_1" localSheetId="11">'[1]Pricing Logic Pleats'!$H$84:$H$89</definedName>
    <definedName name="Double_23309_1">'Pricing Logic Pleats'!$H$84:$H$89</definedName>
    <definedName name="Double_23309_2" localSheetId="11">'[1]Pricing Logic Pleats'!$L$84:$L$89</definedName>
    <definedName name="Double_23309_2">'Pricing Logic Pleats'!$L$84:$L$89</definedName>
    <definedName name="Double_23309_4" localSheetId="11">'[1]Pricing Logic Pleats'!$P$84:$P$89</definedName>
    <definedName name="Double_23309_4">'Pricing Logic Pleats'!$P$84:$P$89</definedName>
    <definedName name="Double_23310_1" localSheetId="11">'[1]Pricing Logic Pleats'!$H$96:$H$101</definedName>
    <definedName name="Double_23310_1">'Pricing Logic Pleats'!$H$96:$H$101</definedName>
    <definedName name="Double_23310_2" localSheetId="11">'[1]Pricing Logic Pleats'!$L$96:$L$101</definedName>
    <definedName name="Double_23310_2">'Pricing Logic Pleats'!$L$96:$L$101</definedName>
    <definedName name="Double_23310_4" localSheetId="11">'[1]Pricing Logic Pleats'!$P$96:$P$101</definedName>
    <definedName name="Double_23310_4">'Pricing Logic Pleats'!$P$96:$P$101</definedName>
    <definedName name="Double_23311_1" localSheetId="11">'[1]Pricing Logic Pleats'!$H$108:$H$113</definedName>
    <definedName name="Double_23311_1">'Pricing Logic Pleats'!$H$108:$H$113</definedName>
    <definedName name="Double_23311_2" localSheetId="11">'[1]Pricing Logic Pleats'!$L$108:$L$113</definedName>
    <definedName name="Double_23311_2">'Pricing Logic Pleats'!$L$108:$L$113</definedName>
    <definedName name="Double_23311_4" localSheetId="11">'[1]Pricing Logic Pleats'!$P$108:$P$113</definedName>
    <definedName name="Double_23311_4">'Pricing Logic Pleats'!$P$108:$P$113</definedName>
    <definedName name="MASTER" localSheetId="5">[2]MASTER!$A$1:$H$10919</definedName>
    <definedName name="MASTER" localSheetId="6">[2]MASTER!$A$1:$H$10919</definedName>
    <definedName name="MASTER">[3]MASTER!$A:$I</definedName>
    <definedName name="max_031_25_25">'Pricing Logic Panels-Links'!$F$3:$F$10</definedName>
    <definedName name="max_031_25_48">'Pricing Logic Panels-Links'!$F$11:$F$17</definedName>
    <definedName name="max_031_25_78">'Pricing Logic Panels-Links'!$F$18:$F$25</definedName>
    <definedName name="max_031_34_78">'Pricing Logic Panels-Links'!$F$26:$F$38</definedName>
    <definedName name="max_031_52_78">'Pricing Logic Panels-Links'!$F$39:$F$44</definedName>
    <definedName name="max_050_25_25">'Pricing Logic Panels-Links'!$F$45:$F$52</definedName>
    <definedName name="max_050_25_48">'Pricing Logic Panels-Links'!$F$53:$F$59</definedName>
    <definedName name="max_050_25_78">'Pricing Logic Panels-Links'!$F$60:$F$67</definedName>
    <definedName name="max_050_34_78">'Pricing Logic Panels-Links'!$F$68:$F$80</definedName>
    <definedName name="max_050_52_78">'Pricing Logic Panels-Links'!$F$81:$F$87</definedName>
    <definedName name="max_054_25_25">'Pricing Logic Panels-Links'!$F$88:$F$95</definedName>
    <definedName name="max_054_25_48">'Pricing Logic Panels-Links'!$F$96:$F$102</definedName>
    <definedName name="max_054_25_78">'Pricing Logic Panels-Links'!$F$103:$F$110</definedName>
    <definedName name="max_054_34_78">'Pricing Logic Panels-Links'!$F$111:$F$123</definedName>
    <definedName name="max_054_52_78">'Pricing Logic Panels-Links'!$F$124:$F$130</definedName>
    <definedName name="max_056_25_25">'Pricing Logic Panels-Links'!$F$131:$F$138</definedName>
    <definedName name="max_056_25_48">'Pricing Logic Panels-Links'!$F$139:$F$145</definedName>
    <definedName name="max_056_25_78">'Pricing Logic Panels-Links'!$F$146:$F$153</definedName>
    <definedName name="max_056_34_78">'Pricing Logic Panels-Links'!$F$154:$F$166</definedName>
    <definedName name="max_056_52_78">'Pricing Logic Panels-Links'!$F$167:$F$173</definedName>
    <definedName name="max_070" localSheetId="11">'[1]Pricing Logic Sleeves'!$E$2:$E$74</definedName>
    <definedName name="max_070">'Pricing Logic Sleeves'!$E$2:$E$74</definedName>
    <definedName name="max_11204" localSheetId="11">'[1]Pricing Logic Pleats'!$C$9:$C$15</definedName>
    <definedName name="max_11204">'Pricing Logic Pleats'!$C$9:$C$15</definedName>
    <definedName name="max_12204" localSheetId="11">'[1]Pricing Logic Pleats'!$C$23:$C$29</definedName>
    <definedName name="max_12204">'Pricing Logic Pleats'!$C$23:$C$29</definedName>
    <definedName name="max_130" localSheetId="11">'[1]Pricing Logic Pads'!$E$36:$E$69</definedName>
    <definedName name="max_130">'Pricing Logic Pads'!$E$36:$E$69</definedName>
    <definedName name="max_132" localSheetId="11">'[1]Pricing Logic Pads'!$E$2:$E$35</definedName>
    <definedName name="max_132">'Pricing Logic Pads'!$E$2:$E$35</definedName>
    <definedName name="max_134" localSheetId="11">'[1]Pricing Logic Pads'!$E$70:$E$103</definedName>
    <definedName name="max_134">'Pricing Logic Pads'!$E$70:$E$103</definedName>
    <definedName name="max_136" localSheetId="11">'[1]Pricing Logic Pads'!$E$104:$E$137</definedName>
    <definedName name="max_136">'Pricing Logic Pads'!$E$104:$E$137</definedName>
    <definedName name="max_140" localSheetId="11">'[1]Pricing Logic Pads'!$E$240:$E$273</definedName>
    <definedName name="max_140">'Pricing Logic Pads'!$E$240:$E$273</definedName>
    <definedName name="max_143" localSheetId="11">'[1]Pricing Logic Pads'!$E$274:$E$307</definedName>
    <definedName name="max_143">'Pricing Logic Pads'!$E$274:$E$307</definedName>
    <definedName name="max_152" localSheetId="11">'[1]Pricing Logic Pads'!$E$138:$E$171</definedName>
    <definedName name="max_152">'Pricing Logic Pads'!$E$138:$E$171</definedName>
    <definedName name="max_170" localSheetId="11">'[1]Pricing Logic Pads'!$E$206:$E$239</definedName>
    <definedName name="max_170">'Pricing Logic Pads'!$E$206:$E$239</definedName>
    <definedName name="max_176" localSheetId="11">'[1]Pricing Logic Pads'!$E$172:$E$205</definedName>
    <definedName name="max_176">'Pricing Logic Pads'!$E$172:$E$205</definedName>
    <definedName name="max_21508">'Pricing Logic Pleats'!$C$120:$C$125</definedName>
    <definedName name="max_23209" localSheetId="11">'[1]Pricing Logic Pleats'!$C$78:$C$83</definedName>
    <definedName name="max_23209">'Pricing Logic Pleats'!$C$78:$C$83</definedName>
    <definedName name="max_23210" localSheetId="11">'[1]Pricing Logic Pleats'!$C$90:$C$95</definedName>
    <definedName name="max_23210">'Pricing Logic Pleats'!$C$90:$C$95</definedName>
    <definedName name="max_23211" localSheetId="11">'[1]Pricing Logic Pleats'!$C$102:$C$107</definedName>
    <definedName name="max_23211">'Pricing Logic Pleats'!$C$102:$C$107</definedName>
    <definedName name="max_23213" localSheetId="11">'[1]Pricing Logic Pleats'!$C$114:$C$119</definedName>
    <definedName name="max_23213">'Pricing Logic Pleats'!$C$114:$C$119</definedName>
    <definedName name="max_23309" localSheetId="11">'[1]Pricing Logic Pleats'!$C$84:$C$89</definedName>
    <definedName name="max_23309">'Pricing Logic Pleats'!$C$84:$C$89</definedName>
    <definedName name="max_23310" localSheetId="11">'[1]Pricing Logic Pleats'!$C$96:$C$101</definedName>
    <definedName name="max_23310">'Pricing Logic Pleats'!$C$96:$C$101</definedName>
    <definedName name="max_23311" localSheetId="11">'[1]Pricing Logic Pleats'!$C$108:$C$113</definedName>
    <definedName name="max_23311">'Pricing Logic Pleats'!$C$108:$C$113</definedName>
    <definedName name="min_031_25_25">'Pricing Logic Panels-Links'!$E$3:$E$10</definedName>
    <definedName name="min_031_25_48">'Pricing Logic Panels-Links'!$E$11:$E$17</definedName>
    <definedName name="min_031_25_78">'Pricing Logic Panels-Links'!$E$18:$E$25</definedName>
    <definedName name="min_031_34_78">'Pricing Logic Panels-Links'!$E$26:$E$38</definedName>
    <definedName name="min_031_52_78">'Pricing Logic Panels-Links'!$E$39:$E$44</definedName>
    <definedName name="min_050_25_25">'Pricing Logic Panels-Links'!$E$45:$E$52</definedName>
    <definedName name="min_050_25_48">'Pricing Logic Panels-Links'!$E$53:$E$59</definedName>
    <definedName name="min_050_25_78">'Pricing Logic Panels-Links'!$E$60:$E$67</definedName>
    <definedName name="min_050_34_78">'Pricing Logic Panels-Links'!$E$68:$E$80</definedName>
    <definedName name="min_050_52_78">'Pricing Logic Panels-Links'!$E$81:$E$87</definedName>
    <definedName name="min_054_25_25">'Pricing Logic Panels-Links'!$E$88:$E$95</definedName>
    <definedName name="min_054_25_48">'Pricing Logic Panels-Links'!$E$96:$E$102</definedName>
    <definedName name="min_054_25_78">'Pricing Logic Panels-Links'!$E$103:$E$110</definedName>
    <definedName name="min_054_34_78">'Pricing Logic Panels-Links'!$E$111:$E$123</definedName>
    <definedName name="min_054_52_78">'Pricing Logic Panels-Links'!$E$124:$E$130</definedName>
    <definedName name="min_056_25_25">'Pricing Logic Panels-Links'!$E$131:$E$138</definedName>
    <definedName name="min_056_25_48">'Pricing Logic Panels-Links'!$E$139:$E$145</definedName>
    <definedName name="min_056_25_78">'Pricing Logic Panels-Links'!$E$146:$E$153</definedName>
    <definedName name="min_056_34_78">'Pricing Logic Panels-Links'!$E$154:$E$166</definedName>
    <definedName name="min_056_52_78">'Pricing Logic Panels-Links'!$E$167:$E$173</definedName>
    <definedName name="min_070" localSheetId="11">'[1]Pricing Logic Sleeves'!$D$2:$D$74</definedName>
    <definedName name="min_070">'Pricing Logic Sleeves'!$D$2:$D$74</definedName>
    <definedName name="min_11204" localSheetId="11">'[1]Pricing Logic Pleats'!$B$9:$B$15</definedName>
    <definedName name="min_11204">'Pricing Logic Pleats'!$B$9:$B$15</definedName>
    <definedName name="min_12204" localSheetId="11">'[1]Pricing Logic Pleats'!$B$23:$B$29</definedName>
    <definedName name="min_12204">'Pricing Logic Pleats'!$B$23:$B$29</definedName>
    <definedName name="min_130" localSheetId="11">'[1]Pricing Logic Pads'!$D$36:$D$69</definedName>
    <definedName name="min_130">'Pricing Logic Pads'!$D$36:$D$69</definedName>
    <definedName name="min_132" localSheetId="11">'[1]Pricing Logic Pads'!$D$2:$D$35</definedName>
    <definedName name="min_132">'Pricing Logic Pads'!$D$2:$D$35</definedName>
    <definedName name="min_134" localSheetId="11">'[1]Pricing Logic Pads'!$D$70:$D$103</definedName>
    <definedName name="min_134">'Pricing Logic Pads'!$D$70:$D$103</definedName>
    <definedName name="min_136" localSheetId="11">'[1]Pricing Logic Pads'!$D$104:$D$137</definedName>
    <definedName name="min_136">'Pricing Logic Pads'!$D$104:$D$137</definedName>
    <definedName name="min_140" localSheetId="11">'[1]Pricing Logic Pads'!$D$240:$D$273</definedName>
    <definedName name="min_140">'Pricing Logic Pads'!$D$240:$D$273</definedName>
    <definedName name="min_143" localSheetId="11">'[1]Pricing Logic Pads'!$D$274:$D$307</definedName>
    <definedName name="min_143">'Pricing Logic Pads'!$D$274:$D$307</definedName>
    <definedName name="min_152" localSheetId="11">'[1]Pricing Logic Pads'!$D$138:$D$171</definedName>
    <definedName name="min_152">'Pricing Logic Pads'!$D$138:$D$171</definedName>
    <definedName name="min_170" localSheetId="11">'[1]Pricing Logic Pads'!$D$206:$D$239</definedName>
    <definedName name="min_170">'Pricing Logic Pads'!$D$206:$D$239</definedName>
    <definedName name="min_176" localSheetId="11">'[1]Pricing Logic Pads'!$D$172:$D$205</definedName>
    <definedName name="min_176">'Pricing Logic Pads'!$D$172:$D$205</definedName>
    <definedName name="min_21508">'Pricing Logic Pleats'!$B$120:$B$125</definedName>
    <definedName name="min_23209" localSheetId="11">'[1]Pricing Logic Pleats'!$B$78:$B$83</definedName>
    <definedName name="min_23209">'Pricing Logic Pleats'!$B$78:$B$83</definedName>
    <definedName name="min_23210" localSheetId="11">'[1]Pricing Logic Pleats'!$B$90:$B$95</definedName>
    <definedName name="min_23210">'Pricing Logic Pleats'!$B$90:$B$95</definedName>
    <definedName name="min_23211" localSheetId="11">'[1]Pricing Logic Pleats'!$B$102:$B$107</definedName>
    <definedName name="min_23211">'Pricing Logic Pleats'!$B$102:$B$107</definedName>
    <definedName name="min_23213" localSheetId="11">'[1]Pricing Logic Pleats'!$B$114:$B$119</definedName>
    <definedName name="min_23213">'Pricing Logic Pleats'!$B$114:$B$119</definedName>
    <definedName name="min_23309" localSheetId="11">'[1]Pricing Logic Pleats'!$B$84:$B$89</definedName>
    <definedName name="min_23309">'Pricing Logic Pleats'!$B$84:$B$89</definedName>
    <definedName name="min_23310" localSheetId="11">'[1]Pricing Logic Pleats'!$B$96:$B$101</definedName>
    <definedName name="min_23310">'Pricing Logic Pleats'!$B$96:$B$101</definedName>
    <definedName name="min_23311" localSheetId="11">'[1]Pricing Logic Pleats'!$B$108:$B$113</definedName>
    <definedName name="min_23311">'Pricing Logic Pleats'!$B$108:$B$113</definedName>
    <definedName name="Part_Number_pads">'Pads Calc'!$F$15</definedName>
    <definedName name="Part_Number_panelslinks">'Panels-Links Calc'!$E$23</definedName>
    <definedName name="Part_Number_Pleats">'Pleats Calc'!$F$19</definedName>
    <definedName name="Part_Number_sleeves">'Sleeves Calc'!$F$16</definedName>
    <definedName name="price_050_25_25">'Pricing Logic Panels-Links'!$G$45:$G$52</definedName>
    <definedName name="price_050_25_48">'Pricing Logic Panels-Links'!$G$53:$G$59</definedName>
    <definedName name="price_050_25_78">'Pricing Logic Panels-Links'!$G$60:$G$67</definedName>
    <definedName name="price_050_34_78">'Pricing Logic Panels-Links'!$G$68:$G$80</definedName>
    <definedName name="price_050_52_78">'Pricing Logic Panels-Links'!$G$81:$G$87</definedName>
    <definedName name="price_054_25_25">'Pricing Logic Panels-Links'!$G$88:$G$95</definedName>
    <definedName name="price_054_25_48">'Pricing Logic Panels-Links'!$G$96:$G$102</definedName>
    <definedName name="price_054_25_78">'Pricing Logic Panels-Links'!$G$103:$G$110</definedName>
    <definedName name="price_054_34_78">'Pricing Logic Panels-Links'!$G$111:$G$123</definedName>
    <definedName name="price_054_52_78">'Pricing Logic Panels-Links'!$G$124:$G$130</definedName>
    <definedName name="price_056_25_25">'Pricing Logic Panels-Links'!$G$131:$G$138</definedName>
    <definedName name="price_056_25_48">'Pricing Logic Panels-Links'!$G$139:$G$145</definedName>
    <definedName name="price_056_25_78">'Pricing Logic Panels-Links'!$G$146:$G$153</definedName>
    <definedName name="price_056_34_78">'Pricing Logic Panels-Links'!$G$154:$G$166</definedName>
    <definedName name="price_056_52_78">'Pricing Logic Panels-Links'!$G$167:$G$173</definedName>
    <definedName name="price_070" localSheetId="11">'[1]Pricing Logic Sleeves'!$F$2:$F$74</definedName>
    <definedName name="price_070">'Pricing Logic Sleeves'!$F$2:$F$74</definedName>
    <definedName name="price_070_at" localSheetId="11">'[1]Pricing Logic Sleeves'!$G$2:$G$74</definedName>
    <definedName name="price_070_at">'Pricing Logic Sleeves'!$G$2:$G$74</definedName>
    <definedName name="price_130" localSheetId="11">'[1]Pricing Logic Pads'!$F$36:$F$69</definedName>
    <definedName name="price_130">'Pricing Logic Pads'!$F$36:$F$69</definedName>
    <definedName name="price_130_at" localSheetId="11">'[1]Pricing Logic Pads'!$G$36:$G$69</definedName>
    <definedName name="price_130_at">'Pricing Logic Pads'!$G$36:$G$69</definedName>
    <definedName name="price_132" localSheetId="11">'[1]Pricing Logic Pads'!$F$2:$F$35</definedName>
    <definedName name="price_132">'Pricing Logic Pads'!$F$2:$F$35</definedName>
    <definedName name="price_134" localSheetId="11">'[1]Pricing Logic Pads'!$F$70:$F$103</definedName>
    <definedName name="price_134">'Pricing Logic Pads'!$F$70:$F$103</definedName>
    <definedName name="price_136" localSheetId="11">'[1]Pricing Logic Pads'!$F$104:$F$137</definedName>
    <definedName name="price_136">'Pricing Logic Pads'!$F$104:$F$137</definedName>
    <definedName name="price_140" localSheetId="11">'[1]Pricing Logic Pads'!$F$240:$F$273</definedName>
    <definedName name="price_140">'Pricing Logic Pads'!$F$240:$F$273</definedName>
    <definedName name="price_140_at" localSheetId="11">'[1]Pricing Logic Pads'!$G$240:$G$273</definedName>
    <definedName name="price_140_at">'Pricing Logic Pads'!$G$240:$G$273</definedName>
    <definedName name="price_143" localSheetId="11">'[1]Pricing Logic Pads'!$F$274:$F$307</definedName>
    <definedName name="price_143">'Pricing Logic Pads'!$F$274:$F$307</definedName>
    <definedName name="price_143_at" localSheetId="11">'[1]Pricing Logic Pads'!$G$274:$G$307</definedName>
    <definedName name="price_143_at">'Pricing Logic Pads'!$G$274:$G$307</definedName>
    <definedName name="price_152" localSheetId="11">'[1]Pricing Logic Pads'!$F$138:$F$171</definedName>
    <definedName name="price_152">'Pricing Logic Pads'!$F$138:$F$171</definedName>
    <definedName name="price_170" localSheetId="11">'[1]Pricing Logic Pads'!$F$206:$F$239</definedName>
    <definedName name="price_170">'Pricing Logic Pads'!$F$206:$F$239</definedName>
    <definedName name="price_176" localSheetId="11">'[1]Pricing Logic Pads'!$F$172:$F$205</definedName>
    <definedName name="price_176">'Pricing Logic Pads'!$F$172:$F$205</definedName>
    <definedName name="Price_pads" localSheetId="11">'[1]Pads Calc'!$F$17</definedName>
    <definedName name="Price_pads">'Pads Calc'!$F$17</definedName>
    <definedName name="Price_panelslinks">'Panels-Links Calc'!$E$25</definedName>
    <definedName name="Price_Pleats">'Pleats Calc'!$F$21</definedName>
    <definedName name="Price_sleeves">'Sleeves Calc'!$F$18</definedName>
    <definedName name="Product_Family_pads">'Pads Calc'!$F$7</definedName>
    <definedName name="Product_Family_panelslinks">'Panels-Links Calc'!$E$7</definedName>
    <definedName name="Product_Family_Pleats">'Pleats Calc'!$F$7</definedName>
    <definedName name="Product_Family_sleeves">'Sleeves Calc'!$F$8</definedName>
    <definedName name="Single_11204_1" localSheetId="11">'[1]Pricing Logic Pleats'!$G$9:$G$15</definedName>
    <definedName name="Single_11204_1">'Pricing Logic Pleats'!$G$9:$G$15</definedName>
    <definedName name="Single_11204_2" localSheetId="11">'[1]Pricing Logic Pleats'!$K$9:$K$15</definedName>
    <definedName name="Single_11204_2">'Pricing Logic Pleats'!$K$9:$K$15</definedName>
    <definedName name="Single_12204_1" localSheetId="11">'[1]Pricing Logic Pleats'!$G$23:$G$29</definedName>
    <definedName name="Single_12204_1">'Pricing Logic Pleats'!$G$23:$G$29</definedName>
    <definedName name="Single_12204_2" localSheetId="11">'[1]Pricing Logic Pleats'!$K$23:$K$29</definedName>
    <definedName name="Single_12204_2">'Pricing Logic Pleats'!$K$23:$K$29</definedName>
    <definedName name="Single_21508_1">'Pricing Logic Pleats'!$G$120:$G$125</definedName>
    <definedName name="Single_21508_2">'Pricing Logic Pleats'!$K$120:$K$125</definedName>
    <definedName name="Single_21508_4">'Pricing Logic Pleats'!$O$120:$O$125</definedName>
    <definedName name="Single_23209_1" localSheetId="11">'[1]Pricing Logic Pleats'!$G$78:$G$83</definedName>
    <definedName name="Single_23209_1">'Pricing Logic Pleats'!$G$78:$G$83</definedName>
    <definedName name="Single_23209_2" localSheetId="11">'[1]Pricing Logic Pleats'!$K$78:$K$83</definedName>
    <definedName name="Single_23209_2">'Pricing Logic Pleats'!$K$78:$K$83</definedName>
    <definedName name="Single_23209_4" localSheetId="11">'[1]Pricing Logic Pleats'!$O$78:$O$83</definedName>
    <definedName name="Single_23209_4">'Pricing Logic Pleats'!$O$78:$O$83</definedName>
    <definedName name="Single_23210_1" localSheetId="11">'[1]Pricing Logic Pleats'!$G$90:$G$95</definedName>
    <definedName name="Single_23210_1">'Pricing Logic Pleats'!$G$90:$G$95</definedName>
    <definedName name="Single_23210_2" localSheetId="11">'[1]Pricing Logic Pleats'!$K$90:$K$95</definedName>
    <definedName name="Single_23210_2">'Pricing Logic Pleats'!$K$90:$K$95</definedName>
    <definedName name="Single_23210_4" localSheetId="11">'[1]Pricing Logic Pleats'!$O$90:$O$95</definedName>
    <definedName name="Single_23210_4">'Pricing Logic Pleats'!$O$90:$O$95</definedName>
    <definedName name="Single_23211_1" localSheetId="11">'[1]Pricing Logic Pleats'!$G$102:$G$107</definedName>
    <definedName name="Single_23211_1">'Pricing Logic Pleats'!$G$102:$G$107</definedName>
    <definedName name="Single_23211_2" localSheetId="11">'[1]Pricing Logic Pleats'!$K$102:$K$107</definedName>
    <definedName name="Single_23211_2">'Pricing Logic Pleats'!$K$102:$K$107</definedName>
    <definedName name="Single_23211_4" localSheetId="11">'[1]Pricing Logic Pleats'!$O$102:$O$107</definedName>
    <definedName name="Single_23211_4">'Pricing Logic Pleats'!$O$102:$O$107</definedName>
    <definedName name="Single_23213_1" localSheetId="11">'[1]Pricing Logic Pleats'!$G$114:$G$119</definedName>
    <definedName name="Single_23213_1">'Pricing Logic Pleats'!$G$114:$G$119</definedName>
    <definedName name="Single_23213_2" localSheetId="11">'[1]Pricing Logic Pleats'!$K$114:$K$119</definedName>
    <definedName name="Single_23213_2">'Pricing Logic Pleats'!$K$114:$K$119</definedName>
    <definedName name="Single_23213_4" localSheetId="11">'[1]Pricing Logic Pleats'!$O$114:$O$119</definedName>
    <definedName name="Single_23213_4">'Pricing Logic Pleats'!$O$114:$O$119</definedName>
    <definedName name="Single_23309_1" localSheetId="11">'[1]Pricing Logic Pleats'!$G$84:$G$89</definedName>
    <definedName name="Single_23309_1">'Pricing Logic Pleats'!$G$84:$G$89</definedName>
    <definedName name="Single_23309_2" localSheetId="11">'[1]Pricing Logic Pleats'!$K$84:$K$89</definedName>
    <definedName name="Single_23309_2">'Pricing Logic Pleats'!$K$84:$K$89</definedName>
    <definedName name="Single_23309_4" localSheetId="11">'[1]Pricing Logic Pleats'!$O$84:$O$89</definedName>
    <definedName name="Single_23309_4">'Pricing Logic Pleats'!$O$84:$O$89</definedName>
    <definedName name="Single_23310_1" localSheetId="11">'[1]Pricing Logic Pleats'!$G$96:$G$101</definedName>
    <definedName name="Single_23310_1">'Pricing Logic Pleats'!$G$96:$G$101</definedName>
    <definedName name="Single_23310_2" localSheetId="11">'[1]Pricing Logic Pleats'!$K$96:$K$101</definedName>
    <definedName name="Single_23310_2">'Pricing Logic Pleats'!$K$96:$K$101</definedName>
    <definedName name="Single_23310_4" localSheetId="11">'[1]Pricing Logic Pleats'!$O$96:$O$101</definedName>
    <definedName name="Single_23310_4">'Pricing Logic Pleats'!$O$96:$O$101</definedName>
    <definedName name="Single_23311_1" localSheetId="11">'[1]Pricing Logic Pleats'!$G$108:$G$113</definedName>
    <definedName name="Single_23311_1">'Pricing Logic Pleats'!$G$108:$G$113</definedName>
    <definedName name="Single_23311_2" localSheetId="11">'[1]Pricing Logic Pleats'!$K$108:$K$113</definedName>
    <definedName name="Single_23311_2">'Pricing Logic Pleats'!$K$108:$K$113</definedName>
    <definedName name="Single_23311_4" localSheetId="11">'[1]Pricing Logic Pleats'!$O$108:$O$113</definedName>
    <definedName name="Single_23311_4">'Pricing Logic Pleats'!$O$108:$O$113</definedName>
    <definedName name="Triple_11204_1">'Pricing Logic Pleats'!$I$9:$I$15</definedName>
    <definedName name="Triple_11204_2">'Pricing Logic Pleats'!$M$9:$M$15</definedName>
    <definedName name="Triple_12204_1">'Pricing Logic Pleats'!$I$23:$I$29</definedName>
    <definedName name="Triple_12204_2">'Pricing Logic Pleats'!$M$23:$M$29</definedName>
    <definedName name="Triple_21508_1">'Pricing Logic Pleats'!$I$120:$I$125</definedName>
    <definedName name="Triple_21508_2">'Pricing Logic Pleats'!$M$120:$M$125</definedName>
    <definedName name="Triple_21508_4">'Pricing Logic Pleats'!$Q$120:$Q$125</definedName>
    <definedName name="Triple_23209_1" localSheetId="11">'[1]Pricing Logic Pleats'!$I$78:$I$83</definedName>
    <definedName name="Triple_23209_1">'Pricing Logic Pleats'!$I$78:$I$83</definedName>
    <definedName name="Triple_23209_2" localSheetId="11">'[1]Pricing Logic Pleats'!$M$78:$M$83</definedName>
    <definedName name="Triple_23209_2">'Pricing Logic Pleats'!$M$78:$M$83</definedName>
    <definedName name="Triple_23209_4" localSheetId="11">'[1]Pricing Logic Pleats'!$Q$78:$Q$83</definedName>
    <definedName name="Triple_23209_4">'Pricing Logic Pleats'!$Q$78:$Q$83</definedName>
    <definedName name="Triple_23210_1" localSheetId="11">'[1]Pricing Logic Pleats'!$I$90:$I$95</definedName>
    <definedName name="Triple_23210_1">'Pricing Logic Pleats'!$I$90:$I$95</definedName>
    <definedName name="Triple_23210_2" localSheetId="11">'[1]Pricing Logic Pleats'!$M$90:$M$95</definedName>
    <definedName name="Triple_23210_2">'Pricing Logic Pleats'!$M$90:$M$95</definedName>
    <definedName name="Triple_23210_4" localSheetId="11">'[1]Pricing Logic Pleats'!$Q$90:$Q$95</definedName>
    <definedName name="Triple_23210_4">'Pricing Logic Pleats'!$Q$90:$Q$95</definedName>
    <definedName name="Triple_23211_1" localSheetId="11">'[1]Pricing Logic Pleats'!$I$102:$I$107</definedName>
    <definedName name="Triple_23211_1">'Pricing Logic Pleats'!$I$102:$I$107</definedName>
    <definedName name="Triple_23211_2" localSheetId="11">'[1]Pricing Logic Pleats'!$M$102:$M$107</definedName>
    <definedName name="Triple_23211_2">'Pricing Logic Pleats'!$M$102:$M$107</definedName>
    <definedName name="Triple_23211_4" localSheetId="11">'[1]Pricing Logic Pleats'!$Q$102:$Q$107</definedName>
    <definedName name="Triple_23211_4">'Pricing Logic Pleats'!$Q$102:$Q$107</definedName>
    <definedName name="Triple_23213_1" localSheetId="11">'[1]Pricing Logic Pleats'!$I$114:$I$119</definedName>
    <definedName name="Triple_23213_1">'Pricing Logic Pleats'!$I$114:$I$119</definedName>
    <definedName name="Triple_23213_2" localSheetId="11">'[1]Pricing Logic Pleats'!$M$114:$M$119</definedName>
    <definedName name="Triple_23213_2">'Pricing Logic Pleats'!$M$114:$M$119</definedName>
    <definedName name="Triple_23213_4" localSheetId="11">'[1]Pricing Logic Pleats'!$Q$114:$Q$119</definedName>
    <definedName name="Triple_23213_4">'Pricing Logic Pleats'!$Q$114:$Q$119</definedName>
    <definedName name="Triple_23309_1" localSheetId="11">'[1]Pricing Logic Pleats'!$I$84:$I$89</definedName>
    <definedName name="Triple_23309_1">'Pricing Logic Pleats'!$I$84:$I$89</definedName>
    <definedName name="Triple_23309_2" localSheetId="11">'[1]Pricing Logic Pleats'!$M$84:$M$89</definedName>
    <definedName name="Triple_23309_2">'Pricing Logic Pleats'!$M$84:$M$89</definedName>
    <definedName name="Triple_23309_4" localSheetId="11">'[1]Pricing Logic Pleats'!$Q$84:$Q$89</definedName>
    <definedName name="Triple_23309_4">'Pricing Logic Pleats'!$Q$84:$Q$89</definedName>
    <definedName name="Triple_23310_1" localSheetId="11">'[1]Pricing Logic Pleats'!$I$96:$I$101</definedName>
    <definedName name="Triple_23310_1">'Pricing Logic Pleats'!$I$96:$I$101</definedName>
    <definedName name="Triple_23310_2" localSheetId="11">'[1]Pricing Logic Pleats'!$M$96:$M$101</definedName>
    <definedName name="Triple_23310_2">'Pricing Logic Pleats'!$M$96:$M$101</definedName>
    <definedName name="Triple_23310_4" localSheetId="11">'[1]Pricing Logic Pleats'!$Q$96:$Q$101</definedName>
    <definedName name="Triple_23310_4">'Pricing Logic Pleats'!$Q$96:$Q$101</definedName>
    <definedName name="Triple_23311_1" localSheetId="11">'[1]Pricing Logic Pleats'!$I$108:$I$113</definedName>
    <definedName name="Triple_23311_1">'Pricing Logic Pleats'!$I$108:$I$113</definedName>
    <definedName name="Triple_23311_2" localSheetId="11">'[1]Pricing Logic Pleats'!$M$108:$M$113</definedName>
    <definedName name="Triple_23311_2">'Pricing Logic Pleats'!$M$108:$M$113</definedName>
    <definedName name="Triple_23311_4" localSheetId="11">'[1]Pricing Logic Pleats'!$Q$108:$Q$113</definedName>
    <definedName name="Triple_23311_4">'Pricing Logic Pleats'!$Q$108:$Q$113</definedName>
    <definedName name="XT_Double_1">'Pricing Logic Pleats'!$H$78:$H$119</definedName>
    <definedName name="XT_Double_2">'Pricing Logic Pleats'!$L$78:$L$119</definedName>
    <definedName name="XT_Double_4">'Pricing Logic Pleats'!$P$78:$P$119</definedName>
    <definedName name="XT_Single_1">'Pricing Logic Pleats'!$G$78:$G$119</definedName>
    <definedName name="XT_Single_2">'Pricing Logic Pleats'!$K$78:$K$119</definedName>
    <definedName name="XT_Single_4">'Pricing Logic Pleats'!$O$78:$O$119</definedName>
    <definedName name="XT_Triple_1">'Pricing Logic Pleats'!$I$78:$I$119</definedName>
    <definedName name="XT_Triple_2">'Pricing Logic Pleats'!$M$78:$M$119</definedName>
    <definedName name="XT_Triple_4">'Pricing Logic Pleats'!$Q$78:$Q$119</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M36" i="11" l="1" a="1"/>
  <c r="M36" i="11" s="1"/>
  <c r="H167" i="11"/>
  <c r="G167" i="11"/>
  <c r="H124" i="11"/>
  <c r="G124" i="11"/>
  <c r="H81" i="11"/>
  <c r="G81" i="11"/>
  <c r="J81" i="11" l="1"/>
  <c r="U21" i="9"/>
  <c r="Y15" i="9" s="1"/>
  <c r="BA122" i="15"/>
  <c r="BL122" i="15" s="1"/>
  <c r="BA121" i="15"/>
  <c r="BL121" i="15" s="1"/>
  <c r="BK126" i="15"/>
  <c r="BJ126" i="15"/>
  <c r="BI126" i="15"/>
  <c r="BG126" i="15"/>
  <c r="BF126" i="15"/>
  <c r="BE126" i="15"/>
  <c r="BC126" i="15"/>
  <c r="BB126" i="15"/>
  <c r="BA126" i="15"/>
  <c r="BL126" i="15" s="1"/>
  <c r="BK125" i="15"/>
  <c r="BJ125" i="15"/>
  <c r="BI125" i="15"/>
  <c r="BG125" i="15"/>
  <c r="BF125" i="15"/>
  <c r="BE125" i="15"/>
  <c r="BC125" i="15"/>
  <c r="BB125" i="15"/>
  <c r="BA125" i="15"/>
  <c r="BL125" i="15" s="1"/>
  <c r="BK124" i="15"/>
  <c r="BJ124" i="15"/>
  <c r="BI124" i="15"/>
  <c r="BG124" i="15"/>
  <c r="BF124" i="15"/>
  <c r="BE124" i="15"/>
  <c r="BC124" i="15"/>
  <c r="BB124" i="15"/>
  <c r="BA124" i="15"/>
  <c r="BL124" i="15" s="1"/>
  <c r="BK123" i="15"/>
  <c r="BJ123" i="15"/>
  <c r="BI123" i="15"/>
  <c r="BG123" i="15"/>
  <c r="BF123" i="15"/>
  <c r="BE123" i="15"/>
  <c r="BC123" i="15"/>
  <c r="BB123" i="15"/>
  <c r="BA123" i="15"/>
  <c r="BL123" i="15" s="1"/>
  <c r="BK122" i="15"/>
  <c r="BJ122" i="15"/>
  <c r="BI122" i="15"/>
  <c r="BG122" i="15"/>
  <c r="BF122" i="15"/>
  <c r="BE122" i="15"/>
  <c r="BC122" i="15"/>
  <c r="BB122" i="15"/>
  <c r="BK121" i="15"/>
  <c r="BJ121" i="15"/>
  <c r="BI121" i="15"/>
  <c r="BG121" i="15"/>
  <c r="BF121" i="15"/>
  <c r="BE121" i="15"/>
  <c r="BC121" i="15"/>
  <c r="BB121" i="15"/>
  <c r="I308" i="15"/>
  <c r="J308" i="15" s="1"/>
  <c r="H308" i="15"/>
  <c r="I307" i="15"/>
  <c r="J307" i="15" s="1"/>
  <c r="H307" i="15"/>
  <c r="I306" i="15"/>
  <c r="J306" i="15" s="1"/>
  <c r="H306" i="15"/>
  <c r="I305" i="15"/>
  <c r="J305" i="15" s="1"/>
  <c r="H305" i="15"/>
  <c r="I304" i="15"/>
  <c r="J304" i="15" s="1"/>
  <c r="H304" i="15"/>
  <c r="I303" i="15"/>
  <c r="J303" i="15" s="1"/>
  <c r="H303" i="15"/>
  <c r="I302" i="15"/>
  <c r="J302" i="15" s="1"/>
  <c r="H302" i="15"/>
  <c r="I301" i="15"/>
  <c r="J301" i="15" s="1"/>
  <c r="H301" i="15"/>
  <c r="I300" i="15"/>
  <c r="J300" i="15" s="1"/>
  <c r="H300" i="15"/>
  <c r="I299" i="15"/>
  <c r="J299" i="15" s="1"/>
  <c r="H299" i="15"/>
  <c r="I298" i="15"/>
  <c r="J298" i="15" s="1"/>
  <c r="H298" i="15"/>
  <c r="I297" i="15"/>
  <c r="J297" i="15" s="1"/>
  <c r="H297" i="15"/>
  <c r="I296" i="15"/>
  <c r="J296" i="15" s="1"/>
  <c r="H296" i="15"/>
  <c r="I295" i="15"/>
  <c r="J295" i="15" s="1"/>
  <c r="H295" i="15"/>
  <c r="I294" i="15"/>
  <c r="J294" i="15" s="1"/>
  <c r="H294" i="15"/>
  <c r="I293" i="15"/>
  <c r="J293" i="15" s="1"/>
  <c r="H293" i="15"/>
  <c r="I292" i="15"/>
  <c r="J292" i="15" s="1"/>
  <c r="H292" i="15"/>
  <c r="I291" i="15"/>
  <c r="J291" i="15" s="1"/>
  <c r="H291" i="15"/>
  <c r="I290" i="15"/>
  <c r="J290" i="15" s="1"/>
  <c r="H290" i="15"/>
  <c r="I289" i="15"/>
  <c r="J289" i="15" s="1"/>
  <c r="H289" i="15"/>
  <c r="I288" i="15"/>
  <c r="J288" i="15" s="1"/>
  <c r="H288" i="15"/>
  <c r="I287" i="15"/>
  <c r="J287" i="15" s="1"/>
  <c r="H287" i="15"/>
  <c r="I286" i="15"/>
  <c r="J286" i="15" s="1"/>
  <c r="H286" i="15"/>
  <c r="I285" i="15"/>
  <c r="J285" i="15" s="1"/>
  <c r="H285" i="15"/>
  <c r="I284" i="15"/>
  <c r="J284" i="15" s="1"/>
  <c r="H284" i="15"/>
  <c r="I283" i="15"/>
  <c r="J283" i="15" s="1"/>
  <c r="H283" i="15"/>
  <c r="I282" i="15"/>
  <c r="J282" i="15" s="1"/>
  <c r="H282" i="15"/>
  <c r="I281" i="15"/>
  <c r="J281" i="15" s="1"/>
  <c r="H281" i="15"/>
  <c r="I280" i="15"/>
  <c r="J280" i="15" s="1"/>
  <c r="H280" i="15"/>
  <c r="I279" i="15"/>
  <c r="J279" i="15" s="1"/>
  <c r="H279" i="15"/>
  <c r="I278" i="15"/>
  <c r="J278" i="15" s="1"/>
  <c r="H278" i="15"/>
  <c r="I277" i="15"/>
  <c r="J277" i="15" s="1"/>
  <c r="H277" i="15"/>
  <c r="I276" i="15"/>
  <c r="J276" i="15" s="1"/>
  <c r="H276" i="15"/>
  <c r="I275" i="15"/>
  <c r="J275" i="15" s="1"/>
  <c r="H275" i="15"/>
  <c r="I274" i="15"/>
  <c r="J274" i="15" s="1"/>
  <c r="H274" i="15"/>
  <c r="I273" i="15"/>
  <c r="J273" i="15" s="1"/>
  <c r="H273" i="15"/>
  <c r="I272" i="15"/>
  <c r="J272" i="15" s="1"/>
  <c r="H272" i="15"/>
  <c r="I271" i="15"/>
  <c r="J271" i="15" s="1"/>
  <c r="H271" i="15"/>
  <c r="I270" i="15"/>
  <c r="J270" i="15" s="1"/>
  <c r="H270" i="15"/>
  <c r="I269" i="15"/>
  <c r="J269" i="15" s="1"/>
  <c r="H269" i="15"/>
  <c r="I268" i="15"/>
  <c r="J268" i="15" s="1"/>
  <c r="H268" i="15"/>
  <c r="I267" i="15"/>
  <c r="J267" i="15" s="1"/>
  <c r="H267" i="15"/>
  <c r="I266" i="15"/>
  <c r="J266" i="15" s="1"/>
  <c r="H266" i="15"/>
  <c r="I265" i="15"/>
  <c r="J265" i="15" s="1"/>
  <c r="H265" i="15"/>
  <c r="I264" i="15"/>
  <c r="J264" i="15" s="1"/>
  <c r="H264" i="15"/>
  <c r="I263" i="15"/>
  <c r="J263" i="15" s="1"/>
  <c r="H263" i="15"/>
  <c r="I262" i="15"/>
  <c r="J262" i="15" s="1"/>
  <c r="H262" i="15"/>
  <c r="I261" i="15"/>
  <c r="J261" i="15" s="1"/>
  <c r="H261" i="15"/>
  <c r="I260" i="15"/>
  <c r="J260" i="15" s="1"/>
  <c r="H260" i="15"/>
  <c r="I259" i="15"/>
  <c r="J259" i="15" s="1"/>
  <c r="H259" i="15"/>
  <c r="I258" i="15"/>
  <c r="J258" i="15" s="1"/>
  <c r="H258" i="15"/>
  <c r="I257" i="15"/>
  <c r="J257" i="15" s="1"/>
  <c r="H257" i="15"/>
  <c r="I256" i="15"/>
  <c r="J256" i="15" s="1"/>
  <c r="H256" i="15"/>
  <c r="I255" i="15"/>
  <c r="J255" i="15" s="1"/>
  <c r="H255" i="15"/>
  <c r="I254" i="15"/>
  <c r="J254" i="15" s="1"/>
  <c r="H254" i="15"/>
  <c r="I253" i="15"/>
  <c r="J253" i="15" s="1"/>
  <c r="H253" i="15"/>
  <c r="I252" i="15"/>
  <c r="J252" i="15" s="1"/>
  <c r="H252" i="15"/>
  <c r="I251" i="15"/>
  <c r="J251" i="15" s="1"/>
  <c r="H251" i="15"/>
  <c r="I250" i="15"/>
  <c r="J250" i="15" s="1"/>
  <c r="H250" i="15"/>
  <c r="I249" i="15"/>
  <c r="J249" i="15" s="1"/>
  <c r="H249" i="15"/>
  <c r="I248" i="15"/>
  <c r="J248" i="15" s="1"/>
  <c r="H248" i="15"/>
  <c r="I247" i="15"/>
  <c r="J247" i="15" s="1"/>
  <c r="H247" i="15"/>
  <c r="I246" i="15"/>
  <c r="J246" i="15" s="1"/>
  <c r="H246" i="15"/>
  <c r="I245" i="15"/>
  <c r="J245" i="15" s="1"/>
  <c r="H245" i="15"/>
  <c r="I244" i="15"/>
  <c r="J244" i="15" s="1"/>
  <c r="H244" i="15"/>
  <c r="I243" i="15"/>
  <c r="J243" i="15" s="1"/>
  <c r="H243" i="15"/>
  <c r="I242" i="15"/>
  <c r="J242" i="15" s="1"/>
  <c r="H242" i="15"/>
  <c r="I241" i="15"/>
  <c r="J241" i="15" s="1"/>
  <c r="H241" i="15"/>
  <c r="I240" i="15"/>
  <c r="I239" i="15"/>
  <c r="I238" i="15"/>
  <c r="I237" i="15"/>
  <c r="I236" i="15"/>
  <c r="I235" i="15"/>
  <c r="I234" i="15"/>
  <c r="I233" i="15"/>
  <c r="I232" i="15"/>
  <c r="I231" i="15"/>
  <c r="I230" i="15"/>
  <c r="I229" i="15"/>
  <c r="I228" i="15"/>
  <c r="I227" i="15"/>
  <c r="I226" i="15"/>
  <c r="I225" i="15"/>
  <c r="I224" i="15"/>
  <c r="I223" i="15"/>
  <c r="I222" i="15"/>
  <c r="I221" i="15"/>
  <c r="I220" i="15"/>
  <c r="I219" i="15"/>
  <c r="I218" i="15"/>
  <c r="I217" i="15"/>
  <c r="I216" i="15"/>
  <c r="I215" i="15"/>
  <c r="I214" i="15"/>
  <c r="I213" i="15"/>
  <c r="I212" i="15"/>
  <c r="I211" i="15"/>
  <c r="I210" i="15"/>
  <c r="I209" i="15"/>
  <c r="I208" i="15"/>
  <c r="I207" i="15"/>
  <c r="I206" i="15"/>
  <c r="I205" i="15"/>
  <c r="I204" i="15"/>
  <c r="I203" i="15"/>
  <c r="I202" i="15"/>
  <c r="I201" i="15"/>
  <c r="I200" i="15"/>
  <c r="I199" i="15"/>
  <c r="I198" i="15"/>
  <c r="I197" i="15"/>
  <c r="I196" i="15"/>
  <c r="I195" i="15"/>
  <c r="I194" i="15"/>
  <c r="I193" i="15"/>
  <c r="I192" i="15"/>
  <c r="I191" i="15"/>
  <c r="I190" i="15"/>
  <c r="I189" i="15"/>
  <c r="I188" i="15"/>
  <c r="I187" i="15"/>
  <c r="I186" i="15"/>
  <c r="I185" i="15"/>
  <c r="I184" i="15"/>
  <c r="I183" i="15"/>
  <c r="I182" i="15"/>
  <c r="I181" i="15"/>
  <c r="I180" i="15"/>
  <c r="I179" i="15"/>
  <c r="I178" i="15"/>
  <c r="I177" i="15"/>
  <c r="I176" i="15"/>
  <c r="I175" i="15"/>
  <c r="I174" i="15"/>
  <c r="I173" i="15"/>
  <c r="I172" i="15"/>
  <c r="I171" i="15"/>
  <c r="AG170" i="15"/>
  <c r="AH170" i="15" s="1"/>
  <c r="I170" i="15"/>
  <c r="AG169" i="15"/>
  <c r="AH169" i="15" s="1"/>
  <c r="I169" i="15"/>
  <c r="AG168" i="15"/>
  <c r="AH168" i="15" s="1"/>
  <c r="I168" i="15"/>
  <c r="AG167" i="15"/>
  <c r="AH167" i="15" s="1"/>
  <c r="I167" i="15"/>
  <c r="AG166" i="15"/>
  <c r="AH166" i="15" s="1"/>
  <c r="I166" i="15"/>
  <c r="AG165" i="15"/>
  <c r="AH165" i="15" s="1"/>
  <c r="I165" i="15"/>
  <c r="AG164" i="15"/>
  <c r="AH164" i="15" s="1"/>
  <c r="I164" i="15"/>
  <c r="AG163" i="15"/>
  <c r="AH163" i="15" s="1"/>
  <c r="I163" i="15"/>
  <c r="AG162" i="15"/>
  <c r="AH162" i="15" s="1"/>
  <c r="I162" i="15"/>
  <c r="AG161" i="15"/>
  <c r="AH161" i="15" s="1"/>
  <c r="I161" i="15"/>
  <c r="AG160" i="15"/>
  <c r="AH160" i="15" s="1"/>
  <c r="I160" i="15"/>
  <c r="AG159" i="15"/>
  <c r="AH159" i="15" s="1"/>
  <c r="I159" i="15"/>
  <c r="AG158" i="15"/>
  <c r="AH158" i="15" s="1"/>
  <c r="I158" i="15"/>
  <c r="AG157" i="15"/>
  <c r="AH157" i="15" s="1"/>
  <c r="I157" i="15"/>
  <c r="AG156" i="15"/>
  <c r="AH156" i="15" s="1"/>
  <c r="I156" i="15"/>
  <c r="AG155" i="15"/>
  <c r="AH155" i="15" s="1"/>
  <c r="I155" i="15"/>
  <c r="AG154" i="15"/>
  <c r="AH154" i="15" s="1"/>
  <c r="I154" i="15"/>
  <c r="AG153" i="15"/>
  <c r="AH153" i="15" s="1"/>
  <c r="I153" i="15"/>
  <c r="AG152" i="15"/>
  <c r="AH152" i="15" s="1"/>
  <c r="I152" i="15"/>
  <c r="AG151" i="15"/>
  <c r="AH151" i="15" s="1"/>
  <c r="I151" i="15"/>
  <c r="AG150" i="15"/>
  <c r="AH150" i="15" s="1"/>
  <c r="I150" i="15"/>
  <c r="AG149" i="15"/>
  <c r="AH149" i="15" s="1"/>
  <c r="I149" i="15"/>
  <c r="AG148" i="15"/>
  <c r="AI148" i="15" s="1"/>
  <c r="I148" i="15"/>
  <c r="AG147" i="15"/>
  <c r="AI147" i="15" s="1"/>
  <c r="I147" i="15"/>
  <c r="AG146" i="15"/>
  <c r="AI146" i="15" s="1"/>
  <c r="I146" i="15"/>
  <c r="AG145" i="15"/>
  <c r="AH145" i="15" s="1"/>
  <c r="I145" i="15"/>
  <c r="AG144" i="15"/>
  <c r="AI144" i="15" s="1"/>
  <c r="I144" i="15"/>
  <c r="AG143" i="15"/>
  <c r="AI143" i="15" s="1"/>
  <c r="I143" i="15"/>
  <c r="AG142" i="15"/>
  <c r="AI142" i="15" s="1"/>
  <c r="I142" i="15"/>
  <c r="AG141" i="15"/>
  <c r="AI141" i="15" s="1"/>
  <c r="I141" i="15"/>
  <c r="AG140" i="15"/>
  <c r="AI140" i="15" s="1"/>
  <c r="I140" i="15"/>
  <c r="AG139" i="15"/>
  <c r="AH139" i="15" s="1"/>
  <c r="I139" i="15"/>
  <c r="AG138" i="15"/>
  <c r="AH138" i="15" s="1"/>
  <c r="I138" i="15"/>
  <c r="AG137" i="15"/>
  <c r="AI137" i="15" s="1"/>
  <c r="I137" i="15"/>
  <c r="AG136" i="15"/>
  <c r="AI136" i="15" s="1"/>
  <c r="I136" i="15"/>
  <c r="AG135" i="15"/>
  <c r="AI135" i="15" s="1"/>
  <c r="I135" i="15"/>
  <c r="AG134" i="15"/>
  <c r="AI134" i="15" s="1"/>
  <c r="I134" i="15"/>
  <c r="AG133" i="15"/>
  <c r="AI133" i="15" s="1"/>
  <c r="I133" i="15"/>
  <c r="AG132" i="15"/>
  <c r="AH132" i="15" s="1"/>
  <c r="I132" i="15"/>
  <c r="AG131" i="15"/>
  <c r="AH131" i="15" s="1"/>
  <c r="I131" i="15"/>
  <c r="AG130" i="15"/>
  <c r="AI130" i="15" s="1"/>
  <c r="I130" i="15"/>
  <c r="AG129" i="15"/>
  <c r="AI129" i="15" s="1"/>
  <c r="I129" i="15"/>
  <c r="AG128" i="15"/>
  <c r="AI128" i="15" s="1"/>
  <c r="I128" i="15"/>
  <c r="AG127" i="15"/>
  <c r="AI127" i="15" s="1"/>
  <c r="I127" i="15"/>
  <c r="AG126" i="15"/>
  <c r="AI126" i="15" s="1"/>
  <c r="I126" i="15"/>
  <c r="AG125" i="15"/>
  <c r="AI125" i="15" s="1"/>
  <c r="I125" i="15"/>
  <c r="AG124" i="15"/>
  <c r="AH124" i="15" s="1"/>
  <c r="I124" i="15"/>
  <c r="AG123" i="15"/>
  <c r="AI123" i="15" s="1"/>
  <c r="I123" i="15"/>
  <c r="AG122" i="15"/>
  <c r="AI122" i="15" s="1"/>
  <c r="I122" i="15"/>
  <c r="AG121" i="15"/>
  <c r="AI121" i="15" s="1"/>
  <c r="I121" i="15"/>
  <c r="BK120" i="15"/>
  <c r="BJ120" i="15"/>
  <c r="BI120" i="15"/>
  <c r="BG120" i="15"/>
  <c r="BF120" i="15"/>
  <c r="BE120" i="15"/>
  <c r="BC120" i="15"/>
  <c r="BB120" i="15"/>
  <c r="BA120" i="15"/>
  <c r="BL120" i="15" s="1"/>
  <c r="AG120" i="15"/>
  <c r="AI120" i="15" s="1"/>
  <c r="I120" i="15"/>
  <c r="BK119" i="15"/>
  <c r="BJ119" i="15"/>
  <c r="BI119" i="15"/>
  <c r="BG119" i="15"/>
  <c r="BF119" i="15"/>
  <c r="BE119" i="15"/>
  <c r="BC119" i="15"/>
  <c r="BB119" i="15"/>
  <c r="BA119" i="15"/>
  <c r="BL119" i="15" s="1"/>
  <c r="AG119" i="15"/>
  <c r="AI119" i="15" s="1"/>
  <c r="I119" i="15"/>
  <c r="BK118" i="15"/>
  <c r="BJ118" i="15"/>
  <c r="BI118" i="15"/>
  <c r="BG118" i="15"/>
  <c r="BF118" i="15"/>
  <c r="BE118" i="15"/>
  <c r="BC118" i="15"/>
  <c r="BB118" i="15"/>
  <c r="BA118" i="15"/>
  <c r="BL118" i="15" s="1"/>
  <c r="AG118" i="15"/>
  <c r="AI118" i="15" s="1"/>
  <c r="I118" i="15"/>
  <c r="BK117" i="15"/>
  <c r="BJ117" i="15"/>
  <c r="BI117" i="15"/>
  <c r="BG117" i="15"/>
  <c r="BF117" i="15"/>
  <c r="BE117" i="15"/>
  <c r="BC117" i="15"/>
  <c r="BB117" i="15"/>
  <c r="BA117" i="15"/>
  <c r="BL117" i="15" s="1"/>
  <c r="AG117" i="15"/>
  <c r="AI117" i="15" s="1"/>
  <c r="I117" i="15"/>
  <c r="BK116" i="15"/>
  <c r="BJ116" i="15"/>
  <c r="BI116" i="15"/>
  <c r="BG116" i="15"/>
  <c r="BF116" i="15"/>
  <c r="BE116" i="15"/>
  <c r="BC116" i="15"/>
  <c r="BB116" i="15"/>
  <c r="BA116" i="15"/>
  <c r="BL116" i="15" s="1"/>
  <c r="AG116" i="15"/>
  <c r="AI116" i="15" s="1"/>
  <c r="I116" i="15"/>
  <c r="BK115" i="15"/>
  <c r="BJ115" i="15"/>
  <c r="BI115" i="15"/>
  <c r="BG115" i="15"/>
  <c r="BF115" i="15"/>
  <c r="BE115" i="15"/>
  <c r="BC115" i="15"/>
  <c r="BB115" i="15"/>
  <c r="BA115" i="15"/>
  <c r="BL115" i="15" s="1"/>
  <c r="AG115" i="15"/>
  <c r="AI115" i="15" s="1"/>
  <c r="I115" i="15"/>
  <c r="BK114" i="15"/>
  <c r="BJ114" i="15"/>
  <c r="BI114" i="15"/>
  <c r="BG114" i="15"/>
  <c r="BF114" i="15"/>
  <c r="BE114" i="15"/>
  <c r="BC114" i="15"/>
  <c r="BB114" i="15"/>
  <c r="BA114" i="15"/>
  <c r="BL114" i="15" s="1"/>
  <c r="AG114" i="15"/>
  <c r="AI114" i="15" s="1"/>
  <c r="I114" i="15"/>
  <c r="BK113" i="15"/>
  <c r="BJ113" i="15"/>
  <c r="BI113" i="15"/>
  <c r="BG113" i="15"/>
  <c r="BF113" i="15"/>
  <c r="BE113" i="15"/>
  <c r="BC113" i="15"/>
  <c r="BB113" i="15"/>
  <c r="BA113" i="15"/>
  <c r="BL113" i="15" s="1"/>
  <c r="AG113" i="15"/>
  <c r="AI113" i="15" s="1"/>
  <c r="I113" i="15"/>
  <c r="BK112" i="15"/>
  <c r="BJ112" i="15"/>
  <c r="BI112" i="15"/>
  <c r="BG112" i="15"/>
  <c r="BF112" i="15"/>
  <c r="BE112" i="15"/>
  <c r="BC112" i="15"/>
  <c r="BB112" i="15"/>
  <c r="BA112" i="15"/>
  <c r="BL112" i="15" s="1"/>
  <c r="AG112" i="15"/>
  <c r="AI112" i="15" s="1"/>
  <c r="I112" i="15"/>
  <c r="BK111" i="15"/>
  <c r="BJ111" i="15"/>
  <c r="BI111" i="15"/>
  <c r="BG111" i="15"/>
  <c r="BF111" i="15"/>
  <c r="BE111" i="15"/>
  <c r="BC111" i="15"/>
  <c r="BB111" i="15"/>
  <c r="BA111" i="15"/>
  <c r="BL111" i="15" s="1"/>
  <c r="AG111" i="15"/>
  <c r="AI111" i="15" s="1"/>
  <c r="I111" i="15"/>
  <c r="BK110" i="15"/>
  <c r="BJ110" i="15"/>
  <c r="BI110" i="15"/>
  <c r="BG110" i="15"/>
  <c r="BF110" i="15"/>
  <c r="BE110" i="15"/>
  <c r="BC110" i="15"/>
  <c r="BB110" i="15"/>
  <c r="BA110" i="15"/>
  <c r="BL110" i="15" s="1"/>
  <c r="AG110" i="15"/>
  <c r="AI110" i="15" s="1"/>
  <c r="I110" i="15"/>
  <c r="BK109" i="15"/>
  <c r="BJ109" i="15"/>
  <c r="BI109" i="15"/>
  <c r="BG109" i="15"/>
  <c r="BF109" i="15"/>
  <c r="BE109" i="15"/>
  <c r="BC109" i="15"/>
  <c r="BB109" i="15"/>
  <c r="BA109" i="15"/>
  <c r="BL109" i="15" s="1"/>
  <c r="AG109" i="15"/>
  <c r="AI109" i="15" s="1"/>
  <c r="I109" i="15"/>
  <c r="BK108" i="15"/>
  <c r="BJ108" i="15"/>
  <c r="BI108" i="15"/>
  <c r="BG108" i="15"/>
  <c r="BF108" i="15"/>
  <c r="BE108" i="15"/>
  <c r="BC108" i="15"/>
  <c r="BB108" i="15"/>
  <c r="BA108" i="15"/>
  <c r="BL108" i="15" s="1"/>
  <c r="AG108" i="15"/>
  <c r="AI108" i="15" s="1"/>
  <c r="I108" i="15"/>
  <c r="BK107" i="15"/>
  <c r="BJ107" i="15"/>
  <c r="BI107" i="15"/>
  <c r="BG107" i="15"/>
  <c r="BF107" i="15"/>
  <c r="BE107" i="15"/>
  <c r="BC107" i="15"/>
  <c r="BB107" i="15"/>
  <c r="BA107" i="15"/>
  <c r="BL107" i="15" s="1"/>
  <c r="AG107" i="15"/>
  <c r="AI107" i="15" s="1"/>
  <c r="I107" i="15"/>
  <c r="BK106" i="15"/>
  <c r="BJ106" i="15"/>
  <c r="BI106" i="15"/>
  <c r="BG106" i="15"/>
  <c r="BF106" i="15"/>
  <c r="BE106" i="15"/>
  <c r="BC106" i="15"/>
  <c r="BB106" i="15"/>
  <c r="BA106" i="15"/>
  <c r="BL106" i="15" s="1"/>
  <c r="AG106" i="15"/>
  <c r="AI106" i="15" s="1"/>
  <c r="I106" i="15"/>
  <c r="BK105" i="15"/>
  <c r="BJ105" i="15"/>
  <c r="BI105" i="15"/>
  <c r="BG105" i="15"/>
  <c r="BF105" i="15"/>
  <c r="BE105" i="15"/>
  <c r="BC105" i="15"/>
  <c r="BB105" i="15"/>
  <c r="BA105" i="15"/>
  <c r="BL105" i="15" s="1"/>
  <c r="AG105" i="15"/>
  <c r="AI105" i="15" s="1"/>
  <c r="I105" i="15"/>
  <c r="BK104" i="15"/>
  <c r="BJ104" i="15"/>
  <c r="BI104" i="15"/>
  <c r="BG104" i="15"/>
  <c r="BF104" i="15"/>
  <c r="BE104" i="15"/>
  <c r="BC104" i="15"/>
  <c r="BB104" i="15"/>
  <c r="BA104" i="15"/>
  <c r="BL104" i="15" s="1"/>
  <c r="AG104" i="15"/>
  <c r="AI104" i="15" s="1"/>
  <c r="I104" i="15"/>
  <c r="BK103" i="15"/>
  <c r="BJ103" i="15"/>
  <c r="BI103" i="15"/>
  <c r="BG103" i="15"/>
  <c r="BF103" i="15"/>
  <c r="BE103" i="15"/>
  <c r="BC103" i="15"/>
  <c r="BB103" i="15"/>
  <c r="BA103" i="15"/>
  <c r="BL103" i="15" s="1"/>
  <c r="AG103" i="15"/>
  <c r="AI103" i="15" s="1"/>
  <c r="I103" i="15"/>
  <c r="BK102" i="15"/>
  <c r="BJ102" i="15"/>
  <c r="BI102" i="15"/>
  <c r="BG102" i="15"/>
  <c r="BF102" i="15"/>
  <c r="BE102" i="15"/>
  <c r="BC102" i="15"/>
  <c r="BB102" i="15"/>
  <c r="BA102" i="15"/>
  <c r="BL102" i="15" s="1"/>
  <c r="AG102" i="15"/>
  <c r="AI102" i="15" s="1"/>
  <c r="I102" i="15"/>
  <c r="BK101" i="15"/>
  <c r="BJ101" i="15"/>
  <c r="BI101" i="15"/>
  <c r="BG101" i="15"/>
  <c r="BF101" i="15"/>
  <c r="BE101" i="15"/>
  <c r="BC101" i="15"/>
  <c r="BB101" i="15"/>
  <c r="BA101" i="15"/>
  <c r="BL101" i="15" s="1"/>
  <c r="AG101" i="15"/>
  <c r="AI101" i="15" s="1"/>
  <c r="I101" i="15"/>
  <c r="BK100" i="15"/>
  <c r="BJ100" i="15"/>
  <c r="BI100" i="15"/>
  <c r="BG100" i="15"/>
  <c r="BF100" i="15"/>
  <c r="BE100" i="15"/>
  <c r="BC100" i="15"/>
  <c r="BB100" i="15"/>
  <c r="BA100" i="15"/>
  <c r="BL100" i="15" s="1"/>
  <c r="AG100" i="15"/>
  <c r="AI100" i="15" s="1"/>
  <c r="I100" i="15"/>
  <c r="BK99" i="15"/>
  <c r="BJ99" i="15"/>
  <c r="BI99" i="15"/>
  <c r="BG99" i="15"/>
  <c r="BF99" i="15"/>
  <c r="BE99" i="15"/>
  <c r="BC99" i="15"/>
  <c r="BB99" i="15"/>
  <c r="BA99" i="15"/>
  <c r="BL99" i="15" s="1"/>
  <c r="AG99" i="15"/>
  <c r="AI99" i="15" s="1"/>
  <c r="I99" i="15"/>
  <c r="BK98" i="15"/>
  <c r="BJ98" i="15"/>
  <c r="BI98" i="15"/>
  <c r="BG98" i="15"/>
  <c r="BF98" i="15"/>
  <c r="BE98" i="15"/>
  <c r="BC98" i="15"/>
  <c r="BB98" i="15"/>
  <c r="BA98" i="15"/>
  <c r="BL98" i="15" s="1"/>
  <c r="AG98" i="15"/>
  <c r="AI98" i="15" s="1"/>
  <c r="I98" i="15"/>
  <c r="BK97" i="15"/>
  <c r="BJ97" i="15"/>
  <c r="BI97" i="15"/>
  <c r="BG97" i="15"/>
  <c r="BF97" i="15"/>
  <c r="BE97" i="15"/>
  <c r="BC97" i="15"/>
  <c r="BB97" i="15"/>
  <c r="BA97" i="15"/>
  <c r="BL97" i="15" s="1"/>
  <c r="AG97" i="15"/>
  <c r="AI97" i="15" s="1"/>
  <c r="I97" i="15"/>
  <c r="BK96" i="15"/>
  <c r="BJ96" i="15"/>
  <c r="BI96" i="15"/>
  <c r="BG96" i="15"/>
  <c r="BF96" i="15"/>
  <c r="BE96" i="15"/>
  <c r="BC96" i="15"/>
  <c r="BB96" i="15"/>
  <c r="BA96" i="15"/>
  <c r="BL96" i="15" s="1"/>
  <c r="AG96" i="15"/>
  <c r="AI96" i="15" s="1"/>
  <c r="U96" i="15"/>
  <c r="I96" i="15"/>
  <c r="BK95" i="15"/>
  <c r="BJ95" i="15"/>
  <c r="BI95" i="15"/>
  <c r="BG95" i="15"/>
  <c r="BF95" i="15"/>
  <c r="BE95" i="15"/>
  <c r="BC95" i="15"/>
  <c r="BB95" i="15"/>
  <c r="BA95" i="15"/>
  <c r="BL95" i="15" s="1"/>
  <c r="AG95" i="15"/>
  <c r="AI95" i="15" s="1"/>
  <c r="U95" i="15"/>
  <c r="I95" i="15"/>
  <c r="BK94" i="15"/>
  <c r="BJ94" i="15"/>
  <c r="BI94" i="15"/>
  <c r="BG94" i="15"/>
  <c r="BF94" i="15"/>
  <c r="BE94" i="15"/>
  <c r="BC94" i="15"/>
  <c r="BB94" i="15"/>
  <c r="BA94" i="15"/>
  <c r="BL94" i="15" s="1"/>
  <c r="AG94" i="15"/>
  <c r="AI94" i="15" s="1"/>
  <c r="U94" i="15"/>
  <c r="I94" i="15"/>
  <c r="BK93" i="15"/>
  <c r="BJ93" i="15"/>
  <c r="BI93" i="15"/>
  <c r="BG93" i="15"/>
  <c r="BF93" i="15"/>
  <c r="BE93" i="15"/>
  <c r="BC93" i="15"/>
  <c r="BB93" i="15"/>
  <c r="BA93" i="15"/>
  <c r="BL93" i="15" s="1"/>
  <c r="AG93" i="15"/>
  <c r="AI93" i="15" s="1"/>
  <c r="U93" i="15"/>
  <c r="I93" i="15"/>
  <c r="BK92" i="15"/>
  <c r="BJ92" i="15"/>
  <c r="BI92" i="15"/>
  <c r="BG92" i="15"/>
  <c r="BF92" i="15"/>
  <c r="BE92" i="15"/>
  <c r="BC92" i="15"/>
  <c r="BB92" i="15"/>
  <c r="BA92" i="15"/>
  <c r="BL92" i="15" s="1"/>
  <c r="AG92" i="15"/>
  <c r="AI92" i="15" s="1"/>
  <c r="U92" i="15"/>
  <c r="I92" i="15"/>
  <c r="BK91" i="15"/>
  <c r="BJ91" i="15"/>
  <c r="BI91" i="15"/>
  <c r="BG91" i="15"/>
  <c r="BF91" i="15"/>
  <c r="BE91" i="15"/>
  <c r="BC91" i="15"/>
  <c r="BB91" i="15"/>
  <c r="BA91" i="15"/>
  <c r="BL91" i="15" s="1"/>
  <c r="AG91" i="15"/>
  <c r="AH91" i="15" s="1"/>
  <c r="U91" i="15"/>
  <c r="I91" i="15"/>
  <c r="BK90" i="15"/>
  <c r="BJ90" i="15"/>
  <c r="BI90" i="15"/>
  <c r="BG90" i="15"/>
  <c r="BF90" i="15"/>
  <c r="BE90" i="15"/>
  <c r="BC90" i="15"/>
  <c r="BB90" i="15"/>
  <c r="BA90" i="15"/>
  <c r="BL90" i="15" s="1"/>
  <c r="AG90" i="15"/>
  <c r="AI90" i="15" s="1"/>
  <c r="U90" i="15"/>
  <c r="I90" i="15"/>
  <c r="BK89" i="15"/>
  <c r="BJ89" i="15"/>
  <c r="BI89" i="15"/>
  <c r="BG89" i="15"/>
  <c r="BF89" i="15"/>
  <c r="BE89" i="15"/>
  <c r="BC89" i="15"/>
  <c r="BB89" i="15"/>
  <c r="BA89" i="15"/>
  <c r="BL89" i="15" s="1"/>
  <c r="AG89" i="15"/>
  <c r="AI89" i="15" s="1"/>
  <c r="U89" i="15"/>
  <c r="I89" i="15"/>
  <c r="BK88" i="15"/>
  <c r="BJ88" i="15"/>
  <c r="BI88" i="15"/>
  <c r="BG88" i="15"/>
  <c r="BF88" i="15"/>
  <c r="BE88" i="15"/>
  <c r="BC88" i="15"/>
  <c r="BB88" i="15"/>
  <c r="BA88" i="15"/>
  <c r="BL88" i="15" s="1"/>
  <c r="AG88" i="15"/>
  <c r="AI88" i="15" s="1"/>
  <c r="U88" i="15"/>
  <c r="I88" i="15"/>
  <c r="BK87" i="15"/>
  <c r="BJ87" i="15"/>
  <c r="BI87" i="15"/>
  <c r="BG87" i="15"/>
  <c r="BF87" i="15"/>
  <c r="BE87" i="15"/>
  <c r="BC87" i="15"/>
  <c r="BB87" i="15"/>
  <c r="BA87" i="15"/>
  <c r="BL87" i="15" s="1"/>
  <c r="AG87" i="15"/>
  <c r="AH87" i="15" s="1"/>
  <c r="U87" i="15"/>
  <c r="I87" i="15"/>
  <c r="BK86" i="15"/>
  <c r="BJ86" i="15"/>
  <c r="BI86" i="15"/>
  <c r="BG86" i="15"/>
  <c r="BF86" i="15"/>
  <c r="BE86" i="15"/>
  <c r="BC86" i="15"/>
  <c r="BB86" i="15"/>
  <c r="BA86" i="15"/>
  <c r="BL86" i="15" s="1"/>
  <c r="AG86" i="15"/>
  <c r="AI86" i="15" s="1"/>
  <c r="AC86" i="15"/>
  <c r="U86" i="15"/>
  <c r="I86" i="15"/>
  <c r="BK85" i="15"/>
  <c r="BJ85" i="15"/>
  <c r="BI85" i="15"/>
  <c r="BG85" i="15"/>
  <c r="BF85" i="15"/>
  <c r="BE85" i="15"/>
  <c r="BC85" i="15"/>
  <c r="BB85" i="15"/>
  <c r="BA85" i="15"/>
  <c r="BL85" i="15" s="1"/>
  <c r="AG85" i="15"/>
  <c r="AI85" i="15" s="1"/>
  <c r="AC85" i="15"/>
  <c r="U85" i="15"/>
  <c r="I85" i="15"/>
  <c r="BK84" i="15"/>
  <c r="BJ84" i="15"/>
  <c r="BI84" i="15"/>
  <c r="BG84" i="15"/>
  <c r="BF84" i="15"/>
  <c r="BE84" i="15"/>
  <c r="BC84" i="15"/>
  <c r="BB84" i="15"/>
  <c r="BA84" i="15"/>
  <c r="BL84" i="15" s="1"/>
  <c r="AG84" i="15"/>
  <c r="AI84" i="15" s="1"/>
  <c r="AC84" i="15"/>
  <c r="U84" i="15"/>
  <c r="I84" i="15"/>
  <c r="BK83" i="15"/>
  <c r="BJ83" i="15"/>
  <c r="BI83" i="15"/>
  <c r="BG83" i="15"/>
  <c r="BF83" i="15"/>
  <c r="BE83" i="15"/>
  <c r="BC83" i="15"/>
  <c r="BB83" i="15"/>
  <c r="BA83" i="15"/>
  <c r="BL83" i="15" s="1"/>
  <c r="AG83" i="15"/>
  <c r="AH83" i="15" s="1"/>
  <c r="AC83" i="15"/>
  <c r="U83" i="15"/>
  <c r="I83" i="15"/>
  <c r="BK82" i="15"/>
  <c r="BJ82" i="15"/>
  <c r="BI82" i="15"/>
  <c r="BG82" i="15"/>
  <c r="BF82" i="15"/>
  <c r="BE82" i="15"/>
  <c r="BC82" i="15"/>
  <c r="BB82" i="15"/>
  <c r="BA82" i="15"/>
  <c r="BL82" i="15" s="1"/>
  <c r="AG82" i="15"/>
  <c r="AI82" i="15" s="1"/>
  <c r="AC82" i="15"/>
  <c r="U82" i="15"/>
  <c r="I82" i="15"/>
  <c r="BK81" i="15"/>
  <c r="BJ81" i="15"/>
  <c r="BI81" i="15"/>
  <c r="BG81" i="15"/>
  <c r="BF81" i="15"/>
  <c r="BE81" i="15"/>
  <c r="BC81" i="15"/>
  <c r="BB81" i="15"/>
  <c r="BA81" i="15"/>
  <c r="BL81" i="15" s="1"/>
  <c r="AG81" i="15"/>
  <c r="AI81" i="15" s="1"/>
  <c r="U81" i="15"/>
  <c r="I81" i="15"/>
  <c r="BK80" i="15"/>
  <c r="BJ80" i="15"/>
  <c r="BI80" i="15"/>
  <c r="BG80" i="15"/>
  <c r="BF80" i="15"/>
  <c r="BE80" i="15"/>
  <c r="BC80" i="15"/>
  <c r="BB80" i="15"/>
  <c r="BA80" i="15"/>
  <c r="BL80" i="15" s="1"/>
  <c r="AG80" i="15"/>
  <c r="AI80" i="15" s="1"/>
  <c r="AC80" i="15"/>
  <c r="U80" i="15"/>
  <c r="I80" i="15"/>
  <c r="BK79" i="15"/>
  <c r="BJ79" i="15"/>
  <c r="BI79" i="15"/>
  <c r="BG79" i="15"/>
  <c r="BF79" i="15"/>
  <c r="BE79" i="15"/>
  <c r="BC79" i="15"/>
  <c r="BB79" i="15"/>
  <c r="BA79" i="15"/>
  <c r="BL79" i="15" s="1"/>
  <c r="AG79" i="15"/>
  <c r="AI79" i="15" s="1"/>
  <c r="AC79" i="15"/>
  <c r="U79" i="15"/>
  <c r="I79" i="15"/>
  <c r="BK78" i="15"/>
  <c r="BJ78" i="15"/>
  <c r="BI78" i="15"/>
  <c r="BG78" i="15"/>
  <c r="BF78" i="15"/>
  <c r="BE78" i="15"/>
  <c r="BC78" i="15"/>
  <c r="BB78" i="15"/>
  <c r="BA78" i="15"/>
  <c r="BL78" i="15" s="1"/>
  <c r="AG78" i="15"/>
  <c r="AH78" i="15" s="1"/>
  <c r="AC78" i="15"/>
  <c r="U78" i="15"/>
  <c r="I78" i="15"/>
  <c r="BK77" i="15"/>
  <c r="BJ77" i="15"/>
  <c r="BI77" i="15"/>
  <c r="BG77" i="15"/>
  <c r="BF77" i="15"/>
  <c r="BE77" i="15"/>
  <c r="BC77" i="15"/>
  <c r="BB77" i="15"/>
  <c r="BA77" i="15"/>
  <c r="BL77" i="15" s="1"/>
  <c r="AG77" i="15"/>
  <c r="AH77" i="15" s="1"/>
  <c r="AC77" i="15"/>
  <c r="U77" i="15"/>
  <c r="I77" i="15"/>
  <c r="BK76" i="15"/>
  <c r="BJ76" i="15"/>
  <c r="BI76" i="15"/>
  <c r="BG76" i="15"/>
  <c r="BF76" i="15"/>
  <c r="BE76" i="15"/>
  <c r="BC76" i="15"/>
  <c r="BB76" i="15"/>
  <c r="BA76" i="15"/>
  <c r="BL76" i="15" s="1"/>
  <c r="AG76" i="15"/>
  <c r="AI76" i="15" s="1"/>
  <c r="AC76" i="15"/>
  <c r="I76" i="15"/>
  <c r="BK75" i="15"/>
  <c r="BJ75" i="15"/>
  <c r="BI75" i="15"/>
  <c r="BG75" i="15"/>
  <c r="BF75" i="15"/>
  <c r="BE75" i="15"/>
  <c r="BC75" i="15"/>
  <c r="BB75" i="15"/>
  <c r="BA75" i="15"/>
  <c r="BL75" i="15" s="1"/>
  <c r="AG75" i="15"/>
  <c r="AI75" i="15" s="1"/>
  <c r="AC75" i="15"/>
  <c r="U75" i="15"/>
  <c r="T75" i="15"/>
  <c r="I75" i="15"/>
  <c r="BK74" i="15"/>
  <c r="BJ74" i="15"/>
  <c r="BI74" i="15"/>
  <c r="BG74" i="15"/>
  <c r="BF74" i="15"/>
  <c r="BE74" i="15"/>
  <c r="BC74" i="15"/>
  <c r="BB74" i="15"/>
  <c r="BA74" i="15"/>
  <c r="BL74" i="15" s="1"/>
  <c r="AG74" i="15"/>
  <c r="AI74" i="15" s="1"/>
  <c r="AC74" i="15"/>
  <c r="U74" i="15"/>
  <c r="T74" i="15"/>
  <c r="I74" i="15"/>
  <c r="BK73" i="15"/>
  <c r="BJ73" i="15"/>
  <c r="BI73" i="15"/>
  <c r="BG73" i="15"/>
  <c r="BF73" i="15"/>
  <c r="BE73" i="15"/>
  <c r="BC73" i="15"/>
  <c r="BB73" i="15"/>
  <c r="BA73" i="15"/>
  <c r="BL73" i="15" s="1"/>
  <c r="AG73" i="15"/>
  <c r="AI73" i="15" s="1"/>
  <c r="AC73" i="15"/>
  <c r="U73" i="15"/>
  <c r="T73" i="15"/>
  <c r="I73" i="15"/>
  <c r="BK72" i="15"/>
  <c r="BJ72" i="15"/>
  <c r="BI72" i="15"/>
  <c r="BG72" i="15"/>
  <c r="BF72" i="15"/>
  <c r="BE72" i="15"/>
  <c r="BC72" i="15"/>
  <c r="BB72" i="15"/>
  <c r="BA72" i="15"/>
  <c r="BL72" i="15" s="1"/>
  <c r="AG72" i="15"/>
  <c r="AI72" i="15" s="1"/>
  <c r="AC72" i="15"/>
  <c r="U72" i="15"/>
  <c r="T72" i="15"/>
  <c r="I72" i="15"/>
  <c r="BK71" i="15"/>
  <c r="BJ71" i="15"/>
  <c r="BI71" i="15"/>
  <c r="BG71" i="15"/>
  <c r="BF71" i="15"/>
  <c r="BE71" i="15"/>
  <c r="BC71" i="15"/>
  <c r="BB71" i="15"/>
  <c r="BA71" i="15"/>
  <c r="BL71" i="15" s="1"/>
  <c r="AG71" i="15"/>
  <c r="AI71" i="15" s="1"/>
  <c r="AC71" i="15"/>
  <c r="U71" i="15"/>
  <c r="T71" i="15"/>
  <c r="I71" i="15"/>
  <c r="BK70" i="15"/>
  <c r="BJ70" i="15"/>
  <c r="BI70" i="15"/>
  <c r="BG70" i="15"/>
  <c r="BF70" i="15"/>
  <c r="BE70" i="15"/>
  <c r="BC70" i="15"/>
  <c r="BB70" i="15"/>
  <c r="BA70" i="15"/>
  <c r="BL70" i="15" s="1"/>
  <c r="AG70" i="15"/>
  <c r="AI70" i="15" s="1"/>
  <c r="AC70" i="15"/>
  <c r="U70" i="15"/>
  <c r="T70" i="15"/>
  <c r="I70" i="15"/>
  <c r="J70" i="15" s="1"/>
  <c r="H70" i="15"/>
  <c r="BK69" i="15"/>
  <c r="BJ69" i="15"/>
  <c r="BI69" i="15"/>
  <c r="BG69" i="15"/>
  <c r="BF69" i="15"/>
  <c r="BE69" i="15"/>
  <c r="BC69" i="15"/>
  <c r="BB69" i="15"/>
  <c r="BA69" i="15"/>
  <c r="BL69" i="15" s="1"/>
  <c r="AG69" i="15"/>
  <c r="AI69" i="15" s="1"/>
  <c r="AC69" i="15"/>
  <c r="U69" i="15"/>
  <c r="T69" i="15"/>
  <c r="I69" i="15"/>
  <c r="J69" i="15" s="1"/>
  <c r="H69" i="15"/>
  <c r="BK68" i="15"/>
  <c r="BJ68" i="15"/>
  <c r="BI68" i="15"/>
  <c r="BG68" i="15"/>
  <c r="BF68" i="15"/>
  <c r="BE68" i="15"/>
  <c r="BC68" i="15"/>
  <c r="BB68" i="15"/>
  <c r="BA68" i="15"/>
  <c r="BL68" i="15" s="1"/>
  <c r="AG68" i="15"/>
  <c r="AI68" i="15" s="1"/>
  <c r="U68" i="15"/>
  <c r="T68" i="15"/>
  <c r="I68" i="15"/>
  <c r="J68" i="15" s="1"/>
  <c r="H68" i="15"/>
  <c r="BK67" i="15"/>
  <c r="BJ67" i="15"/>
  <c r="BI67" i="15"/>
  <c r="BG67" i="15"/>
  <c r="BF67" i="15"/>
  <c r="BE67" i="15"/>
  <c r="BC67" i="15"/>
  <c r="BB67" i="15"/>
  <c r="BA67" i="15"/>
  <c r="BL67" i="15" s="1"/>
  <c r="AG67" i="15"/>
  <c r="AI67" i="15" s="1"/>
  <c r="AC67" i="15"/>
  <c r="U67" i="15"/>
  <c r="T67" i="15"/>
  <c r="I67" i="15"/>
  <c r="J67" i="15" s="1"/>
  <c r="H67" i="15"/>
  <c r="BK66" i="15"/>
  <c r="BJ66" i="15"/>
  <c r="BI66" i="15"/>
  <c r="BG66" i="15"/>
  <c r="BF66" i="15"/>
  <c r="BE66" i="15"/>
  <c r="BC66" i="15"/>
  <c r="BB66" i="15"/>
  <c r="BA66" i="15"/>
  <c r="BL66" i="15" s="1"/>
  <c r="AG66" i="15"/>
  <c r="AI66" i="15" s="1"/>
  <c r="AC66" i="15"/>
  <c r="U66" i="15"/>
  <c r="T66" i="15"/>
  <c r="I66" i="15"/>
  <c r="J66" i="15" s="1"/>
  <c r="H66" i="15"/>
  <c r="BK65" i="15"/>
  <c r="BJ65" i="15"/>
  <c r="BI65" i="15"/>
  <c r="BG65" i="15"/>
  <c r="BF65" i="15"/>
  <c r="BE65" i="15"/>
  <c r="BC65" i="15"/>
  <c r="BB65" i="15"/>
  <c r="BA65" i="15"/>
  <c r="BL65" i="15" s="1"/>
  <c r="AG65" i="15"/>
  <c r="AH65" i="15" s="1"/>
  <c r="AC65" i="15"/>
  <c r="U65" i="15"/>
  <c r="T65" i="15"/>
  <c r="I65" i="15"/>
  <c r="J65" i="15" s="1"/>
  <c r="H65" i="15"/>
  <c r="BK64" i="15"/>
  <c r="BJ64" i="15"/>
  <c r="BI64" i="15"/>
  <c r="BG64" i="15"/>
  <c r="BF64" i="15"/>
  <c r="BE64" i="15"/>
  <c r="BC64" i="15"/>
  <c r="BB64" i="15"/>
  <c r="BA64" i="15"/>
  <c r="BL64" i="15" s="1"/>
  <c r="AG64" i="15"/>
  <c r="AI64" i="15" s="1"/>
  <c r="U64" i="15"/>
  <c r="T64" i="15"/>
  <c r="I64" i="15"/>
  <c r="J64" i="15" s="1"/>
  <c r="H64" i="15"/>
  <c r="BK63" i="15"/>
  <c r="BJ63" i="15"/>
  <c r="BI63" i="15"/>
  <c r="BG63" i="15"/>
  <c r="BF63" i="15"/>
  <c r="BE63" i="15"/>
  <c r="BC63" i="15"/>
  <c r="BB63" i="15"/>
  <c r="BA63" i="15"/>
  <c r="BL63" i="15" s="1"/>
  <c r="AG63" i="15"/>
  <c r="AI63" i="15" s="1"/>
  <c r="U63" i="15"/>
  <c r="T63" i="15"/>
  <c r="I63" i="15"/>
  <c r="J63" i="15" s="1"/>
  <c r="H63" i="15"/>
  <c r="BK62" i="15"/>
  <c r="BJ62" i="15"/>
  <c r="BI62" i="15"/>
  <c r="BG62" i="15"/>
  <c r="BF62" i="15"/>
  <c r="BE62" i="15"/>
  <c r="BC62" i="15"/>
  <c r="BB62" i="15"/>
  <c r="BA62" i="15"/>
  <c r="BL62" i="15" s="1"/>
  <c r="AG62" i="15"/>
  <c r="AI62" i="15" s="1"/>
  <c r="U62" i="15"/>
  <c r="T62" i="15"/>
  <c r="I62" i="15"/>
  <c r="J62" i="15" s="1"/>
  <c r="H62" i="15"/>
  <c r="BK61" i="15"/>
  <c r="BJ61" i="15"/>
  <c r="BI61" i="15"/>
  <c r="BG61" i="15"/>
  <c r="BF61" i="15"/>
  <c r="BE61" i="15"/>
  <c r="BC61" i="15"/>
  <c r="BB61" i="15"/>
  <c r="BA61" i="15"/>
  <c r="BL61" i="15" s="1"/>
  <c r="AG61" i="15"/>
  <c r="AI61" i="15" s="1"/>
  <c r="U61" i="15"/>
  <c r="T61" i="15"/>
  <c r="I61" i="15"/>
  <c r="J61" i="15" s="1"/>
  <c r="H61" i="15"/>
  <c r="BK60" i="15"/>
  <c r="BJ60" i="15"/>
  <c r="BI60" i="15"/>
  <c r="BG60" i="15"/>
  <c r="BF60" i="15"/>
  <c r="BE60" i="15"/>
  <c r="BC60" i="15"/>
  <c r="BB60" i="15"/>
  <c r="BA60" i="15"/>
  <c r="BL60" i="15" s="1"/>
  <c r="AG60" i="15"/>
  <c r="AI60" i="15" s="1"/>
  <c r="U60" i="15"/>
  <c r="T60" i="15"/>
  <c r="I60" i="15"/>
  <c r="J60" i="15" s="1"/>
  <c r="H60" i="15"/>
  <c r="BK59" i="15"/>
  <c r="BJ59" i="15"/>
  <c r="BI59" i="15"/>
  <c r="BG59" i="15"/>
  <c r="BF59" i="15"/>
  <c r="BE59" i="15"/>
  <c r="BC59" i="15"/>
  <c r="BB59" i="15"/>
  <c r="BA59" i="15"/>
  <c r="BL59" i="15" s="1"/>
  <c r="AG59" i="15"/>
  <c r="AI59" i="15" s="1"/>
  <c r="AC59" i="15"/>
  <c r="U59" i="15"/>
  <c r="T59" i="15"/>
  <c r="I59" i="15"/>
  <c r="J59" i="15" s="1"/>
  <c r="H59" i="15"/>
  <c r="BK58" i="15"/>
  <c r="BJ58" i="15"/>
  <c r="BI58" i="15"/>
  <c r="BG58" i="15"/>
  <c r="BF58" i="15"/>
  <c r="BE58" i="15"/>
  <c r="BC58" i="15"/>
  <c r="BB58" i="15"/>
  <c r="BA58" i="15"/>
  <c r="BL58" i="15" s="1"/>
  <c r="AG58" i="15"/>
  <c r="AI58" i="15" s="1"/>
  <c r="AC58" i="15"/>
  <c r="U58" i="15"/>
  <c r="T58" i="15"/>
  <c r="I58" i="15"/>
  <c r="J58" i="15" s="1"/>
  <c r="H58" i="15"/>
  <c r="BK57" i="15"/>
  <c r="BJ57" i="15"/>
  <c r="BI57" i="15"/>
  <c r="BG57" i="15"/>
  <c r="BF57" i="15"/>
  <c r="BE57" i="15"/>
  <c r="BC57" i="15"/>
  <c r="BB57" i="15"/>
  <c r="BA57" i="15"/>
  <c r="BL57" i="15" s="1"/>
  <c r="AG57" i="15"/>
  <c r="AI57" i="15" s="1"/>
  <c r="AC57" i="15"/>
  <c r="U57" i="15"/>
  <c r="T57" i="15"/>
  <c r="I57" i="15"/>
  <c r="J57" i="15" s="1"/>
  <c r="H57" i="15"/>
  <c r="BK56" i="15"/>
  <c r="BJ56" i="15"/>
  <c r="BI56" i="15"/>
  <c r="BG56" i="15"/>
  <c r="BF56" i="15"/>
  <c r="BE56" i="15"/>
  <c r="BC56" i="15"/>
  <c r="BB56" i="15"/>
  <c r="BA56" i="15"/>
  <c r="BL56" i="15" s="1"/>
  <c r="AG56" i="15"/>
  <c r="AH56" i="15" s="1"/>
  <c r="AC56" i="15"/>
  <c r="U56" i="15"/>
  <c r="T56" i="15"/>
  <c r="I56" i="15"/>
  <c r="J56" i="15" s="1"/>
  <c r="H56" i="15"/>
  <c r="BK55" i="15"/>
  <c r="BJ55" i="15"/>
  <c r="BI55" i="15"/>
  <c r="BG55" i="15"/>
  <c r="BF55" i="15"/>
  <c r="BE55" i="15"/>
  <c r="BC55" i="15"/>
  <c r="BB55" i="15"/>
  <c r="BA55" i="15"/>
  <c r="BL55" i="15" s="1"/>
  <c r="AG55" i="15"/>
  <c r="AI55" i="15" s="1"/>
  <c r="AC55" i="15"/>
  <c r="U55" i="15"/>
  <c r="T55" i="15"/>
  <c r="I55" i="15"/>
  <c r="J55" i="15" s="1"/>
  <c r="H55" i="15"/>
  <c r="BK54" i="15"/>
  <c r="BJ54" i="15"/>
  <c r="BI54" i="15"/>
  <c r="BG54" i="15"/>
  <c r="BF54" i="15"/>
  <c r="BE54" i="15"/>
  <c r="BC54" i="15"/>
  <c r="BB54" i="15"/>
  <c r="BA54" i="15"/>
  <c r="BL54" i="15" s="1"/>
  <c r="AG54" i="15"/>
  <c r="AI54" i="15" s="1"/>
  <c r="AC54" i="15"/>
  <c r="U54" i="15"/>
  <c r="T54" i="15"/>
  <c r="I54" i="15"/>
  <c r="J54" i="15" s="1"/>
  <c r="H54" i="15"/>
  <c r="BK53" i="15"/>
  <c r="BJ53" i="15"/>
  <c r="BI53" i="15"/>
  <c r="BG53" i="15"/>
  <c r="BF53" i="15"/>
  <c r="BE53" i="15"/>
  <c r="BC53" i="15"/>
  <c r="BB53" i="15"/>
  <c r="BA53" i="15"/>
  <c r="BL53" i="15" s="1"/>
  <c r="AG53" i="15"/>
  <c r="AI53" i="15" s="1"/>
  <c r="U53" i="15"/>
  <c r="T53" i="15"/>
  <c r="I53" i="15"/>
  <c r="J53" i="15" s="1"/>
  <c r="H53" i="15"/>
  <c r="BK52" i="15"/>
  <c r="BJ52" i="15"/>
  <c r="BI52" i="15"/>
  <c r="BG52" i="15"/>
  <c r="BF52" i="15"/>
  <c r="BE52" i="15"/>
  <c r="BC52" i="15"/>
  <c r="BB52" i="15"/>
  <c r="BA52" i="15"/>
  <c r="BL52" i="15" s="1"/>
  <c r="AG52" i="15"/>
  <c r="AI52" i="15" s="1"/>
  <c r="U52" i="15"/>
  <c r="T52" i="15"/>
  <c r="I52" i="15"/>
  <c r="J52" i="15" s="1"/>
  <c r="H52" i="15"/>
  <c r="BK51" i="15"/>
  <c r="BJ51" i="15"/>
  <c r="BI51" i="15"/>
  <c r="BG51" i="15"/>
  <c r="BF51" i="15"/>
  <c r="BE51" i="15"/>
  <c r="BC51" i="15"/>
  <c r="BB51" i="15"/>
  <c r="BA51" i="15"/>
  <c r="BL51" i="15" s="1"/>
  <c r="AG51" i="15"/>
  <c r="AI51" i="15" s="1"/>
  <c r="U51" i="15"/>
  <c r="T51" i="15"/>
  <c r="I51" i="15"/>
  <c r="J51" i="15" s="1"/>
  <c r="H51" i="15"/>
  <c r="BK50" i="15"/>
  <c r="BJ50" i="15"/>
  <c r="BI50" i="15"/>
  <c r="BG50" i="15"/>
  <c r="BF50" i="15"/>
  <c r="BE50" i="15"/>
  <c r="BC50" i="15"/>
  <c r="BB50" i="15"/>
  <c r="BA50" i="15"/>
  <c r="BL50" i="15" s="1"/>
  <c r="AG50" i="15"/>
  <c r="AH50" i="15" s="1"/>
  <c r="U50" i="15"/>
  <c r="T50" i="15"/>
  <c r="I50" i="15"/>
  <c r="J50" i="15" s="1"/>
  <c r="H50" i="15"/>
  <c r="BK49" i="15"/>
  <c r="BJ49" i="15"/>
  <c r="BI49" i="15"/>
  <c r="BG49" i="15"/>
  <c r="BF49" i="15"/>
  <c r="BE49" i="15"/>
  <c r="BC49" i="15"/>
  <c r="BB49" i="15"/>
  <c r="BA49" i="15"/>
  <c r="BL49" i="15" s="1"/>
  <c r="AG49" i="15"/>
  <c r="AI49" i="15" s="1"/>
  <c r="AD49" i="15"/>
  <c r="AD50" i="15" s="1"/>
  <c r="AC49" i="15"/>
  <c r="U49" i="15"/>
  <c r="T49" i="15"/>
  <c r="I49" i="15"/>
  <c r="J49" i="15" s="1"/>
  <c r="H49" i="15"/>
  <c r="BK48" i="15"/>
  <c r="BJ48" i="15"/>
  <c r="BI48" i="15"/>
  <c r="BG48" i="15"/>
  <c r="BF48" i="15"/>
  <c r="BE48" i="15"/>
  <c r="BC48" i="15"/>
  <c r="BB48" i="15"/>
  <c r="BA48" i="15"/>
  <c r="BL48" i="15" s="1"/>
  <c r="AG48" i="15"/>
  <c r="AH48" i="15" s="1"/>
  <c r="AC48" i="15"/>
  <c r="U48" i="15"/>
  <c r="T48" i="15"/>
  <c r="I48" i="15"/>
  <c r="J48" i="15" s="1"/>
  <c r="H48" i="15"/>
  <c r="BK47" i="15"/>
  <c r="BJ47" i="15"/>
  <c r="BI47" i="15"/>
  <c r="BG47" i="15"/>
  <c r="BF47" i="15"/>
  <c r="BE47" i="15"/>
  <c r="BC47" i="15"/>
  <c r="BB47" i="15"/>
  <c r="BA47" i="15"/>
  <c r="BL47" i="15" s="1"/>
  <c r="AG47" i="15"/>
  <c r="AI47" i="15" s="1"/>
  <c r="AC47" i="15"/>
  <c r="U47" i="15"/>
  <c r="T47" i="15"/>
  <c r="I47" i="15"/>
  <c r="J47" i="15" s="1"/>
  <c r="H47" i="15"/>
  <c r="BK46" i="15"/>
  <c r="BJ46" i="15"/>
  <c r="BI46" i="15"/>
  <c r="BG46" i="15"/>
  <c r="BF46" i="15"/>
  <c r="BE46" i="15"/>
  <c r="BC46" i="15"/>
  <c r="BB46" i="15"/>
  <c r="BA46" i="15"/>
  <c r="BL46" i="15" s="1"/>
  <c r="AG46" i="15"/>
  <c r="AH46" i="15" s="1"/>
  <c r="AC46" i="15"/>
  <c r="U46" i="15"/>
  <c r="T46" i="15"/>
  <c r="I46" i="15"/>
  <c r="J46" i="15" s="1"/>
  <c r="H46" i="15"/>
  <c r="BK45" i="15"/>
  <c r="BJ45" i="15"/>
  <c r="BI45" i="15"/>
  <c r="BG45" i="15"/>
  <c r="BF45" i="15"/>
  <c r="BE45" i="15"/>
  <c r="BC45" i="15"/>
  <c r="BB45" i="15"/>
  <c r="BA45" i="15"/>
  <c r="BL45" i="15" s="1"/>
  <c r="AG45" i="15"/>
  <c r="AI45" i="15" s="1"/>
  <c r="U45" i="15"/>
  <c r="T45" i="15"/>
  <c r="I45" i="15"/>
  <c r="J45" i="15" s="1"/>
  <c r="H45" i="15"/>
  <c r="BK44" i="15"/>
  <c r="BJ44" i="15"/>
  <c r="BI44" i="15"/>
  <c r="BG44" i="15"/>
  <c r="BF44" i="15"/>
  <c r="BE44" i="15"/>
  <c r="BC44" i="15"/>
  <c r="BB44" i="15"/>
  <c r="BA44" i="15"/>
  <c r="BL44" i="15" s="1"/>
  <c r="AG44" i="15"/>
  <c r="AI44" i="15" s="1"/>
  <c r="U44" i="15"/>
  <c r="T44" i="15"/>
  <c r="I44" i="15"/>
  <c r="J44" i="15" s="1"/>
  <c r="H44" i="15"/>
  <c r="BK43" i="15"/>
  <c r="BJ43" i="15"/>
  <c r="BI43" i="15"/>
  <c r="BG43" i="15"/>
  <c r="BF43" i="15"/>
  <c r="BE43" i="15"/>
  <c r="BC43" i="15"/>
  <c r="BB43" i="15"/>
  <c r="BA43" i="15"/>
  <c r="BL43" i="15" s="1"/>
  <c r="AG43" i="15"/>
  <c r="AI43" i="15" s="1"/>
  <c r="U43" i="15"/>
  <c r="T43" i="15"/>
  <c r="I43" i="15"/>
  <c r="J43" i="15" s="1"/>
  <c r="H43" i="15"/>
  <c r="BK42" i="15"/>
  <c r="BJ42" i="15"/>
  <c r="BI42" i="15"/>
  <c r="BG42" i="15"/>
  <c r="BF42" i="15"/>
  <c r="BE42" i="15"/>
  <c r="BC42" i="15"/>
  <c r="BB42" i="15"/>
  <c r="BA42" i="15"/>
  <c r="BL42" i="15" s="1"/>
  <c r="AG42" i="15"/>
  <c r="AI42" i="15" s="1"/>
  <c r="U42" i="15"/>
  <c r="T42" i="15"/>
  <c r="I42" i="15"/>
  <c r="J42" i="15" s="1"/>
  <c r="H42" i="15"/>
  <c r="BK41" i="15"/>
  <c r="BJ41" i="15"/>
  <c r="BI41" i="15"/>
  <c r="BG41" i="15"/>
  <c r="BF41" i="15"/>
  <c r="BE41" i="15"/>
  <c r="BC41" i="15"/>
  <c r="BB41" i="15"/>
  <c r="BA41" i="15"/>
  <c r="BL41" i="15" s="1"/>
  <c r="AG41" i="15"/>
  <c r="AI41" i="15" s="1"/>
  <c r="U41" i="15"/>
  <c r="T41" i="15"/>
  <c r="I41" i="15"/>
  <c r="J41" i="15" s="1"/>
  <c r="H41" i="15"/>
  <c r="BK40" i="15"/>
  <c r="BJ40" i="15"/>
  <c r="BI40" i="15"/>
  <c r="BG40" i="15"/>
  <c r="BF40" i="15"/>
  <c r="BE40" i="15"/>
  <c r="BC40" i="15"/>
  <c r="BB40" i="15"/>
  <c r="BA40" i="15"/>
  <c r="BL40" i="15" s="1"/>
  <c r="AG40" i="15"/>
  <c r="AI40" i="15" s="1"/>
  <c r="U40" i="15"/>
  <c r="T40" i="15"/>
  <c r="I40" i="15"/>
  <c r="J40" i="15" s="1"/>
  <c r="H40" i="15"/>
  <c r="BK39" i="15"/>
  <c r="BJ39" i="15"/>
  <c r="BI39" i="15"/>
  <c r="BG39" i="15"/>
  <c r="BF39" i="15"/>
  <c r="BE39" i="15"/>
  <c r="BC39" i="15"/>
  <c r="BB39" i="15"/>
  <c r="BA39" i="15"/>
  <c r="BL39" i="15" s="1"/>
  <c r="AG39" i="15"/>
  <c r="AI39" i="15" s="1"/>
  <c r="U39" i="15"/>
  <c r="T39" i="15"/>
  <c r="I39" i="15"/>
  <c r="J39" i="15" s="1"/>
  <c r="H39" i="15"/>
  <c r="BK38" i="15"/>
  <c r="BJ38" i="15"/>
  <c r="BI38" i="15"/>
  <c r="BG38" i="15"/>
  <c r="BF38" i="15"/>
  <c r="BE38" i="15"/>
  <c r="BC38" i="15"/>
  <c r="BB38" i="15"/>
  <c r="BA38" i="15"/>
  <c r="BL38" i="15" s="1"/>
  <c r="AG38" i="15"/>
  <c r="AI38" i="15" s="1"/>
  <c r="U38" i="15"/>
  <c r="T38" i="15"/>
  <c r="I38" i="15"/>
  <c r="J38" i="15" s="1"/>
  <c r="H38" i="15"/>
  <c r="BK37" i="15"/>
  <c r="BJ37" i="15"/>
  <c r="BI37" i="15"/>
  <c r="BG37" i="15"/>
  <c r="BF37" i="15"/>
  <c r="BE37" i="15"/>
  <c r="BC37" i="15"/>
  <c r="BB37" i="15"/>
  <c r="BA37" i="15"/>
  <c r="BL37" i="15" s="1"/>
  <c r="AG37" i="15"/>
  <c r="AI37" i="15" s="1"/>
  <c r="U37" i="15"/>
  <c r="T37" i="15"/>
  <c r="I37" i="15"/>
  <c r="J37" i="15" s="1"/>
  <c r="H37" i="15"/>
  <c r="BK36" i="15"/>
  <c r="BJ36" i="15"/>
  <c r="BI36" i="15"/>
  <c r="BG36" i="15"/>
  <c r="BF36" i="15"/>
  <c r="BE36" i="15"/>
  <c r="BC36" i="15"/>
  <c r="BB36" i="15"/>
  <c r="BA36" i="15"/>
  <c r="BL36" i="15" s="1"/>
  <c r="AG36" i="15"/>
  <c r="AI36" i="15" s="1"/>
  <c r="U36" i="15"/>
  <c r="T36" i="15"/>
  <c r="I36" i="15"/>
  <c r="BK35" i="15"/>
  <c r="BJ35" i="15"/>
  <c r="BI35" i="15"/>
  <c r="BG35" i="15"/>
  <c r="BF35" i="15"/>
  <c r="BE35" i="15"/>
  <c r="BC35" i="15"/>
  <c r="BB35" i="15"/>
  <c r="BA35" i="15"/>
  <c r="BL35" i="15" s="1"/>
  <c r="AG35" i="15"/>
  <c r="AI35" i="15" s="1"/>
  <c r="U35" i="15"/>
  <c r="T35" i="15"/>
  <c r="I35" i="15"/>
  <c r="BK34" i="15"/>
  <c r="BJ34" i="15"/>
  <c r="BI34" i="15"/>
  <c r="BG34" i="15"/>
  <c r="BF34" i="15"/>
  <c r="BE34" i="15"/>
  <c r="BC34" i="15"/>
  <c r="BB34" i="15"/>
  <c r="BA34" i="15"/>
  <c r="BL34" i="15" s="1"/>
  <c r="AG34" i="15"/>
  <c r="AI34" i="15" s="1"/>
  <c r="U34" i="15"/>
  <c r="T34" i="15"/>
  <c r="I34" i="15"/>
  <c r="BK33" i="15"/>
  <c r="BJ33" i="15"/>
  <c r="BI33" i="15"/>
  <c r="BG33" i="15"/>
  <c r="BF33" i="15"/>
  <c r="BE33" i="15"/>
  <c r="BC33" i="15"/>
  <c r="BB33" i="15"/>
  <c r="BA33" i="15"/>
  <c r="BL33" i="15" s="1"/>
  <c r="AG33" i="15"/>
  <c r="AI33" i="15" s="1"/>
  <c r="U33" i="15"/>
  <c r="T33" i="15"/>
  <c r="I33" i="15"/>
  <c r="BK32" i="15"/>
  <c r="BJ32" i="15"/>
  <c r="BI32" i="15"/>
  <c r="BG32" i="15"/>
  <c r="BF32" i="15"/>
  <c r="BE32" i="15"/>
  <c r="BC32" i="15"/>
  <c r="BB32" i="15"/>
  <c r="BA32" i="15"/>
  <c r="BL32" i="15" s="1"/>
  <c r="AG32" i="15"/>
  <c r="AI32" i="15" s="1"/>
  <c r="U32" i="15"/>
  <c r="T32" i="15"/>
  <c r="I32" i="15"/>
  <c r="BK31" i="15"/>
  <c r="BJ31" i="15"/>
  <c r="BI31" i="15"/>
  <c r="BG31" i="15"/>
  <c r="BF31" i="15"/>
  <c r="BE31" i="15"/>
  <c r="BC31" i="15"/>
  <c r="BB31" i="15"/>
  <c r="BA31" i="15"/>
  <c r="BL31" i="15" s="1"/>
  <c r="AG31" i="15"/>
  <c r="AI31" i="15" s="1"/>
  <c r="U31" i="15"/>
  <c r="T31" i="15"/>
  <c r="I31" i="15"/>
  <c r="BL30" i="15"/>
  <c r="AG30" i="15"/>
  <c r="AI30" i="15" s="1"/>
  <c r="U30" i="15"/>
  <c r="T30" i="15"/>
  <c r="I30" i="15"/>
  <c r="BL29" i="15"/>
  <c r="AG29" i="15"/>
  <c r="AI29" i="15" s="1"/>
  <c r="U29" i="15"/>
  <c r="T29" i="15"/>
  <c r="I29" i="15"/>
  <c r="BL28" i="15"/>
  <c r="AG28" i="15"/>
  <c r="AI28" i="15" s="1"/>
  <c r="U28" i="15"/>
  <c r="T28" i="15"/>
  <c r="I28" i="15"/>
  <c r="BL27" i="15"/>
  <c r="AG27" i="15"/>
  <c r="AI27" i="15" s="1"/>
  <c r="U27" i="15"/>
  <c r="T27" i="15"/>
  <c r="I27" i="15"/>
  <c r="BL26" i="15"/>
  <c r="AG26" i="15"/>
  <c r="AI26" i="15" s="1"/>
  <c r="U26" i="15"/>
  <c r="T26" i="15"/>
  <c r="I26" i="15"/>
  <c r="BL25" i="15"/>
  <c r="AG25" i="15"/>
  <c r="AI25" i="15" s="1"/>
  <c r="U25" i="15"/>
  <c r="T25" i="15"/>
  <c r="I25" i="15"/>
  <c r="BL24" i="15"/>
  <c r="AG24" i="15"/>
  <c r="AI24" i="15" s="1"/>
  <c r="U24" i="15"/>
  <c r="T24" i="15"/>
  <c r="I24" i="15"/>
  <c r="BL23" i="15"/>
  <c r="AG23" i="15"/>
  <c r="AI23" i="15" s="1"/>
  <c r="U23" i="15"/>
  <c r="T23" i="15"/>
  <c r="I23" i="15"/>
  <c r="BL22" i="15"/>
  <c r="AG22" i="15"/>
  <c r="AI22" i="15" s="1"/>
  <c r="U22" i="15"/>
  <c r="T22" i="15"/>
  <c r="I22" i="15"/>
  <c r="BL21" i="15"/>
  <c r="AG21" i="15"/>
  <c r="AI21" i="15" s="1"/>
  <c r="U21" i="15"/>
  <c r="T21" i="15"/>
  <c r="I21" i="15"/>
  <c r="BL20" i="15"/>
  <c r="AG20" i="15"/>
  <c r="AI20" i="15" s="1"/>
  <c r="U20" i="15"/>
  <c r="T20" i="15"/>
  <c r="I20" i="15"/>
  <c r="BL19" i="15"/>
  <c r="AG19" i="15"/>
  <c r="AI19" i="15" s="1"/>
  <c r="U19" i="15"/>
  <c r="T19" i="15"/>
  <c r="I19" i="15"/>
  <c r="BL18" i="15"/>
  <c r="AG18" i="15"/>
  <c r="AI18" i="15" s="1"/>
  <c r="U18" i="15"/>
  <c r="T18" i="15"/>
  <c r="I18" i="15"/>
  <c r="BL17" i="15"/>
  <c r="AG17" i="15"/>
  <c r="AI17" i="15" s="1"/>
  <c r="U17" i="15"/>
  <c r="T17" i="15"/>
  <c r="I17" i="15"/>
  <c r="BL16" i="15"/>
  <c r="AG16" i="15"/>
  <c r="AI16" i="15" s="1"/>
  <c r="U16" i="15"/>
  <c r="T16" i="15"/>
  <c r="I16" i="15"/>
  <c r="BL15" i="15"/>
  <c r="AG15" i="15"/>
  <c r="AI15" i="15" s="1"/>
  <c r="U15" i="15"/>
  <c r="T15" i="15"/>
  <c r="I15" i="15"/>
  <c r="BL14" i="15"/>
  <c r="AG14" i="15"/>
  <c r="AI14" i="15" s="1"/>
  <c r="U14" i="15"/>
  <c r="T14" i="15"/>
  <c r="I14" i="15"/>
  <c r="BL13" i="15"/>
  <c r="AG13" i="15"/>
  <c r="AI13" i="15" s="1"/>
  <c r="U13" i="15"/>
  <c r="T13" i="15"/>
  <c r="I13" i="15"/>
  <c r="BL12" i="15"/>
  <c r="AG12" i="15"/>
  <c r="AI12" i="15" s="1"/>
  <c r="U12" i="15"/>
  <c r="T12" i="15"/>
  <c r="I12" i="15"/>
  <c r="BL11" i="15"/>
  <c r="AG11" i="15"/>
  <c r="AI11" i="15" s="1"/>
  <c r="U11" i="15"/>
  <c r="T11" i="15"/>
  <c r="I11" i="15"/>
  <c r="BL10" i="15"/>
  <c r="AG10" i="15"/>
  <c r="AI10" i="15" s="1"/>
  <c r="U10" i="15"/>
  <c r="T10" i="15"/>
  <c r="I10" i="15"/>
  <c r="AG9" i="15"/>
  <c r="AI9" i="15" s="1"/>
  <c r="U9" i="15"/>
  <c r="T9" i="15"/>
  <c r="I9" i="15"/>
  <c r="AG8" i="15"/>
  <c r="AI8" i="15" s="1"/>
  <c r="U8" i="15"/>
  <c r="T8" i="15"/>
  <c r="I8" i="15"/>
  <c r="AG7" i="15"/>
  <c r="AI7" i="15" s="1"/>
  <c r="U7" i="15"/>
  <c r="T7" i="15"/>
  <c r="I7" i="15"/>
  <c r="AG6" i="15"/>
  <c r="AI6" i="15" s="1"/>
  <c r="U6" i="15"/>
  <c r="T6" i="15"/>
  <c r="I6" i="15"/>
  <c r="AG5" i="15"/>
  <c r="AI5" i="15" s="1"/>
  <c r="U5" i="15"/>
  <c r="T5" i="15"/>
  <c r="I5" i="15"/>
  <c r="AG4" i="15"/>
  <c r="AI4" i="15" s="1"/>
  <c r="U4" i="15"/>
  <c r="T4" i="15"/>
  <c r="I4" i="15"/>
  <c r="AG3" i="15"/>
  <c r="AI3" i="15" s="1"/>
  <c r="U3" i="15"/>
  <c r="T3" i="15"/>
  <c r="I3" i="15"/>
  <c r="Z37" i="9" l="1"/>
  <c r="AI56" i="15"/>
  <c r="V61" i="15"/>
  <c r="V75" i="15"/>
  <c r="AH64" i="15"/>
  <c r="AI124" i="15"/>
  <c r="V21" i="15"/>
  <c r="V57" i="15"/>
  <c r="V67" i="15"/>
  <c r="V4" i="15"/>
  <c r="V65" i="15"/>
  <c r="AH127" i="15"/>
  <c r="V60" i="15"/>
  <c r="V20" i="15"/>
  <c r="V50" i="15"/>
  <c r="V63" i="15"/>
  <c r="V34" i="15"/>
  <c r="AI145" i="15"/>
  <c r="AI132" i="15"/>
  <c r="AH73" i="15"/>
  <c r="V62" i="15"/>
  <c r="V8" i="15"/>
  <c r="V27" i="15"/>
  <c r="AH94" i="15"/>
  <c r="AI83" i="15"/>
  <c r="AH85" i="15"/>
  <c r="AH51" i="15"/>
  <c r="V52" i="15"/>
  <c r="V59" i="15"/>
  <c r="V72" i="15"/>
  <c r="V73" i="15"/>
  <c r="V42" i="15"/>
  <c r="AH68" i="15"/>
  <c r="AH137" i="15"/>
  <c r="V22" i="15"/>
  <c r="V25" i="15"/>
  <c r="V28" i="15"/>
  <c r="V45" i="15"/>
  <c r="V16" i="15"/>
  <c r="V51" i="15"/>
  <c r="AH45" i="15"/>
  <c r="V3" i="15"/>
  <c r="V23" i="15"/>
  <c r="V56" i="15"/>
  <c r="AH75" i="15"/>
  <c r="AH146" i="15"/>
  <c r="V46" i="15"/>
  <c r="V18" i="15"/>
  <c r="AH129" i="15"/>
  <c r="AH141" i="15"/>
  <c r="AH74" i="15"/>
  <c r="AH61" i="15"/>
  <c r="V68" i="15"/>
  <c r="AH76" i="15"/>
  <c r="AH81" i="15"/>
  <c r="AH90" i="15"/>
  <c r="AI91" i="15"/>
  <c r="AH92" i="15"/>
  <c r="AH95" i="15"/>
  <c r="AH123" i="15"/>
  <c r="V5" i="15"/>
  <c r="V26" i="15"/>
  <c r="V31" i="15"/>
  <c r="V32" i="15"/>
  <c r="V33" i="15"/>
  <c r="V35" i="15"/>
  <c r="V38" i="15"/>
  <c r="V47" i="15"/>
  <c r="V53" i="15"/>
  <c r="AH57" i="15"/>
  <c r="V58" i="15"/>
  <c r="AI77" i="15"/>
  <c r="AI78" i="15"/>
  <c r="AH82" i="15"/>
  <c r="AI138" i="15"/>
  <c r="AH143" i="15"/>
  <c r="AH148" i="15"/>
  <c r="V13" i="15"/>
  <c r="V48" i="15"/>
  <c r="V54" i="15"/>
  <c r="AI139" i="15"/>
  <c r="V6" i="15"/>
  <c r="V9" i="15"/>
  <c r="AH125" i="15"/>
  <c r="AH130" i="15"/>
  <c r="V36" i="15"/>
  <c r="V39" i="15"/>
  <c r="V24" i="15"/>
  <c r="V40" i="15"/>
  <c r="V70" i="15"/>
  <c r="AH86" i="15"/>
  <c r="AH134" i="15"/>
  <c r="AH144" i="15"/>
  <c r="V19" i="15"/>
  <c r="V64" i="15"/>
  <c r="V69" i="15"/>
  <c r="V14" i="15"/>
  <c r="V17" i="15"/>
  <c r="AH71" i="15"/>
  <c r="V74" i="15"/>
  <c r="V7" i="15"/>
  <c r="V30" i="15"/>
  <c r="AH49" i="15"/>
  <c r="AH59" i="15"/>
  <c r="AI131" i="15"/>
  <c r="AH136" i="15"/>
  <c r="V44" i="15"/>
  <c r="V66" i="15"/>
  <c r="V11" i="15"/>
  <c r="V41" i="15"/>
  <c r="V49" i="15"/>
  <c r="V55" i="15"/>
  <c r="V71" i="15"/>
  <c r="V12" i="15"/>
  <c r="V10" i="15"/>
  <c r="V15" i="15"/>
  <c r="AH122" i="15"/>
  <c r="V37" i="15"/>
  <c r="AH53" i="15"/>
  <c r="V29" i="15"/>
  <c r="AH58" i="15"/>
  <c r="AH63" i="15"/>
  <c r="V43" i="15"/>
  <c r="AD51" i="15"/>
  <c r="AC51" i="15"/>
  <c r="AH62" i="15"/>
  <c r="AH67" i="15"/>
  <c r="AI50" i="15"/>
  <c r="AH79" i="15"/>
  <c r="AI46" i="15"/>
  <c r="AH55" i="15"/>
  <c r="AI65" i="15"/>
  <c r="AH70" i="15"/>
  <c r="AI87" i="15"/>
  <c r="AH88" i="15"/>
  <c r="AH126" i="15"/>
  <c r="AH133" i="15"/>
  <c r="AH140" i="15"/>
  <c r="AH147" i="15"/>
  <c r="AH60" i="15"/>
  <c r="AH80" i="15"/>
  <c r="AH89" i="15"/>
  <c r="AI48" i="15"/>
  <c r="AH47" i="15"/>
  <c r="AH66" i="15"/>
  <c r="AH93" i="15"/>
  <c r="AC50" i="15"/>
  <c r="AH54" i="15"/>
  <c r="AH69" i="15"/>
  <c r="AH72" i="15"/>
  <c r="AH84" i="15"/>
  <c r="AH96" i="15"/>
  <c r="AH97" i="15"/>
  <c r="AH98" i="15"/>
  <c r="AH99" i="15"/>
  <c r="AH100" i="15"/>
  <c r="AH101" i="15"/>
  <c r="AH102" i="15"/>
  <c r="AH103" i="15"/>
  <c r="AH104" i="15"/>
  <c r="AH105" i="15"/>
  <c r="AH106" i="15"/>
  <c r="AH107" i="15"/>
  <c r="AH108" i="15"/>
  <c r="AH109" i="15"/>
  <c r="AH110" i="15"/>
  <c r="AH111" i="15"/>
  <c r="AH112" i="15"/>
  <c r="AH113" i="15"/>
  <c r="AH114" i="15"/>
  <c r="AH115" i="15"/>
  <c r="AH116" i="15"/>
  <c r="AH117" i="15"/>
  <c r="AH118" i="15"/>
  <c r="AH119" i="15"/>
  <c r="AH120" i="15"/>
  <c r="AH121" i="15"/>
  <c r="AH128" i="15"/>
  <c r="AH135" i="15"/>
  <c r="AH142" i="15"/>
  <c r="AH52" i="15"/>
  <c r="AD52" i="15" l="1"/>
  <c r="AC52" i="15"/>
  <c r="J173" i="11" l="1"/>
  <c r="J172" i="11"/>
  <c r="J171" i="11"/>
  <c r="J170" i="11"/>
  <c r="J169" i="11"/>
  <c r="J168" i="11"/>
  <c r="J166" i="11"/>
  <c r="J165" i="11"/>
  <c r="J164" i="11"/>
  <c r="J163" i="11"/>
  <c r="J162" i="11"/>
  <c r="J161" i="11"/>
  <c r="J160" i="11"/>
  <c r="J159" i="11"/>
  <c r="J158" i="11"/>
  <c r="J157" i="11"/>
  <c r="J156" i="11"/>
  <c r="J155" i="11"/>
  <c r="J154" i="11"/>
  <c r="J153" i="11"/>
  <c r="J152" i="11"/>
  <c r="J151" i="11"/>
  <c r="J150" i="11"/>
  <c r="J149" i="11"/>
  <c r="J148" i="11"/>
  <c r="J147" i="11"/>
  <c r="J146" i="11"/>
  <c r="J145" i="11"/>
  <c r="J144" i="11"/>
  <c r="J143" i="11"/>
  <c r="J142" i="11"/>
  <c r="J141" i="11"/>
  <c r="J140" i="11"/>
  <c r="J139" i="11"/>
  <c r="J138" i="11"/>
  <c r="J137" i="11"/>
  <c r="J136" i="11"/>
  <c r="J135" i="11"/>
  <c r="J134" i="11"/>
  <c r="J133" i="11"/>
  <c r="J132" i="11"/>
  <c r="J131" i="11"/>
  <c r="J130" i="11"/>
  <c r="J129" i="11"/>
  <c r="J128" i="11"/>
  <c r="J127" i="11"/>
  <c r="J126" i="11"/>
  <c r="J125" i="11"/>
  <c r="J123" i="11"/>
  <c r="J122" i="11"/>
  <c r="J121" i="11"/>
  <c r="J120" i="11"/>
  <c r="J119" i="11"/>
  <c r="J118" i="11"/>
  <c r="J117" i="11"/>
  <c r="J116" i="11"/>
  <c r="J115" i="11"/>
  <c r="J114" i="11"/>
  <c r="J113" i="11"/>
  <c r="J112" i="11"/>
  <c r="J111" i="11"/>
  <c r="J110" i="11"/>
  <c r="J109" i="11"/>
  <c r="J108" i="11"/>
  <c r="J107" i="11"/>
  <c r="J106" i="11"/>
  <c r="J105" i="11"/>
  <c r="J104" i="11"/>
  <c r="J103" i="11"/>
  <c r="J102" i="11"/>
  <c r="J101" i="11"/>
  <c r="J100" i="11"/>
  <c r="J99" i="11"/>
  <c r="J98" i="11"/>
  <c r="J97" i="11"/>
  <c r="J96" i="11"/>
  <c r="J95" i="11"/>
  <c r="J94" i="11"/>
  <c r="J93" i="11"/>
  <c r="J92" i="11"/>
  <c r="J91" i="11"/>
  <c r="J90" i="11"/>
  <c r="J89" i="11"/>
  <c r="J88" i="11"/>
  <c r="J87" i="11"/>
  <c r="J86" i="11"/>
  <c r="J85" i="11"/>
  <c r="J84" i="11"/>
  <c r="J83" i="11"/>
  <c r="J82" i="11"/>
  <c r="J80" i="11"/>
  <c r="J79" i="11"/>
  <c r="J78" i="11"/>
  <c r="J77" i="11"/>
  <c r="J76" i="11"/>
  <c r="J75" i="11"/>
  <c r="J74" i="11"/>
  <c r="J73" i="11"/>
  <c r="J72" i="11"/>
  <c r="J71" i="11"/>
  <c r="J70" i="11"/>
  <c r="J69" i="11"/>
  <c r="J68" i="11"/>
  <c r="J67" i="11"/>
  <c r="J66" i="11"/>
  <c r="J65" i="11"/>
  <c r="J64" i="11"/>
  <c r="J63" i="11"/>
  <c r="J62" i="11"/>
  <c r="J61" i="11"/>
  <c r="J60" i="11"/>
  <c r="J59" i="11"/>
  <c r="J58" i="11"/>
  <c r="J57" i="11"/>
  <c r="J56" i="11"/>
  <c r="J55" i="11"/>
  <c r="J54" i="11"/>
  <c r="J53" i="11"/>
  <c r="J52" i="11"/>
  <c r="J51" i="11"/>
  <c r="J50" i="11"/>
  <c r="J49" i="11"/>
  <c r="J48" i="11"/>
  <c r="J47" i="11"/>
  <c r="J46" i="11"/>
  <c r="J45" i="11"/>
  <c r="V53" i="9"/>
  <c r="U53" i="9"/>
  <c r="V51" i="9"/>
  <c r="U51" i="9"/>
  <c r="AF21" i="5" l="1" a="1"/>
  <c r="AF21" i="5" s="1"/>
  <c r="AF4" i="5" a="1"/>
  <c r="AF4" i="5" s="1"/>
  <c r="AG5" i="5" l="1" a="1"/>
  <c r="AG5" i="5" s="1"/>
  <c r="AG22" i="5" a="1"/>
  <c r="AG22" i="5" s="1"/>
  <c r="AG23" i="5" a="1"/>
  <c r="AG23" i="5" s="1"/>
  <c r="P23" i="5" s="1" a="1"/>
  <c r="P23" i="5" s="1"/>
  <c r="AG4" i="3" a="1"/>
  <c r="AG4" i="3" s="1"/>
  <c r="AH5" i="3" l="1" a="1"/>
  <c r="AH5" i="3" s="1"/>
  <c r="M35" i="11" l="1" a="1"/>
  <c r="M35" i="11" s="1"/>
  <c r="Y42" i="9" a="1"/>
  <c r="Y42" i="9" s="1"/>
  <c r="Y41" i="9" l="1"/>
  <c r="Y40" i="9"/>
  <c r="U23" i="9"/>
  <c r="U22" i="9"/>
  <c r="V29" i="9" s="1"/>
  <c r="Z21" i="9"/>
  <c r="Y21" i="9"/>
  <c r="X21" i="9"/>
  <c r="V21" i="9"/>
  <c r="V22" i="9" s="1"/>
  <c r="Y45" i="9" l="1"/>
  <c r="U58" i="9"/>
  <c r="V28" i="9" s="1"/>
  <c r="U57" i="9"/>
  <c r="Y37" i="9"/>
  <c r="Y38" i="9" s="1"/>
  <c r="Y22" i="9"/>
  <c r="U29" i="9"/>
  <c r="T29" i="9"/>
  <c r="U28" i="9" l="1"/>
  <c r="T28" i="9"/>
  <c r="V37" i="9"/>
  <c r="V38" i="9"/>
  <c r="V33" i="9"/>
  <c r="V34" i="9"/>
  <c r="V35" i="9"/>
  <c r="V39" i="9"/>
  <c r="V32" i="9"/>
  <c r="V36" i="9"/>
  <c r="T44" i="9" l="1" a="1"/>
  <c r="T44" i="9" s="1"/>
  <c r="AA25" i="9"/>
  <c r="AA24" i="9" s="1"/>
  <c r="Y25" i="9" s="1"/>
  <c r="U31" i="9" a="1"/>
  <c r="U31" i="9" s="1"/>
  <c r="T42" i="9" a="1"/>
  <c r="T42" i="9" s="1"/>
  <c r="T46" i="9" a="1"/>
  <c r="T46" i="9" s="1"/>
  <c r="U34" i="9"/>
  <c r="U35" i="9"/>
  <c r="U42" i="9" a="1"/>
  <c r="U42" i="9" s="1"/>
  <c r="U30" i="9" a="1"/>
  <c r="U30" i="9" s="1"/>
  <c r="U33" i="9"/>
  <c r="V41" i="9" a="1"/>
  <c r="V41" i="9" s="1"/>
  <c r="U45" i="9" a="1"/>
  <c r="U45" i="9" s="1"/>
  <c r="T31" i="9" a="1"/>
  <c r="T31" i="9" s="1"/>
  <c r="T32" i="9"/>
  <c r="U32" i="9"/>
  <c r="U37" i="9"/>
  <c r="U38" i="9"/>
  <c r="T45" i="9" a="1"/>
  <c r="T45" i="9" s="1"/>
  <c r="V44" i="9" a="1"/>
  <c r="V44" i="9" s="1"/>
  <c r="U43" i="9" a="1"/>
  <c r="U43" i="9" s="1"/>
  <c r="V43" i="9" a="1"/>
  <c r="V43" i="9" s="1"/>
  <c r="T33" i="9"/>
  <c r="T41" i="9" a="1"/>
  <c r="T41" i="9" s="1"/>
  <c r="U46" i="9" a="1"/>
  <c r="U46" i="9" s="1"/>
  <c r="U36" i="9"/>
  <c r="V46" i="9" a="1"/>
  <c r="V46" i="9" s="1"/>
  <c r="U41" i="9" a="1"/>
  <c r="U41" i="9" s="1"/>
  <c r="T43" i="9" a="1"/>
  <c r="T43" i="9" s="1"/>
  <c r="T39" i="9"/>
  <c r="U39" i="9"/>
  <c r="T40" i="9" a="1"/>
  <c r="T40" i="9" s="1"/>
  <c r="T34" i="9"/>
  <c r="T38" i="9"/>
  <c r="T35" i="9"/>
  <c r="T36" i="9"/>
  <c r="T30" i="9" a="1"/>
  <c r="T30" i="9" s="1"/>
  <c r="U40" i="9" a="1"/>
  <c r="U40" i="9" s="1"/>
  <c r="T37" i="9"/>
  <c r="U44" i="9" a="1"/>
  <c r="U44" i="9" s="1"/>
  <c r="V45" i="9" a="1"/>
  <c r="V45" i="9" s="1"/>
  <c r="V40" i="9" a="1"/>
  <c r="V40" i="9" s="1"/>
  <c r="V42" i="9" a="1"/>
  <c r="V42" i="9" s="1"/>
  <c r="T18" i="11"/>
  <c r="S18" i="11"/>
  <c r="R18" i="11"/>
  <c r="Q18" i="11"/>
  <c r="M22" i="11" a="1"/>
  <c r="M22" i="11" s="1"/>
  <c r="M21" i="11" a="1"/>
  <c r="M21" i="11" s="1"/>
  <c r="O21" i="11" s="1"/>
  <c r="M20" i="11" a="1"/>
  <c r="M20" i="11" s="1"/>
  <c r="M18" i="11" a="1"/>
  <c r="M18" i="11" s="1"/>
  <c r="E87" i="11"/>
  <c r="E86" i="11"/>
  <c r="E85" i="11"/>
  <c r="E84" i="11"/>
  <c r="E83" i="11"/>
  <c r="E80" i="11"/>
  <c r="E79" i="11"/>
  <c r="E78" i="11"/>
  <c r="E77" i="11"/>
  <c r="E76" i="11"/>
  <c r="E75" i="11"/>
  <c r="E74" i="11"/>
  <c r="E73" i="11"/>
  <c r="E72" i="11"/>
  <c r="E71" i="11"/>
  <c r="E70" i="11"/>
  <c r="E69" i="11"/>
  <c r="E67" i="11"/>
  <c r="E66" i="11"/>
  <c r="E65" i="11"/>
  <c r="E59" i="11"/>
  <c r="E58" i="11"/>
  <c r="E57" i="11"/>
  <c r="E56" i="11"/>
  <c r="E55" i="11"/>
  <c r="E54" i="11"/>
  <c r="F49" i="11"/>
  <c r="F50" i="11" s="1"/>
  <c r="E49" i="11"/>
  <c r="E48" i="11"/>
  <c r="E47" i="11"/>
  <c r="E46" i="11"/>
  <c r="H1" i="11"/>
  <c r="Y29" i="9" l="1"/>
  <c r="Y30" i="9"/>
  <c r="Y31" i="9"/>
  <c r="M27" i="11"/>
  <c r="M26" i="11"/>
  <c r="F23" i="10"/>
  <c r="I23" i="10" s="1"/>
  <c r="R43" i="11"/>
  <c r="Q43" i="11"/>
  <c r="S19" i="11"/>
  <c r="L10" i="11"/>
  <c r="X13" i="11" a="1"/>
  <c r="X13" i="11" s="1"/>
  <c r="F51" i="11"/>
  <c r="E51" i="11"/>
  <c r="O22" i="11"/>
  <c r="P37" i="11"/>
  <c r="M37" i="11"/>
  <c r="Q19" i="11"/>
  <c r="E50" i="11"/>
  <c r="Y32" i="9" l="1"/>
  <c r="Y46" i="9" s="1"/>
  <c r="E23" i="12"/>
  <c r="M38" i="11"/>
  <c r="E19" i="12" s="1"/>
  <c r="M19" i="11"/>
  <c r="S43" i="11"/>
  <c r="F52" i="11"/>
  <c r="E52" i="11"/>
  <c r="M33" i="11" l="1" a="1"/>
  <c r="M33" i="11" s="1"/>
  <c r="O33" i="11" s="1"/>
  <c r="M32" i="11" a="1"/>
  <c r="M32" i="11" s="1"/>
  <c r="O32" i="11" s="1"/>
  <c r="M31" i="11" a="1"/>
  <c r="M31" i="11" s="1"/>
  <c r="O31" i="11" s="1"/>
  <c r="M30" i="11" a="1"/>
  <c r="M30" i="11" s="1"/>
  <c r="R45" i="11"/>
  <c r="R46" i="11" s="1"/>
  <c r="R27" i="11" l="1"/>
  <c r="E25" i="12" s="1"/>
  <c r="T30" i="11" l="1"/>
  <c r="T31" i="11" s="1"/>
  <c r="E28" i="12" s="1"/>
  <c r="F19" i="10"/>
  <c r="I19" i="10" s="1"/>
  <c r="H74" i="5"/>
  <c r="H73" i="5"/>
  <c r="H72" i="5"/>
  <c r="H71" i="5"/>
  <c r="H70" i="5"/>
  <c r="H69" i="5"/>
  <c r="H68" i="5"/>
  <c r="H67" i="5"/>
  <c r="H66" i="5"/>
  <c r="H65" i="5"/>
  <c r="H64" i="5"/>
  <c r="H63" i="5"/>
  <c r="H62" i="5"/>
  <c r="H61" i="5"/>
  <c r="H60" i="5"/>
  <c r="H59" i="5"/>
  <c r="H58" i="5"/>
  <c r="H57" i="5"/>
  <c r="H56" i="5"/>
  <c r="H55" i="5"/>
  <c r="H54" i="5"/>
  <c r="H53" i="5"/>
  <c r="H52" i="5"/>
  <c r="H51" i="5"/>
  <c r="H50" i="5"/>
  <c r="H49" i="5"/>
  <c r="H48" i="5"/>
  <c r="H47" i="5"/>
  <c r="H46" i="5"/>
  <c r="H45" i="5"/>
  <c r="H44" i="5"/>
  <c r="H43" i="5"/>
  <c r="H42" i="5"/>
  <c r="H41" i="5"/>
  <c r="H40" i="5"/>
  <c r="H39" i="5"/>
  <c r="H38" i="5"/>
  <c r="H37" i="5"/>
  <c r="H36" i="5"/>
  <c r="H35" i="5"/>
  <c r="H34" i="5"/>
  <c r="H33" i="5"/>
  <c r="H32" i="5"/>
  <c r="H31" i="5"/>
  <c r="H30" i="5"/>
  <c r="H29" i="5"/>
  <c r="H28" i="5"/>
  <c r="H27" i="5"/>
  <c r="H26" i="5"/>
  <c r="H25" i="5"/>
  <c r="H24" i="5"/>
  <c r="H23" i="5"/>
  <c r="H22" i="5"/>
  <c r="H21" i="5"/>
  <c r="H20" i="5"/>
  <c r="H19" i="5"/>
  <c r="H18" i="5"/>
  <c r="H17" i="5"/>
  <c r="H16" i="5"/>
  <c r="H15" i="5"/>
  <c r="H14" i="5"/>
  <c r="H13" i="5"/>
  <c r="H12" i="5"/>
  <c r="H11" i="5"/>
  <c r="H10" i="5"/>
  <c r="H9" i="5"/>
  <c r="H8" i="5"/>
  <c r="H7" i="5"/>
  <c r="H6" i="5"/>
  <c r="H5" i="5"/>
  <c r="H4" i="5"/>
  <c r="H3" i="5"/>
  <c r="H2" i="5"/>
  <c r="E27" i="12" l="1"/>
  <c r="F21" i="10"/>
  <c r="N10" i="5" a="1"/>
  <c r="N10" i="5" s="1"/>
  <c r="K8" i="5"/>
  <c r="K9" i="5"/>
  <c r="M14" i="5"/>
  <c r="N14" i="5"/>
  <c r="N15" i="5" s="1"/>
  <c r="O14" i="5"/>
  <c r="P14" i="5"/>
  <c r="P15" i="5" s="1"/>
  <c r="K22" i="3"/>
  <c r="F24" i="10" l="1"/>
  <c r="I24" i="10" s="1"/>
  <c r="I21" i="10"/>
  <c r="N8" i="5"/>
  <c r="P9" i="5" s="1"/>
  <c r="AG15" i="5" a="1"/>
  <c r="AG15" i="5" s="1"/>
  <c r="O23" i="5" s="1" a="1"/>
  <c r="O23" i="5" s="1"/>
  <c r="N36" i="5"/>
  <c r="N31" i="5" s="1"/>
  <c r="N32" i="5" s="1"/>
  <c r="AG6" i="5" a="1"/>
  <c r="AG6" i="5" s="1"/>
  <c r="M15" i="5"/>
  <c r="O15" i="5"/>
  <c r="AG7" i="5" a="1"/>
  <c r="AG7" i="5" s="1"/>
  <c r="AG14" i="5" a="1"/>
  <c r="AG14" i="5" s="1"/>
  <c r="AG8" i="5" a="1"/>
  <c r="AG8" i="5" s="1"/>
  <c r="AG9" i="5" a="1"/>
  <c r="AG9" i="5" s="1"/>
  <c r="AG10" i="5" a="1"/>
  <c r="AG10" i="5" s="1"/>
  <c r="AG11" i="5" a="1"/>
  <c r="AG11" i="5" s="1"/>
  <c r="AG12" i="5" a="1"/>
  <c r="AG12" i="5" s="1"/>
  <c r="AG13" i="5" a="1"/>
  <c r="AG13" i="5" s="1"/>
  <c r="O18" i="3"/>
  <c r="Q22" i="3"/>
  <c r="Q23" i="3" s="1"/>
  <c r="P22" i="3"/>
  <c r="O22" i="3"/>
  <c r="O23" i="3" s="1"/>
  <c r="N22" i="3"/>
  <c r="K17" i="3"/>
  <c r="K18" i="3"/>
  <c r="K19" i="3"/>
  <c r="K20" i="3"/>
  <c r="K21" i="3"/>
  <c r="K23" i="3"/>
  <c r="K24" i="3"/>
  <c r="K16" i="3"/>
  <c r="I27" i="2"/>
  <c r="J27" i="2" s="1"/>
  <c r="I26" i="2"/>
  <c r="J26" i="2" s="1"/>
  <c r="I25" i="2"/>
  <c r="J25" i="2" s="1"/>
  <c r="H24" i="2"/>
  <c r="I24" i="2" s="1"/>
  <c r="J24" i="2" s="1"/>
  <c r="H23" i="2"/>
  <c r="I23" i="2" s="1"/>
  <c r="J23" i="2" s="1"/>
  <c r="H22" i="2"/>
  <c r="I22" i="2" s="1"/>
  <c r="J22" i="2" s="1"/>
  <c r="H21" i="2"/>
  <c r="I21" i="2" s="1"/>
  <c r="J21" i="2" s="1"/>
  <c r="H19" i="2"/>
  <c r="I19" i="2" s="1"/>
  <c r="J19" i="2" s="1"/>
  <c r="H18" i="2"/>
  <c r="I18" i="2" s="1"/>
  <c r="J18" i="2" s="1"/>
  <c r="H20" i="2"/>
  <c r="I20" i="2" s="1"/>
  <c r="J20" i="2" s="1"/>
  <c r="H17" i="2"/>
  <c r="I17" i="2" s="1"/>
  <c r="J17" i="2" s="1"/>
  <c r="M3" i="4"/>
  <c r="P17" i="5" l="1"/>
  <c r="F22" i="6" s="1"/>
  <c r="N17" i="5"/>
  <c r="R20" i="5" s="1"/>
  <c r="N40" i="5"/>
  <c r="N39" i="5"/>
  <c r="O16" i="3"/>
  <c r="O25" i="3" s="1"/>
  <c r="S28" i="3" s="1"/>
  <c r="N9" i="5"/>
  <c r="L22" i="5" s="1" a="1"/>
  <c r="L22" i="5" s="1"/>
  <c r="Q25" i="3"/>
  <c r="F21" i="1" s="1"/>
  <c r="N23" i="3"/>
  <c r="AH14" i="3" a="1"/>
  <c r="AH14" i="3" s="1"/>
  <c r="AH13" i="3" a="1"/>
  <c r="AH13" i="3" s="1"/>
  <c r="AH12" i="3" a="1"/>
  <c r="AH12" i="3" s="1"/>
  <c r="AH11" i="3" a="1"/>
  <c r="AH11" i="3" s="1"/>
  <c r="AH10" i="3" a="1"/>
  <c r="AH10" i="3" s="1"/>
  <c r="AH9" i="3" a="1"/>
  <c r="AH9" i="3" s="1"/>
  <c r="AH8" i="3" a="1"/>
  <c r="AH8" i="3" s="1"/>
  <c r="AH7" i="3" a="1"/>
  <c r="AH7" i="3" s="1"/>
  <c r="AH6" i="3" a="1"/>
  <c r="AH6" i="3" s="1"/>
  <c r="P23" i="3"/>
  <c r="F16" i="6" l="1"/>
  <c r="N41" i="5"/>
  <c r="N43" i="5" s="1"/>
  <c r="L23" i="5"/>
  <c r="P31" i="3" a="1"/>
  <c r="P31" i="3" s="1"/>
  <c r="Q17" i="3"/>
  <c r="O17" i="3"/>
  <c r="M22" i="5" a="1"/>
  <c r="M22" i="5" s="1"/>
  <c r="N22" i="5" a="1"/>
  <c r="N22" i="5" s="1"/>
  <c r="F15" i="1"/>
  <c r="N18" i="5" l="1"/>
  <c r="P18" i="5" s="1"/>
  <c r="M35" i="3" a="1"/>
  <c r="M35" i="3" s="1"/>
  <c r="M34" i="3" a="1"/>
  <c r="M34" i="3" s="1"/>
  <c r="M28" i="3" a="1"/>
  <c r="M28" i="3" s="1"/>
  <c r="L35" i="3" a="1"/>
  <c r="L35" i="3" s="1"/>
  <c r="L34" i="3" a="1"/>
  <c r="L34" i="3" s="1"/>
  <c r="L33" i="3" a="1"/>
  <c r="L33" i="3" s="1"/>
  <c r="L31" i="3" a="1"/>
  <c r="L31" i="3" s="1"/>
  <c r="L30" i="3" a="1"/>
  <c r="L30" i="3" s="1"/>
  <c r="L36" i="3" a="1"/>
  <c r="L36" i="3" s="1"/>
  <c r="L28" i="3" a="1"/>
  <c r="L28" i="3" s="1"/>
  <c r="L29" i="3" a="1"/>
  <c r="L29" i="3" s="1"/>
  <c r="L32" i="3" a="1"/>
  <c r="L32" i="3" s="1"/>
  <c r="F18" i="6" l="1"/>
  <c r="F23" i="6" s="1"/>
  <c r="O26" i="3"/>
  <c r="F17" i="1" s="1"/>
  <c r="F22" i="1" l="1"/>
  <c r="Q26"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tc={F5712485-ACFE-4809-A487-709D67E345E6}</author>
  </authors>
  <commentList>
    <comment ref="A1" authorId="0" shapeId="0" xr:uid="{F5712485-ACFE-4809-A487-709D67E345E6}">
      <text>
        <t>[Threaded comment]
Your version of Excel allows you to read this threaded comment; however, any edits to it will get removed if the file is opened in a newer version of Excel. Learn more: https://go.microsoft.com/fwlink/?linkid=870924
Comment:
    Click the submit button on any calculator page to see output results here</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<sst xmlns="http://schemas.openxmlformats.org/spreadsheetml/2006/main" count="26199" uniqueCount="6640">
  <si>
    <t>Updates since 3/15/25</t>
  </si>
  <si>
    <t>Added carton quantity + carton price for pleats</t>
  </si>
  <si>
    <t>Corrected 2" fiberglass price formula causing it to price higher</t>
  </si>
  <si>
    <t>Added submit buttons for all calculators to save previously priced part #s in Output file (must open in desktop version)</t>
  </si>
  <si>
    <t>Simplfied pads pricing for anything over 1000 square inches in size</t>
  </si>
  <si>
    <t>Improved errors in Pleat calculator causing no pricing</t>
  </si>
  <si>
    <t>Added XT Pleat custom pricing</t>
  </si>
  <si>
    <t>Added table of contents</t>
  </si>
  <si>
    <t>Limited any width past 77.25" exact for panels</t>
  </si>
  <si>
    <t>Adjusted panel-link calculator to display smaller dimension first in part #</t>
  </si>
  <si>
    <t>Adjusted pad max width for #3, #5, #7, &amp; #8</t>
  </si>
  <si>
    <t>Adjusted formula for panels-links that was causing pricing errors for exact sizes</t>
  </si>
  <si>
    <t>Added exceptions for min/max selections for panels/links</t>
  </si>
  <si>
    <t>Added exceptions for min/max selections for sleeves/wire frames</t>
  </si>
  <si>
    <t>Added Grille Pleat M8</t>
  </si>
  <si>
    <t>Adjusted logic on pleats to capture only standard sizes for XTs</t>
  </si>
  <si>
    <t>Removed 4" from being selected for Throwaway Filters</t>
  </si>
  <si>
    <t>EFFECTIVE DATE: MARCH 1, 2025</t>
  </si>
  <si>
    <t>PRICES SUBJECT TO CHANGE WITHOUT NOTICE</t>
  </si>
  <si>
    <t>MANN+HUMMEL Air Filtration Americas</t>
  </si>
  <si>
    <t>Custom Calculators Table of Contents</t>
  </si>
  <si>
    <t>Pads</t>
  </si>
  <si>
    <t>Panels &amp; Links</t>
  </si>
  <si>
    <t>Pleats &amp; Throwaways</t>
  </si>
  <si>
    <t>Pre-Cut Sleeves &amp; Wire Rings</t>
  </si>
  <si>
    <t>Product Family</t>
  </si>
  <si>
    <t>Part Number</t>
  </si>
  <si>
    <t>Price</t>
  </si>
  <si>
    <t>Carton Quantity</t>
  </si>
  <si>
    <t>Carton Price</t>
  </si>
  <si>
    <t>Pleats Custom Calculator</t>
  </si>
  <si>
    <t>Product Family:</t>
  </si>
  <si>
    <t>MERV 10 Pleat - SC</t>
  </si>
  <si>
    <t>Number</t>
  </si>
  <si>
    <t>Fraction</t>
  </si>
  <si>
    <t>Width:</t>
  </si>
  <si>
    <t>Length:</t>
  </si>
  <si>
    <t>Will this be made exact?*</t>
  </si>
  <si>
    <t>No</t>
  </si>
  <si>
    <t>*Only answer if whole number is requested for both WxL</t>
  </si>
  <si>
    <t>Depth:</t>
  </si>
  <si>
    <t>Part Number:</t>
  </si>
  <si>
    <t>Price:</t>
  </si>
  <si>
    <t>Carton Quantity:</t>
  </si>
  <si>
    <t>Carton Price:</t>
  </si>
  <si>
    <r>
      <rPr>
        <b/>
        <u/>
        <sz val="11"/>
        <color rgb="FF000000"/>
        <rFont val="Aptos Narrow"/>
        <family val="2"/>
        <scheme val="minor"/>
      </rPr>
      <t>Terms &amp; Conditions:</t>
    </r>
    <r>
      <rPr>
        <sz val="11"/>
        <color rgb="FF000000"/>
        <rFont val="Aptos Narrow"/>
        <family val="2"/>
        <scheme val="minor"/>
      </rPr>
      <t xml:space="preserve"> 
*All custom pleats ordered as a WHOLE (number) size will be made a ½” UNDERCUT 
Example: 21208C012223 --&gt; Actual Size: (21-1/2”x22-1/2”x3/4”) 
All custom pleats ordered as a FRACTIONAL size will be made EXACT
Example: 21208C01223752325 --&gt; Actual Size: (22-3/8”x23-1/4”x3/4”)
All custom pleats ordered as a combination WHOLE and FRACTIONAL size will be made EXACT.
Example: 21208C012223125 --&gt; Actual Size: (22”x23-1/8”x3/4”)
Example: 21208C012287523 --&gt; Actual Size: (22-7/8”x23”x3/4”)
Normal Tolerance for pleats is +/- 1/8” for height and width and +/- 1/16” for depth.
Custom Tolerance for pleats is +0/-1/8” for height and width and +/- 1/16” for depth. </t>
    </r>
  </si>
  <si>
    <t>Min Range</t>
  </si>
  <si>
    <t>Max Range</t>
  </si>
  <si>
    <t>1" Current</t>
  </si>
  <si>
    <t>2" Current</t>
  </si>
  <si>
    <t>1" Update</t>
  </si>
  <si>
    <t>1" Double</t>
  </si>
  <si>
    <t>1" Triple</t>
  </si>
  <si>
    <t>2 " Update</t>
  </si>
  <si>
    <t>2" Double</t>
  </si>
  <si>
    <t>2" Triple</t>
  </si>
  <si>
    <t>4" Update</t>
  </si>
  <si>
    <t>4" Double</t>
  </si>
  <si>
    <t>4" Triple</t>
  </si>
  <si>
    <t>Name</t>
  </si>
  <si>
    <t>Product Prefix</t>
  </si>
  <si>
    <t>Pricefx KEY Description</t>
  </si>
  <si>
    <t>Pricefx KEY Code</t>
  </si>
  <si>
    <t>SIZE FRACTION CODES</t>
  </si>
  <si>
    <t>N/A</t>
  </si>
  <si>
    <t xml:space="preserve">Fiberglass Throwaway - 2-PC </t>
  </si>
  <si>
    <t>Select F TS</t>
  </si>
  <si>
    <t>Decimal    Fraction    Code    MANNHUMMEL CODE</t>
  </si>
  <si>
    <t>Poly Throwaway - 2-PC</t>
  </si>
  <si>
    <t>Select P TS</t>
  </si>
  <si>
    <t>E</t>
  </si>
  <si>
    <t>No longer available</t>
  </si>
  <si>
    <t>MERV 8 Pleat - SC</t>
  </si>
  <si>
    <t>Prime PLT STD M8A</t>
  </si>
  <si>
    <t>A</t>
  </si>
  <si>
    <t>Fiberglass Throwaway - Channel</t>
  </si>
  <si>
    <t>*change to single-piece</t>
  </si>
  <si>
    <t>MERV 8 Pleat - HC</t>
  </si>
  <si>
    <t>Prime PLT HC M8A</t>
  </si>
  <si>
    <t>B</t>
  </si>
  <si>
    <t>D</t>
  </si>
  <si>
    <t>Poly Throwaway - Channel</t>
  </si>
  <si>
    <t>Prime PLT STD M10</t>
  </si>
  <si>
    <t>C</t>
  </si>
  <si>
    <t>T</t>
  </si>
  <si>
    <t>MERV 10 Pleat - HC</t>
  </si>
  <si>
    <t>Prime PLT HC M10</t>
  </si>
  <si>
    <t>MERV 11 Pleat - SC</t>
  </si>
  <si>
    <t>Prime PLT STD M11</t>
  </si>
  <si>
    <t>F</t>
  </si>
  <si>
    <t>Yes</t>
  </si>
  <si>
    <t>MERV 11 Pleat - HC</t>
  </si>
  <si>
    <t>Prime PLT HC M11</t>
  </si>
  <si>
    <t>G</t>
  </si>
  <si>
    <t>MERV 13 Pleat - HC</t>
  </si>
  <si>
    <t>Prime PLT STD M13</t>
  </si>
  <si>
    <t>H</t>
  </si>
  <si>
    <t>Standard Sizes for 2PC Pleats and Panels</t>
  </si>
  <si>
    <t>Standard Sizes for 1PC Panels</t>
  </si>
  <si>
    <t>XT Standards</t>
  </si>
  <si>
    <t>XT High Strength M9 Pleat SC</t>
  </si>
  <si>
    <t>Prime9 XT M9 SC</t>
  </si>
  <si>
    <t>10x10x1</t>
  </si>
  <si>
    <t>This is a standard part #, use the Price Book</t>
  </si>
  <si>
    <t xml:space="preserve">10x10x1 </t>
  </si>
  <si>
    <t>12x24x1</t>
  </si>
  <si>
    <t>XT High Strength M9 Pleat HC</t>
  </si>
  <si>
    <t>Prime9 XT M9 HC</t>
  </si>
  <si>
    <t>Depth Options</t>
  </si>
  <si>
    <t>10x20x1</t>
  </si>
  <si>
    <t xml:space="preserve">10x20x1 </t>
  </si>
  <si>
    <t>16x20x1</t>
  </si>
  <si>
    <t>XT High Strength M10 Pleat SC</t>
  </si>
  <si>
    <t>Prime10 XT M10 SC</t>
  </si>
  <si>
    <t>10x24x1</t>
  </si>
  <si>
    <t xml:space="preserve">10x24x1 </t>
  </si>
  <si>
    <t>16x24x1</t>
  </si>
  <si>
    <t>XT High Strength M10 Pleat HC</t>
  </si>
  <si>
    <t>Prime10 XT M10 HC</t>
  </si>
  <si>
    <t>10x25x1</t>
  </si>
  <si>
    <t xml:space="preserve">10x30x1 </t>
  </si>
  <si>
    <t>16x25x1</t>
  </si>
  <si>
    <t>XT High Strength M11 Pleat SC</t>
  </si>
  <si>
    <t>Prime11 XT M11 SC</t>
  </si>
  <si>
    <t>10x30x1</t>
  </si>
  <si>
    <t xml:space="preserve">12x12x1 </t>
  </si>
  <si>
    <t>18x24x1</t>
  </si>
  <si>
    <t>XT High Strength M11 Pleat HC</t>
  </si>
  <si>
    <t>Prime11 XT M11 HC</t>
  </si>
  <si>
    <t>10x36x1</t>
  </si>
  <si>
    <t xml:space="preserve">12x18x1 </t>
  </si>
  <si>
    <t>20x20x1</t>
  </si>
  <si>
    <t>XT High Strength M13 Pleat HC</t>
  </si>
  <si>
    <t>Prime13 XT M13 SC</t>
  </si>
  <si>
    <t>12x12x1</t>
  </si>
  <si>
    <t xml:space="preserve">12x20x1 </t>
  </si>
  <si>
    <t>20x24x1</t>
  </si>
  <si>
    <t>12x18x1</t>
  </si>
  <si>
    <t xml:space="preserve">12x24x1 </t>
  </si>
  <si>
    <t>20x25x1</t>
  </si>
  <si>
    <t>Calculation</t>
  </si>
  <si>
    <t>12x20x1</t>
  </si>
  <si>
    <t xml:space="preserve">12x25x1 </t>
  </si>
  <si>
    <t>24x24x1</t>
  </si>
  <si>
    <t>Product Input</t>
  </si>
  <si>
    <t>W</t>
  </si>
  <si>
    <t>Dec</t>
  </si>
  <si>
    <t>L</t>
  </si>
  <si>
    <t xml:space="preserve">12x30x1 </t>
  </si>
  <si>
    <t>12x24x2</t>
  </si>
  <si>
    <t>IF YES</t>
  </si>
  <si>
    <t>12x25x1</t>
  </si>
  <si>
    <t xml:space="preserve">14x14x1 </t>
  </si>
  <si>
    <t>16x20x2</t>
  </si>
  <si>
    <t>Face Value</t>
  </si>
  <si>
    <t>IF NO</t>
  </si>
  <si>
    <t>&gt;24" width = double</t>
  </si>
  <si>
    <t>12x30x1</t>
  </si>
  <si>
    <t xml:space="preserve">14x18x1 </t>
  </si>
  <si>
    <t>16x24x2</t>
  </si>
  <si>
    <t>Depth</t>
  </si>
  <si>
    <t>EXACT</t>
  </si>
  <si>
    <t>&lt;36" width limitation</t>
  </si>
  <si>
    <t>12x36x1</t>
  </si>
  <si>
    <t xml:space="preserve">14x20x1 </t>
  </si>
  <si>
    <t>16x25x2</t>
  </si>
  <si>
    <t>Part #</t>
  </si>
  <si>
    <t>13x20x1</t>
  </si>
  <si>
    <t xml:space="preserve">14x22x1 </t>
  </si>
  <si>
    <t>18x24x2</t>
  </si>
  <si>
    <t>13x21-1/2x1</t>
  </si>
  <si>
    <t xml:space="preserve">14x24x1 </t>
  </si>
  <si>
    <t>20x20x2</t>
  </si>
  <si>
    <t>14x14x1</t>
  </si>
  <si>
    <t xml:space="preserve">14x25x1 </t>
  </si>
  <si>
    <t>20x24x2</t>
  </si>
  <si>
    <t>FOR 1"</t>
  </si>
  <si>
    <t>FOR 2"</t>
  </si>
  <si>
    <t>FOR 4"</t>
  </si>
  <si>
    <t>14x18x1</t>
  </si>
  <si>
    <t xml:space="preserve">14x30x1 </t>
  </si>
  <si>
    <t>20x25x2</t>
  </si>
  <si>
    <t>14x20x1</t>
  </si>
  <si>
    <t xml:space="preserve">15x20x1 </t>
  </si>
  <si>
    <t>24x24x2</t>
  </si>
  <si>
    <t>1"</t>
  </si>
  <si>
    <t>14x24x1</t>
  </si>
  <si>
    <t xml:space="preserve">16x16x1 </t>
  </si>
  <si>
    <t>12x24x4</t>
  </si>
  <si>
    <t>Not available</t>
  </si>
  <si>
    <t>2"</t>
  </si>
  <si>
    <t>14x25x1</t>
  </si>
  <si>
    <t xml:space="preserve">16x18x1 </t>
  </si>
  <si>
    <t>16x20x4</t>
  </si>
  <si>
    <t>4"</t>
  </si>
  <si>
    <t>14x28x1</t>
  </si>
  <si>
    <t xml:space="preserve">16x20x1 </t>
  </si>
  <si>
    <t>16x24x4</t>
  </si>
  <si>
    <t>9.10</t>
  </si>
  <si>
    <t>FINAL PRICE</t>
  </si>
  <si>
    <t>14x30x1</t>
  </si>
  <si>
    <t xml:space="preserve">16x24x1 </t>
  </si>
  <si>
    <t>16x25x4</t>
  </si>
  <si>
    <t>15x20x1</t>
  </si>
  <si>
    <t xml:space="preserve">16x25x1 </t>
  </si>
  <si>
    <t>18x24x4</t>
  </si>
  <si>
    <t>*Need to add '0' for single digits</t>
  </si>
  <si>
    <t>15x25x1</t>
  </si>
  <si>
    <t xml:space="preserve">16x30x1 </t>
  </si>
  <si>
    <t>20x20x4</t>
  </si>
  <si>
    <t>16x16x1</t>
  </si>
  <si>
    <t xml:space="preserve">18x18x1 </t>
  </si>
  <si>
    <t>20x24x4</t>
  </si>
  <si>
    <t>Size</t>
  </si>
  <si>
    <t xml:space="preserve">18x20x1 </t>
  </si>
  <si>
    <t>20x25x4</t>
  </si>
  <si>
    <t xml:space="preserve">18x24x1 </t>
  </si>
  <si>
    <t>24x24x4</t>
  </si>
  <si>
    <t>Look up Standard:</t>
  </si>
  <si>
    <t xml:space="preserve">18x25x1 </t>
  </si>
  <si>
    <t>11.67</t>
  </si>
  <si>
    <t>Used to Determine Single, Double, Triple</t>
  </si>
  <si>
    <t>16x30x1</t>
  </si>
  <si>
    <t xml:space="preserve">18x30x1 </t>
  </si>
  <si>
    <t>13.42</t>
  </si>
  <si>
    <t>Width</t>
  </si>
  <si>
    <t>16.375x21.5x1</t>
  </si>
  <si>
    <t xml:space="preserve">20x20x1 </t>
  </si>
  <si>
    <t>15.44</t>
  </si>
  <si>
    <t>Length</t>
  </si>
  <si>
    <t>18x18x1</t>
  </si>
  <si>
    <t xml:space="preserve">20x22x1 </t>
  </si>
  <si>
    <t>18x20x1</t>
  </si>
  <si>
    <t xml:space="preserve">20x24x1 </t>
  </si>
  <si>
    <t xml:space="preserve">20x25x1 </t>
  </si>
  <si>
    <t>Carton &amp; Price</t>
  </si>
  <si>
    <t>18x25x1</t>
  </si>
  <si>
    <t xml:space="preserve">20x30x1 </t>
  </si>
  <si>
    <t>18x30x1</t>
  </si>
  <si>
    <t xml:space="preserve">21x21x1 </t>
  </si>
  <si>
    <t>19.875x21.5x1</t>
  </si>
  <si>
    <t xml:space="preserve">22x22x1 </t>
  </si>
  <si>
    <t>17.75</t>
  </si>
  <si>
    <t xml:space="preserve">24x24x1 </t>
  </si>
  <si>
    <t>Max Width x Length</t>
  </si>
  <si>
    <t>20x22x1</t>
  </si>
  <si>
    <t xml:space="preserve">16x20x2 </t>
  </si>
  <si>
    <t>10.60</t>
  </si>
  <si>
    <t>Type</t>
  </si>
  <si>
    <t>20x23x1</t>
  </si>
  <si>
    <t xml:space="preserve">16x25x2 </t>
  </si>
  <si>
    <t>1" &amp; 2" Single Filter</t>
  </si>
  <si>
    <t xml:space="preserve">20x20x2 </t>
  </si>
  <si>
    <t>14.80</t>
  </si>
  <si>
    <t>1" &amp; 2" Double Filter</t>
  </si>
  <si>
    <t xml:space="preserve">20x25x2 </t>
  </si>
  <si>
    <t>4" Single Filter</t>
  </si>
  <si>
    <t>20x30x1</t>
  </si>
  <si>
    <t xml:space="preserve">24x24x2 </t>
  </si>
  <si>
    <t>20x36x1</t>
  </si>
  <si>
    <t>Width Max</t>
  </si>
  <si>
    <t>21-1/2x23-5/16x1</t>
  </si>
  <si>
    <t>22x22x1</t>
  </si>
  <si>
    <t># of Filters</t>
  </si>
  <si>
    <t>1" &amp; 2" Check</t>
  </si>
  <si>
    <t>24x30x1</t>
  </si>
  <si>
    <t>4" Check</t>
  </si>
  <si>
    <t>24x36x1</t>
  </si>
  <si>
    <t>25x25x1</t>
  </si>
  <si>
    <t>Contact Regional Sales Director</t>
  </si>
  <si>
    <t>10x20x2</t>
  </si>
  <si>
    <t>12x12x2</t>
  </si>
  <si>
    <t>12x20x2</t>
  </si>
  <si>
    <t>14x20x2</t>
  </si>
  <si>
    <t>14x25x2</t>
  </si>
  <si>
    <t>14x30x2</t>
  </si>
  <si>
    <t>15x20x2</t>
  </si>
  <si>
    <t>16x16x2</t>
  </si>
  <si>
    <t>16x30x2</t>
  </si>
  <si>
    <t>18x18x2</t>
  </si>
  <si>
    <t>18x20x2</t>
  </si>
  <si>
    <t>18x25x2</t>
  </si>
  <si>
    <t>20x16x2</t>
  </si>
  <si>
    <t>20x30x2</t>
  </si>
  <si>
    <t>20x35x2</t>
  </si>
  <si>
    <t>24x20x2</t>
  </si>
  <si>
    <t>24x30x2</t>
  </si>
  <si>
    <t>25x16x2</t>
  </si>
  <si>
    <t>25x25x2</t>
  </si>
  <si>
    <t>12.5x18.5x4</t>
  </si>
  <si>
    <t>12.5x24x4</t>
  </si>
  <si>
    <t>25x29x4</t>
  </si>
  <si>
    <t>DISCLAIMER:</t>
  </si>
  <si>
    <t>Tri-Dek Custom Panels &amp; Links Calculator</t>
  </si>
  <si>
    <r>
      <t xml:space="preserve">Please review all standard part numbers in the Price Book. This calculator is intended for special sizes ONLY.
</t>
    </r>
    <r>
      <rPr>
        <b/>
        <i/>
        <sz val="11"/>
        <color rgb="FFFF0000"/>
        <rFont val="Aptos Narrow"/>
        <family val="2"/>
        <scheme val="minor"/>
      </rPr>
      <t>If part # is highlighted red, that means it's a standard.</t>
    </r>
    <r>
      <rPr>
        <b/>
        <i/>
        <sz val="11"/>
        <color theme="1"/>
        <rFont val="Aptos Narrow"/>
        <family val="2"/>
        <scheme val="minor"/>
      </rPr>
      <t xml:space="preserve">
</t>
    </r>
  </si>
  <si>
    <t>Tri-Dek 15/40 3-Ply</t>
  </si>
  <si>
    <r>
      <rPr>
        <b/>
        <sz val="12"/>
        <color rgb="FF000000"/>
        <rFont val="Arial"/>
        <family val="2"/>
      </rPr>
      <t xml:space="preserve">Contact your Sales Rep for additional adders available:
</t>
    </r>
    <r>
      <rPr>
        <sz val="12"/>
        <color rgb="FF000000"/>
        <rFont val="Arial"/>
        <family val="2"/>
      </rPr>
      <t>1. Trimmed
2. Heat sealed
3. Extra cross wire
4. Vertical cross wire
5. Horizontal cross wire
6. 1 vertical and 1 horzontal wire per panel
7. Carbon impregnated media
8. Mark size on filter
9. No final seal
10. No wire, no final seal</t>
    </r>
  </si>
  <si>
    <t>Optional Add-on:</t>
  </si>
  <si>
    <t>None (Standard)</t>
  </si>
  <si>
    <t>Type:</t>
  </si>
  <si>
    <t>Link</t>
  </si>
  <si>
    <r>
      <t xml:space="preserve">Number of Panels </t>
    </r>
    <r>
      <rPr>
        <b/>
        <sz val="14"/>
        <color theme="1"/>
        <rFont val="Aptos Narrow"/>
        <family val="2"/>
      </rPr>
      <t>(Links ONLY):</t>
    </r>
  </si>
  <si>
    <t>Will this be made exact?:</t>
  </si>
  <si>
    <t>Height:</t>
  </si>
  <si>
    <t>Width of Panel:</t>
  </si>
  <si>
    <t>Range of Link Width:</t>
  </si>
  <si>
    <r>
      <rPr>
        <b/>
        <u/>
        <sz val="11"/>
        <color rgb="FF000000"/>
        <rFont val="Calibri"/>
        <family val="2"/>
      </rPr>
      <t xml:space="preserve">Terms &amp; Conditions:
</t>
    </r>
    <r>
      <rPr>
        <sz val="11"/>
        <color rgb="FF000000"/>
        <rFont val="Calibri"/>
        <family val="2"/>
      </rPr>
      <t xml:space="preserve">If a dimension is exact, the letter E is appended to the dimension code. When an E and fraction code are used in the same dimension code, the E follows the fraction code.
Height is the dimension of the hinged side, or in the case of a single panel, the first listed dimension.
Width is the dimension of one panel.
Number is the number of panels in the filter.
Adder designates Antimicrobial Adder (AT)
Special size Tri-Dek link filters are manufactured to the "nominal" size of the outside dimension of the internal wire ring (3/4" under size ordered), unless "exact" dimensions are specified on the order.
Min panel height = 3.25" Exact
Max panel height = 51.25" Exact
Max Panel Width = 77.25" Exact
Example: The actual outside dimension of the internal wire ring
of a 25"x25" Tri-Dek panel is 24¼"x24¼".
SOLD IN CASE QUANTITIES ONLY.
</t>
    </r>
  </si>
  <si>
    <t>Change to 12% over Standard</t>
  </si>
  <si>
    <t>Media</t>
  </si>
  <si>
    <t>Height</t>
  </si>
  <si>
    <t>Range from</t>
  </si>
  <si>
    <t>Range to</t>
  </si>
  <si>
    <t>Price proposal custom standard</t>
  </si>
  <si>
    <t>Price proposal custom AT</t>
  </si>
  <si>
    <t>Price proposal custom C1</t>
  </si>
  <si>
    <t>2E</t>
  </si>
  <si>
    <t>&lt;25</t>
  </si>
  <si>
    <t xml:space="preserve">$-   </t>
  </si>
  <si>
    <t>Tri-Dek FC Panel</t>
  </si>
  <si>
    <t>031</t>
  </si>
  <si>
    <t>Tri-Dek FC #3 2-Ply Panel</t>
  </si>
  <si>
    <t>Tri-Dek 3/67 2-Ply</t>
  </si>
  <si>
    <t>054</t>
  </si>
  <si>
    <t>050</t>
  </si>
  <si>
    <t>Tri-Dek 4-ply XL</t>
  </si>
  <si>
    <t>056</t>
  </si>
  <si>
    <t>Tri-Dek XL 4-Ply</t>
  </si>
  <si>
    <t>Standard Part #s</t>
  </si>
  <si>
    <t>Return Price</t>
  </si>
  <si>
    <t>Return Carton QTY</t>
  </si>
  <si>
    <t>Return Carton Price</t>
  </si>
  <si>
    <t>Optional Add-Ons</t>
  </si>
  <si>
    <t>054122401</t>
  </si>
  <si>
    <t>Standard Part #, Use Price Book</t>
  </si>
  <si>
    <t>Use Price Book</t>
  </si>
  <si>
    <t>Min Height</t>
  </si>
  <si>
    <t>Max Height</t>
  </si>
  <si>
    <t>054152001</t>
  </si>
  <si>
    <t>Min Width</t>
  </si>
  <si>
    <t>Max Width</t>
  </si>
  <si>
    <t>054152401</t>
  </si>
  <si>
    <t>&gt;25;&lt;48</t>
  </si>
  <si>
    <t>*No longer offering C1</t>
  </si>
  <si>
    <t>054161601</t>
  </si>
  <si>
    <t>054161801</t>
  </si>
  <si>
    <t>054162001</t>
  </si>
  <si>
    <t>Panel</t>
  </si>
  <si>
    <t>054162401</t>
  </si>
  <si>
    <t>054162501</t>
  </si>
  <si>
    <t>054182401</t>
  </si>
  <si>
    <t>054202001</t>
  </si>
  <si>
    <t>&gt;48;&lt;78</t>
  </si>
  <si>
    <t>054202401</t>
  </si>
  <si>
    <t>054202501</t>
  </si>
  <si>
    <t>054242401</t>
  </si>
  <si>
    <t># of Links</t>
  </si>
  <si>
    <t>054252501</t>
  </si>
  <si>
    <t>Add-on</t>
  </si>
  <si>
    <t>054241201</t>
  </si>
  <si>
    <t>&gt;25;&lt;34</t>
  </si>
  <si>
    <t>&lt;78</t>
  </si>
  <si>
    <t>Old Part #</t>
  </si>
  <si>
    <t>054201501</t>
  </si>
  <si>
    <t>&lt;-- uses smaller dimension  for panels</t>
  </si>
  <si>
    <t>054241501</t>
  </si>
  <si>
    <t>054181601</t>
  </si>
  <si>
    <t>Standard</t>
  </si>
  <si>
    <t>AT</t>
  </si>
  <si>
    <t>054201601</t>
  </si>
  <si>
    <t>Not Available</t>
  </si>
  <si>
    <t>Carton QTY</t>
  </si>
  <si>
    <t>054241601</t>
  </si>
  <si>
    <t>054251601</t>
  </si>
  <si>
    <t>054241801</t>
  </si>
  <si>
    <t>054242001</t>
  </si>
  <si>
    <t>054252001</t>
  </si>
  <si>
    <t>Exact?</t>
  </si>
  <si>
    <t>054122402</t>
  </si>
  <si>
    <t>Length of Link:</t>
  </si>
  <si>
    <t>054152002</t>
  </si>
  <si>
    <t>Min</t>
  </si>
  <si>
    <t>Max</t>
  </si>
  <si>
    <t>054152402</t>
  </si>
  <si>
    <t>Range</t>
  </si>
  <si>
    <t>054161602</t>
  </si>
  <si>
    <t>&gt;34;&lt;52</t>
  </si>
  <si>
    <t>&gt;34;&lt;78</t>
  </si>
  <si>
    <t>054161802</t>
  </si>
  <si>
    <t>Links</t>
  </si>
  <si>
    <t>054162002</t>
  </si>
  <si>
    <t>"A" Actual</t>
  </si>
  <si>
    <t>"B" Space</t>
  </si>
  <si>
    <t>"C" Panels</t>
  </si>
  <si>
    <t>Standard Check</t>
  </si>
  <si>
    <t>054162402</t>
  </si>
  <si>
    <t>Length Min</t>
  </si>
  <si>
    <t>Length Max</t>
  </si>
  <si>
    <t>BTN. Panels</t>
  </si>
  <si>
    <t>Required</t>
  </si>
  <si>
    <t>054162502</t>
  </si>
  <si>
    <t>054182402</t>
  </si>
  <si>
    <t>054202002</t>
  </si>
  <si>
    <t>Check:</t>
  </si>
  <si>
    <t>054202402</t>
  </si>
  <si>
    <t>Over max width?</t>
  </si>
  <si>
    <t>054202502</t>
  </si>
  <si>
    <t>054242402</t>
  </si>
  <si>
    <t>054252502</t>
  </si>
  <si>
    <t>054241202</t>
  </si>
  <si>
    <t>054201502</t>
  </si>
  <si>
    <t>12X24</t>
  </si>
  <si>
    <t>Standard Part #, Use PriceBook or Portal</t>
  </si>
  <si>
    <t>054241502</t>
  </si>
  <si>
    <t>15X20</t>
  </si>
  <si>
    <t>054181602</t>
  </si>
  <si>
    <t>Pricefx KEY Definition</t>
  </si>
  <si>
    <t>15X24</t>
  </si>
  <si>
    <t>054201602</t>
  </si>
  <si>
    <t>Product Family Code</t>
  </si>
  <si>
    <t>Product Family Description</t>
  </si>
  <si>
    <t>Key</t>
  </si>
  <si>
    <t>16X16</t>
  </si>
  <si>
    <t>054241602</t>
  </si>
  <si>
    <t>Throwaways</t>
  </si>
  <si>
    <t>Media + Frame</t>
  </si>
  <si>
    <t>Product Series</t>
  </si>
  <si>
    <t>16X18</t>
  </si>
  <si>
    <t>054251602</t>
  </si>
  <si>
    <t>Pleats</t>
  </si>
  <si>
    <t>MERV + None/AC/XT/WL + SC/HC</t>
  </si>
  <si>
    <t>16X20</t>
  </si>
  <si>
    <t>054241802</t>
  </si>
  <si>
    <t>16X24</t>
  </si>
  <si>
    <t>054242002</t>
  </si>
  <si>
    <t>Panels</t>
  </si>
  <si>
    <t>16X25</t>
  </si>
  <si>
    <t>054252002</t>
  </si>
  <si>
    <t>Pads &amp; Rolls</t>
  </si>
  <si>
    <t>18X24</t>
  </si>
  <si>
    <t>054122403</t>
  </si>
  <si>
    <t>20X20</t>
  </si>
  <si>
    <t>054152003</t>
  </si>
  <si>
    <t>Min/Max Range</t>
  </si>
  <si>
    <t>20X24</t>
  </si>
  <si>
    <t>054152403</t>
  </si>
  <si>
    <t>20X25</t>
  </si>
  <si>
    <t>054161603</t>
  </si>
  <si>
    <t>24X24</t>
  </si>
  <si>
    <t>054161803</t>
  </si>
  <si>
    <t>25X25</t>
  </si>
  <si>
    <t>054162003</t>
  </si>
  <si>
    <t>24x12</t>
  </si>
  <si>
    <t>20x15</t>
  </si>
  <si>
    <t>18x16</t>
  </si>
  <si>
    <t>20x16</t>
  </si>
  <si>
    <t>054162403</t>
  </si>
  <si>
    <t>24x16</t>
  </si>
  <si>
    <t>054162503</t>
  </si>
  <si>
    <t>25x16</t>
  </si>
  <si>
    <t>054182403</t>
  </si>
  <si>
    <t>24x18</t>
  </si>
  <si>
    <t>054202003</t>
  </si>
  <si>
    <t>24x20</t>
  </si>
  <si>
    <t>054202403</t>
  </si>
  <si>
    <t>25x20</t>
  </si>
  <si>
    <t>054202503</t>
  </si>
  <si>
    <t>054242403</t>
  </si>
  <si>
    <t>054252503</t>
  </si>
  <si>
    <t>054241203</t>
  </si>
  <si>
    <t>054201503</t>
  </si>
  <si>
    <t>054241503</t>
  </si>
  <si>
    <t>054181603</t>
  </si>
  <si>
    <t>054201603</t>
  </si>
  <si>
    <t>054241603</t>
  </si>
  <si>
    <t>054251603</t>
  </si>
  <si>
    <t>054241803</t>
  </si>
  <si>
    <t>054242003</t>
  </si>
  <si>
    <t>054252003</t>
  </si>
  <si>
    <t>054122404</t>
  </si>
  <si>
    <t>054152004</t>
  </si>
  <si>
    <t>054152404</t>
  </si>
  <si>
    <t>054161604</t>
  </si>
  <si>
    <t>054161804</t>
  </si>
  <si>
    <t>054162004</t>
  </si>
  <si>
    <t>054162404</t>
  </si>
  <si>
    <t>054162504</t>
  </si>
  <si>
    <t>054182404</t>
  </si>
  <si>
    <t>054202004</t>
  </si>
  <si>
    <t>054202404</t>
  </si>
  <si>
    <t>054202504</t>
  </si>
  <si>
    <t>054242404</t>
  </si>
  <si>
    <t>054252504</t>
  </si>
  <si>
    <t>054241204</t>
  </si>
  <si>
    <t>054201504</t>
  </si>
  <si>
    <t>054241504</t>
  </si>
  <si>
    <t>054181604</t>
  </si>
  <si>
    <t>054201604</t>
  </si>
  <si>
    <t>054241604</t>
  </si>
  <si>
    <t>054251604</t>
  </si>
  <si>
    <t>050252204</t>
  </si>
  <si>
    <t>054241804</t>
  </si>
  <si>
    <t>054242004</t>
  </si>
  <si>
    <t>054252004</t>
  </si>
  <si>
    <t>054122405</t>
  </si>
  <si>
    <t>054152005</t>
  </si>
  <si>
    <t>054152405</t>
  </si>
  <si>
    <t>054161605</t>
  </si>
  <si>
    <t>054161805</t>
  </si>
  <si>
    <t>054162005</t>
  </si>
  <si>
    <t>054162405</t>
  </si>
  <si>
    <t>054162505</t>
  </si>
  <si>
    <t>054182405</t>
  </si>
  <si>
    <t>054202005</t>
  </si>
  <si>
    <t>054202405</t>
  </si>
  <si>
    <t>054202505</t>
  </si>
  <si>
    <t>054242405</t>
  </si>
  <si>
    <t>054252505</t>
  </si>
  <si>
    <t>054241205</t>
  </si>
  <si>
    <t>054201505</t>
  </si>
  <si>
    <t>054241505</t>
  </si>
  <si>
    <t>054181605</t>
  </si>
  <si>
    <t>054201605</t>
  </si>
  <si>
    <t>054241605</t>
  </si>
  <si>
    <t>054251605</t>
  </si>
  <si>
    <t>054241805</t>
  </si>
  <si>
    <t>054242005</t>
  </si>
  <si>
    <t>054252005</t>
  </si>
  <si>
    <t>054122406</t>
  </si>
  <si>
    <t>054152006</t>
  </si>
  <si>
    <t>054152406</t>
  </si>
  <si>
    <t>054161606</t>
  </si>
  <si>
    <t>054161806</t>
  </si>
  <si>
    <t>054162006</t>
  </si>
  <si>
    <t>054162406</t>
  </si>
  <si>
    <t>054162506</t>
  </si>
  <si>
    <t>054182406</t>
  </si>
  <si>
    <t>054202006</t>
  </si>
  <si>
    <t>054202406</t>
  </si>
  <si>
    <t>054202506</t>
  </si>
  <si>
    <t>050251805</t>
  </si>
  <si>
    <t>050251506</t>
  </si>
  <si>
    <t>054242406</t>
  </si>
  <si>
    <t>054252506</t>
  </si>
  <si>
    <t>054241206</t>
  </si>
  <si>
    <t>054201506</t>
  </si>
  <si>
    <t>054241506</t>
  </si>
  <si>
    <t>054181606</t>
  </si>
  <si>
    <t>054201606</t>
  </si>
  <si>
    <t>054241606</t>
  </si>
  <si>
    <t>054251606</t>
  </si>
  <si>
    <t>054241806</t>
  </si>
  <si>
    <t>054242006</t>
  </si>
  <si>
    <t>054252006</t>
  </si>
  <si>
    <t>054122407</t>
  </si>
  <si>
    <t>054152007</t>
  </si>
  <si>
    <t>054152407</t>
  </si>
  <si>
    <t>054161607</t>
  </si>
  <si>
    <t>054161807</t>
  </si>
  <si>
    <t>054162007</t>
  </si>
  <si>
    <t>054162407</t>
  </si>
  <si>
    <t>054162507</t>
  </si>
  <si>
    <t>054182407</t>
  </si>
  <si>
    <t>054202007</t>
  </si>
  <si>
    <t>054202407</t>
  </si>
  <si>
    <t>054202507</t>
  </si>
  <si>
    <t>054242407</t>
  </si>
  <si>
    <t>054252507</t>
  </si>
  <si>
    <t>054241207</t>
  </si>
  <si>
    <t>054201507</t>
  </si>
  <si>
    <t>054241507</t>
  </si>
  <si>
    <t>054181607</t>
  </si>
  <si>
    <t>054201607</t>
  </si>
  <si>
    <t>054241607</t>
  </si>
  <si>
    <t>054251607</t>
  </si>
  <si>
    <t>054241807</t>
  </si>
  <si>
    <t>054242007</t>
  </si>
  <si>
    <t>054252007</t>
  </si>
  <si>
    <t>054122408</t>
  </si>
  <si>
    <t>054152008</t>
  </si>
  <si>
    <t>054152408</t>
  </si>
  <si>
    <t>054161608</t>
  </si>
  <si>
    <t>054161808</t>
  </si>
  <si>
    <t>054162008</t>
  </si>
  <si>
    <t>054162408</t>
  </si>
  <si>
    <t>054162508</t>
  </si>
  <si>
    <t>054182408</t>
  </si>
  <si>
    <t>054202008</t>
  </si>
  <si>
    <t>054202408</t>
  </si>
  <si>
    <t>054202508</t>
  </si>
  <si>
    <t>054242408</t>
  </si>
  <si>
    <t>054252508</t>
  </si>
  <si>
    <t>054241208</t>
  </si>
  <si>
    <t>054201508</t>
  </si>
  <si>
    <t>054241508</t>
  </si>
  <si>
    <t>054181608</t>
  </si>
  <si>
    <t>054201608</t>
  </si>
  <si>
    <t>054241608</t>
  </si>
  <si>
    <t>054251608</t>
  </si>
  <si>
    <t>054241808</t>
  </si>
  <si>
    <t>054242008</t>
  </si>
  <si>
    <t>054252008</t>
  </si>
  <si>
    <t>054122409</t>
  </si>
  <si>
    <t>054152009</t>
  </si>
  <si>
    <t>054152409</t>
  </si>
  <si>
    <t>054161609</t>
  </si>
  <si>
    <t>054161809</t>
  </si>
  <si>
    <t>054162009</t>
  </si>
  <si>
    <t>054162409</t>
  </si>
  <si>
    <t>054162509</t>
  </si>
  <si>
    <t>054182409</t>
  </si>
  <si>
    <t>054202009</t>
  </si>
  <si>
    <t>054202409</t>
  </si>
  <si>
    <t>054202509</t>
  </si>
  <si>
    <t>054242409</t>
  </si>
  <si>
    <t>054252509</t>
  </si>
  <si>
    <t>054241209</t>
  </si>
  <si>
    <t>054201509</t>
  </si>
  <si>
    <t>054241509</t>
  </si>
  <si>
    <t>054181609</t>
  </si>
  <si>
    <t>054201609</t>
  </si>
  <si>
    <t>054241609</t>
  </si>
  <si>
    <t>054251609</t>
  </si>
  <si>
    <t>054241809</t>
  </si>
  <si>
    <t>054242009</t>
  </si>
  <si>
    <t>054252009</t>
  </si>
  <si>
    <t>054122410</t>
  </si>
  <si>
    <t>054152010</t>
  </si>
  <si>
    <t>054152410</t>
  </si>
  <si>
    <t>054161610</t>
  </si>
  <si>
    <t>054161810</t>
  </si>
  <si>
    <t>054162010</t>
  </si>
  <si>
    <t>054162410</t>
  </si>
  <si>
    <t>054162510</t>
  </si>
  <si>
    <t>054182410</t>
  </si>
  <si>
    <t>054202010</t>
  </si>
  <si>
    <t>054202410</t>
  </si>
  <si>
    <t>054202510</t>
  </si>
  <si>
    <t>054242410</t>
  </si>
  <si>
    <t>054252510</t>
  </si>
  <si>
    <t>054241210</t>
  </si>
  <si>
    <t>054201510</t>
  </si>
  <si>
    <t>054241510</t>
  </si>
  <si>
    <t>054181610</t>
  </si>
  <si>
    <t>054201610</t>
  </si>
  <si>
    <t>054241610</t>
  </si>
  <si>
    <t>054251610</t>
  </si>
  <si>
    <t>054241810</t>
  </si>
  <si>
    <t>054242010</t>
  </si>
  <si>
    <t>054252010</t>
  </si>
  <si>
    <t>054122411</t>
  </si>
  <si>
    <t>054152011</t>
  </si>
  <si>
    <t>054152411</t>
  </si>
  <si>
    <t>054161611</t>
  </si>
  <si>
    <t>054161811</t>
  </si>
  <si>
    <t>054162011</t>
  </si>
  <si>
    <t>054162411</t>
  </si>
  <si>
    <t>054162511</t>
  </si>
  <si>
    <t>054182411</t>
  </si>
  <si>
    <t>054202011</t>
  </si>
  <si>
    <t>054202411</t>
  </si>
  <si>
    <t>054202511</t>
  </si>
  <si>
    <t>054242411</t>
  </si>
  <si>
    <t>054252511</t>
  </si>
  <si>
    <t>054241211</t>
  </si>
  <si>
    <t>054201511</t>
  </si>
  <si>
    <t>054241511</t>
  </si>
  <si>
    <t>054181611</t>
  </si>
  <si>
    <t>054201611</t>
  </si>
  <si>
    <t>054241611</t>
  </si>
  <si>
    <t>054251611</t>
  </si>
  <si>
    <t>054241811</t>
  </si>
  <si>
    <t>054242011</t>
  </si>
  <si>
    <t>054252011</t>
  </si>
  <si>
    <t>054122412</t>
  </si>
  <si>
    <t>054152012</t>
  </si>
  <si>
    <t>054152412</t>
  </si>
  <si>
    <t>054161612</t>
  </si>
  <si>
    <t>054161812</t>
  </si>
  <si>
    <t>054162012</t>
  </si>
  <si>
    <t>054162412</t>
  </si>
  <si>
    <t>054162512</t>
  </si>
  <si>
    <t>054182412</t>
  </si>
  <si>
    <t>054202012</t>
  </si>
  <si>
    <t>054202412</t>
  </si>
  <si>
    <t>054202512</t>
  </si>
  <si>
    <t>054242412</t>
  </si>
  <si>
    <t>054252512</t>
  </si>
  <si>
    <t>054241212</t>
  </si>
  <si>
    <t>054201512</t>
  </si>
  <si>
    <t>054241512</t>
  </si>
  <si>
    <t>054181612</t>
  </si>
  <si>
    <t>054201612</t>
  </si>
  <si>
    <t>054241612</t>
  </si>
  <si>
    <t>054251612</t>
  </si>
  <si>
    <t>054241812</t>
  </si>
  <si>
    <t>054242012</t>
  </si>
  <si>
    <t>054252012</t>
  </si>
  <si>
    <t>054122413</t>
  </si>
  <si>
    <t>054152013</t>
  </si>
  <si>
    <t>054152413</t>
  </si>
  <si>
    <t>054161613</t>
  </si>
  <si>
    <t>054161813</t>
  </si>
  <si>
    <t>054162013</t>
  </si>
  <si>
    <t>054162413</t>
  </si>
  <si>
    <t>054162513</t>
  </si>
  <si>
    <t>054182413</t>
  </si>
  <si>
    <t>054202013</t>
  </si>
  <si>
    <t>054202413</t>
  </si>
  <si>
    <t>054202513</t>
  </si>
  <si>
    <t>054242413</t>
  </si>
  <si>
    <t>054252513</t>
  </si>
  <si>
    <t>054241213</t>
  </si>
  <si>
    <t>054201513</t>
  </si>
  <si>
    <t>054241513</t>
  </si>
  <si>
    <t>054181613</t>
  </si>
  <si>
    <t>054201613</t>
  </si>
  <si>
    <t>054241613</t>
  </si>
  <si>
    <t>054251613</t>
  </si>
  <si>
    <t>054241813</t>
  </si>
  <si>
    <t>054242013</t>
  </si>
  <si>
    <t>054252013</t>
  </si>
  <si>
    <t>054122414</t>
  </si>
  <si>
    <t>054152014</t>
  </si>
  <si>
    <t>054152414</t>
  </si>
  <si>
    <t>054161614</t>
  </si>
  <si>
    <t>054161814</t>
  </si>
  <si>
    <t>054162014</t>
  </si>
  <si>
    <t>054162414</t>
  </si>
  <si>
    <t>054162514</t>
  </si>
  <si>
    <t>054182414</t>
  </si>
  <si>
    <t>054202014</t>
  </si>
  <si>
    <t>054202414</t>
  </si>
  <si>
    <t>054202514</t>
  </si>
  <si>
    <t>054242414</t>
  </si>
  <si>
    <t>054252514</t>
  </si>
  <si>
    <t>054241214</t>
  </si>
  <si>
    <t>054201514</t>
  </si>
  <si>
    <t>054241514</t>
  </si>
  <si>
    <t>054181614</t>
  </si>
  <si>
    <t>054201614</t>
  </si>
  <si>
    <t>054241614</t>
  </si>
  <si>
    <t>054251614</t>
  </si>
  <si>
    <t>054241814</t>
  </si>
  <si>
    <t>054242014</t>
  </si>
  <si>
    <t>054252014</t>
  </si>
  <si>
    <t>054122415</t>
  </si>
  <si>
    <t>054152015</t>
  </si>
  <si>
    <t>054152415</t>
  </si>
  <si>
    <t>054161615</t>
  </si>
  <si>
    <t>054161815</t>
  </si>
  <si>
    <t>054162015</t>
  </si>
  <si>
    <t>054162415</t>
  </si>
  <si>
    <t>054162515</t>
  </si>
  <si>
    <t>054182415</t>
  </si>
  <si>
    <t>054202015</t>
  </si>
  <si>
    <t>054202415</t>
  </si>
  <si>
    <t>054202515</t>
  </si>
  <si>
    <t>054242415</t>
  </si>
  <si>
    <t>054252515</t>
  </si>
  <si>
    <t>054241215</t>
  </si>
  <si>
    <t>054201515</t>
  </si>
  <si>
    <t>054241515</t>
  </si>
  <si>
    <t>054181615</t>
  </si>
  <si>
    <t>054201615</t>
  </si>
  <si>
    <t>054241615</t>
  </si>
  <si>
    <t>054251615</t>
  </si>
  <si>
    <t>054241815</t>
  </si>
  <si>
    <t>054242015</t>
  </si>
  <si>
    <t>054252015</t>
  </si>
  <si>
    <t>054122416</t>
  </si>
  <si>
    <t>054152016</t>
  </si>
  <si>
    <t>054152416</t>
  </si>
  <si>
    <t>054161616</t>
  </si>
  <si>
    <t>054161816</t>
  </si>
  <si>
    <t>054162016</t>
  </si>
  <si>
    <t>054162416</t>
  </si>
  <si>
    <t>054162516</t>
  </si>
  <si>
    <t>054182416</t>
  </si>
  <si>
    <t>054202016</t>
  </si>
  <si>
    <t>054202416</t>
  </si>
  <si>
    <t>054202516</t>
  </si>
  <si>
    <t>054242416</t>
  </si>
  <si>
    <t>054252516</t>
  </si>
  <si>
    <t>054241216</t>
  </si>
  <si>
    <t>054201516</t>
  </si>
  <si>
    <t>054241516</t>
  </si>
  <si>
    <t>054181616</t>
  </si>
  <si>
    <t>054201616</t>
  </si>
  <si>
    <t>054241616</t>
  </si>
  <si>
    <t>054251616</t>
  </si>
  <si>
    <t>054241816</t>
  </si>
  <si>
    <t>054242016</t>
  </si>
  <si>
    <t>054252016</t>
  </si>
  <si>
    <t>054122417</t>
  </si>
  <si>
    <t>054152017</t>
  </si>
  <si>
    <t>054152417</t>
  </si>
  <si>
    <t>054161617</t>
  </si>
  <si>
    <t>054161817</t>
  </si>
  <si>
    <t>054162017</t>
  </si>
  <si>
    <t>054162417</t>
  </si>
  <si>
    <t>054162517</t>
  </si>
  <si>
    <t>054182417</t>
  </si>
  <si>
    <t>054202017</t>
  </si>
  <si>
    <t>054202417</t>
  </si>
  <si>
    <t>054202517</t>
  </si>
  <si>
    <t>054242417</t>
  </si>
  <si>
    <t>054252517</t>
  </si>
  <si>
    <t>054241217</t>
  </si>
  <si>
    <t>054201517</t>
  </si>
  <si>
    <t>054241517</t>
  </si>
  <si>
    <t>054181617</t>
  </si>
  <si>
    <t>054201617</t>
  </si>
  <si>
    <t>054241617</t>
  </si>
  <si>
    <t>054251617</t>
  </si>
  <si>
    <t>054241817</t>
  </si>
  <si>
    <t>054242017</t>
  </si>
  <si>
    <t>054252017</t>
  </si>
  <si>
    <t>054122418</t>
  </si>
  <si>
    <t>054152018</t>
  </si>
  <si>
    <t>054152418</t>
  </si>
  <si>
    <t>054161618</t>
  </si>
  <si>
    <t>054161818</t>
  </si>
  <si>
    <t>054162018</t>
  </si>
  <si>
    <t>054162418</t>
  </si>
  <si>
    <t>054162518</t>
  </si>
  <si>
    <t>054182418</t>
  </si>
  <si>
    <t>054202018</t>
  </si>
  <si>
    <t>054202418</t>
  </si>
  <si>
    <t>054202518</t>
  </si>
  <si>
    <t>054242418</t>
  </si>
  <si>
    <t>054252518</t>
  </si>
  <si>
    <t>054241218</t>
  </si>
  <si>
    <t>054201518</t>
  </si>
  <si>
    <t>054241518</t>
  </si>
  <si>
    <t>054181618</t>
  </si>
  <si>
    <t>054201618</t>
  </si>
  <si>
    <t>054241618</t>
  </si>
  <si>
    <t>054251618</t>
  </si>
  <si>
    <t>054241818</t>
  </si>
  <si>
    <t>054242018</t>
  </si>
  <si>
    <t>054252018</t>
  </si>
  <si>
    <t>054122419</t>
  </si>
  <si>
    <t>054152019</t>
  </si>
  <si>
    <t>054152419</t>
  </si>
  <si>
    <t>054161619</t>
  </si>
  <si>
    <t>054161819</t>
  </si>
  <si>
    <t>054162019</t>
  </si>
  <si>
    <t>054162419</t>
  </si>
  <si>
    <t>054162519</t>
  </si>
  <si>
    <t>054182419</t>
  </si>
  <si>
    <t>054202019</t>
  </si>
  <si>
    <t>054202419</t>
  </si>
  <si>
    <t>054202519</t>
  </si>
  <si>
    <t>054242419</t>
  </si>
  <si>
    <t>054252519</t>
  </si>
  <si>
    <t>054241219</t>
  </si>
  <si>
    <t>054201519</t>
  </si>
  <si>
    <t>054241519</t>
  </si>
  <si>
    <t>054181619</t>
  </si>
  <si>
    <t>054201619</t>
  </si>
  <si>
    <t>054241619</t>
  </si>
  <si>
    <t>054251619</t>
  </si>
  <si>
    <t>054241819</t>
  </si>
  <si>
    <t>054242019</t>
  </si>
  <si>
    <t>054252019</t>
  </si>
  <si>
    <t>054122420</t>
  </si>
  <si>
    <t>054152020</t>
  </si>
  <si>
    <t>054152420</t>
  </si>
  <si>
    <t>054161620</t>
  </si>
  <si>
    <t>054161820</t>
  </si>
  <si>
    <t>054162020</t>
  </si>
  <si>
    <t>054162420</t>
  </si>
  <si>
    <t>054162520</t>
  </si>
  <si>
    <t>054182420</t>
  </si>
  <si>
    <t>054202020</t>
  </si>
  <si>
    <t>054202420</t>
  </si>
  <si>
    <t>054202520</t>
  </si>
  <si>
    <t>054242420</t>
  </si>
  <si>
    <t>054252520</t>
  </si>
  <si>
    <t>054241220</t>
  </si>
  <si>
    <t>054201520</t>
  </si>
  <si>
    <t>054241520</t>
  </si>
  <si>
    <t>054181620</t>
  </si>
  <si>
    <t>054201620</t>
  </si>
  <si>
    <t>054241620</t>
  </si>
  <si>
    <t>054251620</t>
  </si>
  <si>
    <t>054241820</t>
  </si>
  <si>
    <t>054242020</t>
  </si>
  <si>
    <t>054252020</t>
  </si>
  <si>
    <t>054122421</t>
  </si>
  <si>
    <t>054152021</t>
  </si>
  <si>
    <t>054152421</t>
  </si>
  <si>
    <t>054161621</t>
  </si>
  <si>
    <t>054161821</t>
  </si>
  <si>
    <t>054162021</t>
  </si>
  <si>
    <t>054162421</t>
  </si>
  <si>
    <t>054162521</t>
  </si>
  <si>
    <t>054182421</t>
  </si>
  <si>
    <t>054202021</t>
  </si>
  <si>
    <t>054202421</t>
  </si>
  <si>
    <t>054202521</t>
  </si>
  <si>
    <t>054242421</t>
  </si>
  <si>
    <t>054252521</t>
  </si>
  <si>
    <t>054241221</t>
  </si>
  <si>
    <t>054201521</t>
  </si>
  <si>
    <t>054241521</t>
  </si>
  <si>
    <t>054181621</t>
  </si>
  <si>
    <t>054201621</t>
  </si>
  <si>
    <t>054241621</t>
  </si>
  <si>
    <t>054251621</t>
  </si>
  <si>
    <t>054241821</t>
  </si>
  <si>
    <t>054242021</t>
  </si>
  <si>
    <t>054252021</t>
  </si>
  <si>
    <t>054122422</t>
  </si>
  <si>
    <t>054152022</t>
  </si>
  <si>
    <t>054152422</t>
  </si>
  <si>
    <t>054161622</t>
  </si>
  <si>
    <t>054161822</t>
  </si>
  <si>
    <t>054162022</t>
  </si>
  <si>
    <t>054162422</t>
  </si>
  <si>
    <t>054162522</t>
  </si>
  <si>
    <t>054182422</t>
  </si>
  <si>
    <t>054202022</t>
  </si>
  <si>
    <t>054202422</t>
  </si>
  <si>
    <t>054202522</t>
  </si>
  <si>
    <t>054242422</t>
  </si>
  <si>
    <t>054252522</t>
  </si>
  <si>
    <t>054241222</t>
  </si>
  <si>
    <t>054201522</t>
  </si>
  <si>
    <t>054241522</t>
  </si>
  <si>
    <t>054181622</t>
  </si>
  <si>
    <t>054201622</t>
  </si>
  <si>
    <t>054241622</t>
  </si>
  <si>
    <t>054251622</t>
  </si>
  <si>
    <t>054241822</t>
  </si>
  <si>
    <t>054242022</t>
  </si>
  <si>
    <t>054252022</t>
  </si>
  <si>
    <t>054122423</t>
  </si>
  <si>
    <t>054152023</t>
  </si>
  <si>
    <t>054152423</t>
  </si>
  <si>
    <t>054161623</t>
  </si>
  <si>
    <t>054161823</t>
  </si>
  <si>
    <t>054162023</t>
  </si>
  <si>
    <t>054162423</t>
  </si>
  <si>
    <t>054162523</t>
  </si>
  <si>
    <t>054182423</t>
  </si>
  <si>
    <t>054202023</t>
  </si>
  <si>
    <t>054202423</t>
  </si>
  <si>
    <t>054202523</t>
  </si>
  <si>
    <t>054242423</t>
  </si>
  <si>
    <t>054252523</t>
  </si>
  <si>
    <t>054241223</t>
  </si>
  <si>
    <t>054201523</t>
  </si>
  <si>
    <t>054241523</t>
  </si>
  <si>
    <t>054181623</t>
  </si>
  <si>
    <t>054201623</t>
  </si>
  <si>
    <t>054241623</t>
  </si>
  <si>
    <t>054251623</t>
  </si>
  <si>
    <t>054241823</t>
  </si>
  <si>
    <t>054242023</t>
  </si>
  <si>
    <t>054252023</t>
  </si>
  <si>
    <t>054122424</t>
  </si>
  <si>
    <t>054152024</t>
  </si>
  <si>
    <t>054152424</t>
  </si>
  <si>
    <t>054161624</t>
  </si>
  <si>
    <t>054161824</t>
  </si>
  <si>
    <t>054162024</t>
  </si>
  <si>
    <t>054162424</t>
  </si>
  <si>
    <t>054162524</t>
  </si>
  <si>
    <t>054182424</t>
  </si>
  <si>
    <t>054202024</t>
  </si>
  <si>
    <t>054202424</t>
  </si>
  <si>
    <t>054202524</t>
  </si>
  <si>
    <t>054242424</t>
  </si>
  <si>
    <t>054252524</t>
  </si>
  <si>
    <t>054241224</t>
  </si>
  <si>
    <t>054201524</t>
  </si>
  <si>
    <t>054241524</t>
  </si>
  <si>
    <t>054181624</t>
  </si>
  <si>
    <t>054201624</t>
  </si>
  <si>
    <t>054241624</t>
  </si>
  <si>
    <t>054251624</t>
  </si>
  <si>
    <t>054241824</t>
  </si>
  <si>
    <t>054242024</t>
  </si>
  <si>
    <t>054252024</t>
  </si>
  <si>
    <t>050122401</t>
  </si>
  <si>
    <t>050152001</t>
  </si>
  <si>
    <t>050152401</t>
  </si>
  <si>
    <t>050161601</t>
  </si>
  <si>
    <t>050161801</t>
  </si>
  <si>
    <t>050162001</t>
  </si>
  <si>
    <t>050162401</t>
  </si>
  <si>
    <t>050162501</t>
  </si>
  <si>
    <t>050182401</t>
  </si>
  <si>
    <t>050202001</t>
  </si>
  <si>
    <t>050202401</t>
  </si>
  <si>
    <t>050202501</t>
  </si>
  <si>
    <t>050242401</t>
  </si>
  <si>
    <t>050252501</t>
  </si>
  <si>
    <t>050241201</t>
  </si>
  <si>
    <t>050201501</t>
  </si>
  <si>
    <t>050241501</t>
  </si>
  <si>
    <t>050181601</t>
  </si>
  <si>
    <t>050201601</t>
  </si>
  <si>
    <t>050241601</t>
  </si>
  <si>
    <t>050251601</t>
  </si>
  <si>
    <t>050241801</t>
  </si>
  <si>
    <t>050242001</t>
  </si>
  <si>
    <t>050252001</t>
  </si>
  <si>
    <t>050122402</t>
  </si>
  <si>
    <t>050152002</t>
  </si>
  <si>
    <t>050152402</t>
  </si>
  <si>
    <t>050161602</t>
  </si>
  <si>
    <t>050161802</t>
  </si>
  <si>
    <t>050162002</t>
  </si>
  <si>
    <t>050162402</t>
  </si>
  <si>
    <t>050162502</t>
  </si>
  <si>
    <t>050182402</t>
  </si>
  <si>
    <t>050202002</t>
  </si>
  <si>
    <t>050202402</t>
  </si>
  <si>
    <t>050202502</t>
  </si>
  <si>
    <t>050242402</t>
  </si>
  <si>
    <t>050252502</t>
  </si>
  <si>
    <t>050241202</t>
  </si>
  <si>
    <t>050201502</t>
  </si>
  <si>
    <t>050241502</t>
  </si>
  <si>
    <t>050181602</t>
  </si>
  <si>
    <t>050201602</t>
  </si>
  <si>
    <t>050241602</t>
  </si>
  <si>
    <t>050251602</t>
  </si>
  <si>
    <t>050241802</t>
  </si>
  <si>
    <t>050242002</t>
  </si>
  <si>
    <t>050252002</t>
  </si>
  <si>
    <t>050122403</t>
  </si>
  <si>
    <t>050152003</t>
  </si>
  <si>
    <t>050152403</t>
  </si>
  <si>
    <t>050161603</t>
  </si>
  <si>
    <t>050161803</t>
  </si>
  <si>
    <t>050162003</t>
  </si>
  <si>
    <t>050162403</t>
  </si>
  <si>
    <t>050162503</t>
  </si>
  <si>
    <t>050182403</t>
  </si>
  <si>
    <t>050202003</t>
  </si>
  <si>
    <t>050202403</t>
  </si>
  <si>
    <t>050202503</t>
  </si>
  <si>
    <t>050242403</t>
  </si>
  <si>
    <t>050252503</t>
  </si>
  <si>
    <t>050241203</t>
  </si>
  <si>
    <t>050201503</t>
  </si>
  <si>
    <t>050241503</t>
  </si>
  <si>
    <t>050181603</t>
  </si>
  <si>
    <t>050201603</t>
  </si>
  <si>
    <t>050241603</t>
  </si>
  <si>
    <t>050251603</t>
  </si>
  <si>
    <t>050241803</t>
  </si>
  <si>
    <t>050242003</t>
  </si>
  <si>
    <t>050252003</t>
  </si>
  <si>
    <t>050122404</t>
  </si>
  <si>
    <t>050152004</t>
  </si>
  <si>
    <t>050152404</t>
  </si>
  <si>
    <t>050161604</t>
  </si>
  <si>
    <t>050161804</t>
  </si>
  <si>
    <t>050162004</t>
  </si>
  <si>
    <t>050162404</t>
  </si>
  <si>
    <t>050162504</t>
  </si>
  <si>
    <t>050182404</t>
  </si>
  <si>
    <t>050202004</t>
  </si>
  <si>
    <t>050202404</t>
  </si>
  <si>
    <t>050202504</t>
  </si>
  <si>
    <t>050242404</t>
  </si>
  <si>
    <t>050252504</t>
  </si>
  <si>
    <t>050241204</t>
  </si>
  <si>
    <t>050201504</t>
  </si>
  <si>
    <t>050241504</t>
  </si>
  <si>
    <t>050181604</t>
  </si>
  <si>
    <t>050201604</t>
  </si>
  <si>
    <t>050241604</t>
  </si>
  <si>
    <t>050251604</t>
  </si>
  <si>
    <t>050241804</t>
  </si>
  <si>
    <t>050242004</t>
  </si>
  <si>
    <t>050252004</t>
  </si>
  <si>
    <t>050122405</t>
  </si>
  <si>
    <t>050152005</t>
  </si>
  <si>
    <t>050152405</t>
  </si>
  <si>
    <t>050161605</t>
  </si>
  <si>
    <t>050161805</t>
  </si>
  <si>
    <t>050162005</t>
  </si>
  <si>
    <t>050162405</t>
  </si>
  <si>
    <t>050162505</t>
  </si>
  <si>
    <t>050182405</t>
  </si>
  <si>
    <t>050202005</t>
  </si>
  <si>
    <t>050202405</t>
  </si>
  <si>
    <t>050202505</t>
  </si>
  <si>
    <t>050242405</t>
  </si>
  <si>
    <t>050252505</t>
  </si>
  <si>
    <t>050241205</t>
  </si>
  <si>
    <t>050201505</t>
  </si>
  <si>
    <t>050241505</t>
  </si>
  <si>
    <t>050181605</t>
  </si>
  <si>
    <t>050201605</t>
  </si>
  <si>
    <t>050241605</t>
  </si>
  <si>
    <t>050251605</t>
  </si>
  <si>
    <t>050241805</t>
  </si>
  <si>
    <t>050242005</t>
  </si>
  <si>
    <t>050252005</t>
  </si>
  <si>
    <t>050122406</t>
  </si>
  <si>
    <t>050152006</t>
  </si>
  <si>
    <t>050152406</t>
  </si>
  <si>
    <t>050161606</t>
  </si>
  <si>
    <t>050161806</t>
  </si>
  <si>
    <t>050162006</t>
  </si>
  <si>
    <t>050162406</t>
  </si>
  <si>
    <t>050162506</t>
  </si>
  <si>
    <t>050182406</t>
  </si>
  <si>
    <t>050202006</t>
  </si>
  <si>
    <t>050202406</t>
  </si>
  <si>
    <t>050202506</t>
  </si>
  <si>
    <t>050242406</t>
  </si>
  <si>
    <t>050252506</t>
  </si>
  <si>
    <t>050241206</t>
  </si>
  <si>
    <t>050201506</t>
  </si>
  <si>
    <t>050241506</t>
  </si>
  <si>
    <t>050181606</t>
  </si>
  <si>
    <t>050201606</t>
  </si>
  <si>
    <t>050241606</t>
  </si>
  <si>
    <t>050251606</t>
  </si>
  <si>
    <t>050241806</t>
  </si>
  <si>
    <t>050242006</t>
  </si>
  <si>
    <t>050252006</t>
  </si>
  <si>
    <t>050122407</t>
  </si>
  <si>
    <t>050152007</t>
  </si>
  <si>
    <t>050152407</t>
  </si>
  <si>
    <t>050161607</t>
  </si>
  <si>
    <t>050161807</t>
  </si>
  <si>
    <t>050162007</t>
  </si>
  <si>
    <t>050162407</t>
  </si>
  <si>
    <t>050162507</t>
  </si>
  <si>
    <t>050182407</t>
  </si>
  <si>
    <t>050202007</t>
  </si>
  <si>
    <t>050202407</t>
  </si>
  <si>
    <t>050202507</t>
  </si>
  <si>
    <t>050242407</t>
  </si>
  <si>
    <t>050252507</t>
  </si>
  <si>
    <t>050241207</t>
  </si>
  <si>
    <t>050201507</t>
  </si>
  <si>
    <t>050241507</t>
  </si>
  <si>
    <t>050181607</t>
  </si>
  <si>
    <t>050201607</t>
  </si>
  <si>
    <t>050241607</t>
  </si>
  <si>
    <t>050251607</t>
  </si>
  <si>
    <t>050241807</t>
  </si>
  <si>
    <t>050242007</t>
  </si>
  <si>
    <t>050252007</t>
  </si>
  <si>
    <t>050122408</t>
  </si>
  <si>
    <t>050152008</t>
  </si>
  <si>
    <t>050152408</t>
  </si>
  <si>
    <t>050161608</t>
  </si>
  <si>
    <t>050161808</t>
  </si>
  <si>
    <t>050162008</t>
  </si>
  <si>
    <t>050162408</t>
  </si>
  <si>
    <t>050162508</t>
  </si>
  <si>
    <t>050182408</t>
  </si>
  <si>
    <t>050202008</t>
  </si>
  <si>
    <t>050202408</t>
  </si>
  <si>
    <t>050202508</t>
  </si>
  <si>
    <t>050242408</t>
  </si>
  <si>
    <t>050252508</t>
  </si>
  <si>
    <t>050241208</t>
  </si>
  <si>
    <t>050201508</t>
  </si>
  <si>
    <t>050241508</t>
  </si>
  <si>
    <t>050181608</t>
  </si>
  <si>
    <t>050201608</t>
  </si>
  <si>
    <t>050241608</t>
  </si>
  <si>
    <t>050251608</t>
  </si>
  <si>
    <t>050241808</t>
  </si>
  <si>
    <t>050242008</t>
  </si>
  <si>
    <t>050252008</t>
  </si>
  <si>
    <t>050122409</t>
  </si>
  <si>
    <t>050152009</t>
  </si>
  <si>
    <t>050152409</t>
  </si>
  <si>
    <t>050161609</t>
  </si>
  <si>
    <t>050161809</t>
  </si>
  <si>
    <t>050162009</t>
  </si>
  <si>
    <t>050162409</t>
  </si>
  <si>
    <t>050162509</t>
  </si>
  <si>
    <t>050182409</t>
  </si>
  <si>
    <t>050202009</t>
  </si>
  <si>
    <t>050202409</t>
  </si>
  <si>
    <t>050202509</t>
  </si>
  <si>
    <t>050242409</t>
  </si>
  <si>
    <t>050252509</t>
  </si>
  <si>
    <t>050241209</t>
  </si>
  <si>
    <t>050201509</t>
  </si>
  <si>
    <t>050241509</t>
  </si>
  <si>
    <t>050181609</t>
  </si>
  <si>
    <t>050201609</t>
  </si>
  <si>
    <t>050241609</t>
  </si>
  <si>
    <t>050251609</t>
  </si>
  <si>
    <t>050241809</t>
  </si>
  <si>
    <t>050242009</t>
  </si>
  <si>
    <t>050252009</t>
  </si>
  <si>
    <t>050122410</t>
  </si>
  <si>
    <t>050152010</t>
  </si>
  <si>
    <t>050152410</t>
  </si>
  <si>
    <t>050161610</t>
  </si>
  <si>
    <t>050161810</t>
  </si>
  <si>
    <t>050162010</t>
  </si>
  <si>
    <t>050162410</t>
  </si>
  <si>
    <t>050162510</t>
  </si>
  <si>
    <t>050182410</t>
  </si>
  <si>
    <t>050202010</t>
  </si>
  <si>
    <t>050202410</t>
  </si>
  <si>
    <t>050202510</t>
  </si>
  <si>
    <t>050242410</t>
  </si>
  <si>
    <t>050252510</t>
  </si>
  <si>
    <t>050241210</t>
  </si>
  <si>
    <t>050201510</t>
  </si>
  <si>
    <t>050241510</t>
  </si>
  <si>
    <t>050181610</t>
  </si>
  <si>
    <t>050201610</t>
  </si>
  <si>
    <t>050241610</t>
  </si>
  <si>
    <t>050251610</t>
  </si>
  <si>
    <t>050241810</t>
  </si>
  <si>
    <t>050242010</t>
  </si>
  <si>
    <t>050252010</t>
  </si>
  <si>
    <t>050122411</t>
  </si>
  <si>
    <t>050152011</t>
  </si>
  <si>
    <t>050152411</t>
  </si>
  <si>
    <t>050161611</t>
  </si>
  <si>
    <t>050161811</t>
  </si>
  <si>
    <t>050162011</t>
  </si>
  <si>
    <t>050162411</t>
  </si>
  <si>
    <t>050162511</t>
  </si>
  <si>
    <t>050182411</t>
  </si>
  <si>
    <t>050202011</t>
  </si>
  <si>
    <t>050202411</t>
  </si>
  <si>
    <t>050202511</t>
  </si>
  <si>
    <t>050242411</t>
  </si>
  <si>
    <t>050252511</t>
  </si>
  <si>
    <t>050241211</t>
  </si>
  <si>
    <t>050201511</t>
  </si>
  <si>
    <t>050241511</t>
  </si>
  <si>
    <t>050181611</t>
  </si>
  <si>
    <t>050201611</t>
  </si>
  <si>
    <t>050241611</t>
  </si>
  <si>
    <t>050251611</t>
  </si>
  <si>
    <t>050241811</t>
  </si>
  <si>
    <t>050242011</t>
  </si>
  <si>
    <t>050252011</t>
  </si>
  <si>
    <t>050122412</t>
  </si>
  <si>
    <t>050152012</t>
  </si>
  <si>
    <t>050152412</t>
  </si>
  <si>
    <t>050161612</t>
  </si>
  <si>
    <t>050161812</t>
  </si>
  <si>
    <t>050162012</t>
  </si>
  <si>
    <t>050162412</t>
  </si>
  <si>
    <t>050162512</t>
  </si>
  <si>
    <t>050182412</t>
  </si>
  <si>
    <t>050202012</t>
  </si>
  <si>
    <t>050202412</t>
  </si>
  <si>
    <t>050202512</t>
  </si>
  <si>
    <t>050242412</t>
  </si>
  <si>
    <t>050252512</t>
  </si>
  <si>
    <t>050241212</t>
  </si>
  <si>
    <t>050201512</t>
  </si>
  <si>
    <t>050241512</t>
  </si>
  <si>
    <t>050181612</t>
  </si>
  <si>
    <t>050201612</t>
  </si>
  <si>
    <t>050241612</t>
  </si>
  <si>
    <t>050251612</t>
  </si>
  <si>
    <t>050241812</t>
  </si>
  <si>
    <t>050242012</t>
  </si>
  <si>
    <t>050252012</t>
  </si>
  <si>
    <t>050122413</t>
  </si>
  <si>
    <t>050152013</t>
  </si>
  <si>
    <t>050152413</t>
  </si>
  <si>
    <t>050161613</t>
  </si>
  <si>
    <t>050161813</t>
  </si>
  <si>
    <t>050162013</t>
  </si>
  <si>
    <t>050162413</t>
  </si>
  <si>
    <t>050162513</t>
  </si>
  <si>
    <t>050182413</t>
  </si>
  <si>
    <t>050202013</t>
  </si>
  <si>
    <t>050202413</t>
  </si>
  <si>
    <t>050202513</t>
  </si>
  <si>
    <t>050242413</t>
  </si>
  <si>
    <t>050252513</t>
  </si>
  <si>
    <t>050241213</t>
  </si>
  <si>
    <t>050201513</t>
  </si>
  <si>
    <t>050241513</t>
  </si>
  <si>
    <t>050181613</t>
  </si>
  <si>
    <t>050201613</t>
  </si>
  <si>
    <t>050241613</t>
  </si>
  <si>
    <t>050251613</t>
  </si>
  <si>
    <t>050241813</t>
  </si>
  <si>
    <t>050242013</t>
  </si>
  <si>
    <t>050252013</t>
  </si>
  <si>
    <t>050122414</t>
  </si>
  <si>
    <t>050152014</t>
  </si>
  <si>
    <t>050152414</t>
  </si>
  <si>
    <t>050161614</t>
  </si>
  <si>
    <t>050161814</t>
  </si>
  <si>
    <t>050162014</t>
  </si>
  <si>
    <t>050162414</t>
  </si>
  <si>
    <t>050162514</t>
  </si>
  <si>
    <t>050182414</t>
  </si>
  <si>
    <t>050202014</t>
  </si>
  <si>
    <t>050202414</t>
  </si>
  <si>
    <t>050202514</t>
  </si>
  <si>
    <t>050242414</t>
  </si>
  <si>
    <t>050252514</t>
  </si>
  <si>
    <t>050241214</t>
  </si>
  <si>
    <t>050201514</t>
  </si>
  <si>
    <t>050241514</t>
  </si>
  <si>
    <t>050181614</t>
  </si>
  <si>
    <t>050201614</t>
  </si>
  <si>
    <t>050241614</t>
  </si>
  <si>
    <t>050251614</t>
  </si>
  <si>
    <t>050241814</t>
  </si>
  <si>
    <t>050242014</t>
  </si>
  <si>
    <t>050252014</t>
  </si>
  <si>
    <t>050122415</t>
  </si>
  <si>
    <t>050152015</t>
  </si>
  <si>
    <t>050152415</t>
  </si>
  <si>
    <t>050161615</t>
  </si>
  <si>
    <t>050161815</t>
  </si>
  <si>
    <t>050162015</t>
  </si>
  <si>
    <t>050162415</t>
  </si>
  <si>
    <t>050162515</t>
  </si>
  <si>
    <t>050182415</t>
  </si>
  <si>
    <t>050202015</t>
  </si>
  <si>
    <t>050202415</t>
  </si>
  <si>
    <t>050202515</t>
  </si>
  <si>
    <t>050242415</t>
  </si>
  <si>
    <t>050252515</t>
  </si>
  <si>
    <t>050241215</t>
  </si>
  <si>
    <t>050201515</t>
  </si>
  <si>
    <t>050241515</t>
  </si>
  <si>
    <t>050181615</t>
  </si>
  <si>
    <t>050201615</t>
  </si>
  <si>
    <t>050241615</t>
  </si>
  <si>
    <t>050251615</t>
  </si>
  <si>
    <t>050241815</t>
  </si>
  <si>
    <t>050242015</t>
  </si>
  <si>
    <t>050252015</t>
  </si>
  <si>
    <t>050122416</t>
  </si>
  <si>
    <t>050152016</t>
  </si>
  <si>
    <t>050152416</t>
  </si>
  <si>
    <t>050161616</t>
  </si>
  <si>
    <t>050161816</t>
  </si>
  <si>
    <t>050162016</t>
  </si>
  <si>
    <t>050162416</t>
  </si>
  <si>
    <t>050162516</t>
  </si>
  <si>
    <t>050182416</t>
  </si>
  <si>
    <t>050202016</t>
  </si>
  <si>
    <t>050202416</t>
  </si>
  <si>
    <t>050202516</t>
  </si>
  <si>
    <t>050242416</t>
  </si>
  <si>
    <t>050252516</t>
  </si>
  <si>
    <t>050241216</t>
  </si>
  <si>
    <t>050201516</t>
  </si>
  <si>
    <t>050241516</t>
  </si>
  <si>
    <t>050181616</t>
  </si>
  <si>
    <t>050201616</t>
  </si>
  <si>
    <t>050241616</t>
  </si>
  <si>
    <t>050251616</t>
  </si>
  <si>
    <t>050241816</t>
  </si>
  <si>
    <t>050242016</t>
  </si>
  <si>
    <t>050252016</t>
  </si>
  <si>
    <t>050122417</t>
  </si>
  <si>
    <t>050152017</t>
  </si>
  <si>
    <t>050152417</t>
  </si>
  <si>
    <t>050161617</t>
  </si>
  <si>
    <t>050161817</t>
  </si>
  <si>
    <t>050162017</t>
  </si>
  <si>
    <t>050162417</t>
  </si>
  <si>
    <t>050162517</t>
  </si>
  <si>
    <t>050182417</t>
  </si>
  <si>
    <t>050202017</t>
  </si>
  <si>
    <t>050202417</t>
  </si>
  <si>
    <t>050202517</t>
  </si>
  <si>
    <t>050242417</t>
  </si>
  <si>
    <t>050252517</t>
  </si>
  <si>
    <t>050241217</t>
  </si>
  <si>
    <t>050201517</t>
  </si>
  <si>
    <t>050241517</t>
  </si>
  <si>
    <t>050181617</t>
  </si>
  <si>
    <t>050201617</t>
  </si>
  <si>
    <t>050241617</t>
  </si>
  <si>
    <t>050251617</t>
  </si>
  <si>
    <t>050241817</t>
  </si>
  <si>
    <t>050242017</t>
  </si>
  <si>
    <t>050252017</t>
  </si>
  <si>
    <t>050122418</t>
  </si>
  <si>
    <t>050152018</t>
  </si>
  <si>
    <t>050152418</t>
  </si>
  <si>
    <t>050161618</t>
  </si>
  <si>
    <t>050161818</t>
  </si>
  <si>
    <t>050162018</t>
  </si>
  <si>
    <t>050162418</t>
  </si>
  <si>
    <t>050162518</t>
  </si>
  <si>
    <t>050182418</t>
  </si>
  <si>
    <t>050202018</t>
  </si>
  <si>
    <t>050202418</t>
  </si>
  <si>
    <t>050202518</t>
  </si>
  <si>
    <t>050242418</t>
  </si>
  <si>
    <t>050252518</t>
  </si>
  <si>
    <t>050241218</t>
  </si>
  <si>
    <t>050201518</t>
  </si>
  <si>
    <t>050241518</t>
  </si>
  <si>
    <t>050181618</t>
  </si>
  <si>
    <t>050201618</t>
  </si>
  <si>
    <t>050241618</t>
  </si>
  <si>
    <t>050251618</t>
  </si>
  <si>
    <t>050241818</t>
  </si>
  <si>
    <t>050242018</t>
  </si>
  <si>
    <t>050252018</t>
  </si>
  <si>
    <t>050122419</t>
  </si>
  <si>
    <t>050152019</t>
  </si>
  <si>
    <t>050152419</t>
  </si>
  <si>
    <t>050161619</t>
  </si>
  <si>
    <t>050161819</t>
  </si>
  <si>
    <t>050162019</t>
  </si>
  <si>
    <t>050162419</t>
  </si>
  <si>
    <t>050162519</t>
  </si>
  <si>
    <t>050182419</t>
  </si>
  <si>
    <t>050202019</t>
  </si>
  <si>
    <t>050202419</t>
  </si>
  <si>
    <t>050202519</t>
  </si>
  <si>
    <t>050242419</t>
  </si>
  <si>
    <t>050252519</t>
  </si>
  <si>
    <t>050241219</t>
  </si>
  <si>
    <t>050201519</t>
  </si>
  <si>
    <t>050241519</t>
  </si>
  <si>
    <t>050181619</t>
  </si>
  <si>
    <t>050201619</t>
  </si>
  <si>
    <t>050241619</t>
  </si>
  <si>
    <t>050251619</t>
  </si>
  <si>
    <t>050241819</t>
  </si>
  <si>
    <t>050242019</t>
  </si>
  <si>
    <t>050252019</t>
  </si>
  <si>
    <t>050122420</t>
  </si>
  <si>
    <t>050152020</t>
  </si>
  <si>
    <t>050152420</t>
  </si>
  <si>
    <t>050161620</t>
  </si>
  <si>
    <t>050161820</t>
  </si>
  <si>
    <t>050162020</t>
  </si>
  <si>
    <t>050162420</t>
  </si>
  <si>
    <t>050162520</t>
  </si>
  <si>
    <t>050182420</t>
  </si>
  <si>
    <t>050202020</t>
  </si>
  <si>
    <t>050202420</t>
  </si>
  <si>
    <t>050202520</t>
  </si>
  <si>
    <t>050242420</t>
  </si>
  <si>
    <t>050252520</t>
  </si>
  <si>
    <t>050241220</t>
  </si>
  <si>
    <t>050201520</t>
  </si>
  <si>
    <t>050241520</t>
  </si>
  <si>
    <t>050181620</t>
  </si>
  <si>
    <t>050201620</t>
  </si>
  <si>
    <t>050241620</t>
  </si>
  <si>
    <t>050251620</t>
  </si>
  <si>
    <t>050241820</t>
  </si>
  <si>
    <t>050242020</t>
  </si>
  <si>
    <t>050252020</t>
  </si>
  <si>
    <t>050122421</t>
  </si>
  <si>
    <t>050152021</t>
  </si>
  <si>
    <t>050152421</t>
  </si>
  <si>
    <t>050161621</t>
  </si>
  <si>
    <t>050161821</t>
  </si>
  <si>
    <t>050162021</t>
  </si>
  <si>
    <t>050162421</t>
  </si>
  <si>
    <t>050162521</t>
  </si>
  <si>
    <t>050182421</t>
  </si>
  <si>
    <t>050202021</t>
  </si>
  <si>
    <t>050202421</t>
  </si>
  <si>
    <t>050202521</t>
  </si>
  <si>
    <t>050242421</t>
  </si>
  <si>
    <t>050252521</t>
  </si>
  <si>
    <t>050241221</t>
  </si>
  <si>
    <t>050201521</t>
  </si>
  <si>
    <t>050241521</t>
  </si>
  <si>
    <t>050181621</t>
  </si>
  <si>
    <t>050201621</t>
  </si>
  <si>
    <t>050241621</t>
  </si>
  <si>
    <t>050251621</t>
  </si>
  <si>
    <t>050241821</t>
  </si>
  <si>
    <t>050242021</t>
  </si>
  <si>
    <t>050252021</t>
  </si>
  <si>
    <t>050122422</t>
  </si>
  <si>
    <t>050152022</t>
  </si>
  <si>
    <t>050152422</t>
  </si>
  <si>
    <t>050161622</t>
  </si>
  <si>
    <t>050161822</t>
  </si>
  <si>
    <t>050162022</t>
  </si>
  <si>
    <t>050162422</t>
  </si>
  <si>
    <t>050162522</t>
  </si>
  <si>
    <t>050182422</t>
  </si>
  <si>
    <t>050202022</t>
  </si>
  <si>
    <t>050202422</t>
  </si>
  <si>
    <t>050202522</t>
  </si>
  <si>
    <t>050242422</t>
  </si>
  <si>
    <t>050252522</t>
  </si>
  <si>
    <t>050241222</t>
  </si>
  <si>
    <t>050201522</t>
  </si>
  <si>
    <t>050241522</t>
  </si>
  <si>
    <t>050181622</t>
  </si>
  <si>
    <t>050201622</t>
  </si>
  <si>
    <t>050241622</t>
  </si>
  <si>
    <t>050251622</t>
  </si>
  <si>
    <t>050241822</t>
  </si>
  <si>
    <t>050242022</t>
  </si>
  <si>
    <t>050252022</t>
  </si>
  <si>
    <t>050122423</t>
  </si>
  <si>
    <t>050152023</t>
  </si>
  <si>
    <t>050152423</t>
  </si>
  <si>
    <t>050161623</t>
  </si>
  <si>
    <t>050161823</t>
  </si>
  <si>
    <t>050162023</t>
  </si>
  <si>
    <t>050162423</t>
  </si>
  <si>
    <t>050162523</t>
  </si>
  <si>
    <t>050182423</t>
  </si>
  <si>
    <t>050202023</t>
  </si>
  <si>
    <t>050202423</t>
  </si>
  <si>
    <t>050202523</t>
  </si>
  <si>
    <t>050242423</t>
  </si>
  <si>
    <t>050252523</t>
  </si>
  <si>
    <t>050241223</t>
  </si>
  <si>
    <t>050201523</t>
  </si>
  <si>
    <t>050241523</t>
  </si>
  <si>
    <t>050181623</t>
  </si>
  <si>
    <t>050201623</t>
  </si>
  <si>
    <t>050241623</t>
  </si>
  <si>
    <t>050251623</t>
  </si>
  <si>
    <t>050241823</t>
  </si>
  <si>
    <t>050242023</t>
  </si>
  <si>
    <t>050252023</t>
  </si>
  <si>
    <t>050122424</t>
  </si>
  <si>
    <t>050152024</t>
  </si>
  <si>
    <t>050152424</t>
  </si>
  <si>
    <t>050161624</t>
  </si>
  <si>
    <t>050161824</t>
  </si>
  <si>
    <t>050162024</t>
  </si>
  <si>
    <t>050162424</t>
  </si>
  <si>
    <t>050162524</t>
  </si>
  <si>
    <t>050182424</t>
  </si>
  <si>
    <t>050202024</t>
  </si>
  <si>
    <t>050202424</t>
  </si>
  <si>
    <t>050202524</t>
  </si>
  <si>
    <t>050242424</t>
  </si>
  <si>
    <t>050252524</t>
  </si>
  <si>
    <t>050241224</t>
  </si>
  <si>
    <t>050201524</t>
  </si>
  <si>
    <t>050241524</t>
  </si>
  <si>
    <t>050181624</t>
  </si>
  <si>
    <t>050201624</t>
  </si>
  <si>
    <t>050241624</t>
  </si>
  <si>
    <t>050251624</t>
  </si>
  <si>
    <t>050241824</t>
  </si>
  <si>
    <t>050242024</t>
  </si>
  <si>
    <t>050252024</t>
  </si>
  <si>
    <t>056122401</t>
  </si>
  <si>
    <t>056152001</t>
  </si>
  <si>
    <t>056152401</t>
  </si>
  <si>
    <t>056161601</t>
  </si>
  <si>
    <t>056161801</t>
  </si>
  <si>
    <t>056162001</t>
  </si>
  <si>
    <t>056162401</t>
  </si>
  <si>
    <t>056162501</t>
  </si>
  <si>
    <t>056182401</t>
  </si>
  <si>
    <t>056202001</t>
  </si>
  <si>
    <t>056202401</t>
  </si>
  <si>
    <t>056202501</t>
  </si>
  <si>
    <t>056242401</t>
  </si>
  <si>
    <t>056252501</t>
  </si>
  <si>
    <t>056241201</t>
  </si>
  <si>
    <t>056201501</t>
  </si>
  <si>
    <t>056241501</t>
  </si>
  <si>
    <t>056181601</t>
  </si>
  <si>
    <t>056201601</t>
  </si>
  <si>
    <t>056241601</t>
  </si>
  <si>
    <t>056251601</t>
  </si>
  <si>
    <t>056241801</t>
  </si>
  <si>
    <t>056242001</t>
  </si>
  <si>
    <t>056252001</t>
  </si>
  <si>
    <t>056122402</t>
  </si>
  <si>
    <t>056152002</t>
  </si>
  <si>
    <t>056152402</t>
  </si>
  <si>
    <t>056161602</t>
  </si>
  <si>
    <t>056161802</t>
  </si>
  <si>
    <t>056162002</t>
  </si>
  <si>
    <t>056162402</t>
  </si>
  <si>
    <t>056162502</t>
  </si>
  <si>
    <t>056182402</t>
  </si>
  <si>
    <t>056202002</t>
  </si>
  <si>
    <t>056202402</t>
  </si>
  <si>
    <t>056202502</t>
  </si>
  <si>
    <t>056242402</t>
  </si>
  <si>
    <t>056252502</t>
  </si>
  <si>
    <t>056241202</t>
  </si>
  <si>
    <t>056201502</t>
  </si>
  <si>
    <t>056241502</t>
  </si>
  <si>
    <t>056181602</t>
  </si>
  <si>
    <t>056201602</t>
  </si>
  <si>
    <t>056241602</t>
  </si>
  <si>
    <t>056251602</t>
  </si>
  <si>
    <t>056241802</t>
  </si>
  <si>
    <t>056242002</t>
  </si>
  <si>
    <t>056252002</t>
  </si>
  <si>
    <t>056122403</t>
  </si>
  <si>
    <t>056152003</t>
  </si>
  <si>
    <t>056152403</t>
  </si>
  <si>
    <t>056161603</t>
  </si>
  <si>
    <t>056161803</t>
  </si>
  <si>
    <t>056162003</t>
  </si>
  <si>
    <t>056162403</t>
  </si>
  <si>
    <t>056162503</t>
  </si>
  <si>
    <t>056182403</t>
  </si>
  <si>
    <t>056202003</t>
  </si>
  <si>
    <t>056202403</t>
  </si>
  <si>
    <t>056202503</t>
  </si>
  <si>
    <t>056242403</t>
  </si>
  <si>
    <t>056252503</t>
  </si>
  <si>
    <t>056241203</t>
  </si>
  <si>
    <t>056201503</t>
  </si>
  <si>
    <t>056241503</t>
  </si>
  <si>
    <t>056181603</t>
  </si>
  <si>
    <t>056201603</t>
  </si>
  <si>
    <t>056241603</t>
  </si>
  <si>
    <t>056251603</t>
  </si>
  <si>
    <t>056241803</t>
  </si>
  <si>
    <t>056242003</t>
  </si>
  <si>
    <t>056252003</t>
  </si>
  <si>
    <t>056122404</t>
  </si>
  <si>
    <t>056152004</t>
  </si>
  <si>
    <t>056152404</t>
  </si>
  <si>
    <t>056161604</t>
  </si>
  <si>
    <t>056161804</t>
  </si>
  <si>
    <t>056162004</t>
  </si>
  <si>
    <t>056162404</t>
  </si>
  <si>
    <t>056162504</t>
  </si>
  <si>
    <t>056182404</t>
  </si>
  <si>
    <t>056202004</t>
  </si>
  <si>
    <t>056202404</t>
  </si>
  <si>
    <t>056202504</t>
  </si>
  <si>
    <t>056242404</t>
  </si>
  <si>
    <t>056252504</t>
  </si>
  <si>
    <t>056241204</t>
  </si>
  <si>
    <t>056201504</t>
  </si>
  <si>
    <t>056241504</t>
  </si>
  <si>
    <t>056181604</t>
  </si>
  <si>
    <t>056201604</t>
  </si>
  <si>
    <t>056241604</t>
  </si>
  <si>
    <t>056251604</t>
  </si>
  <si>
    <t>056241804</t>
  </si>
  <si>
    <t>056242004</t>
  </si>
  <si>
    <t>056252004</t>
  </si>
  <si>
    <t>056122405</t>
  </si>
  <si>
    <t>056152005</t>
  </si>
  <si>
    <t>056152405</t>
  </si>
  <si>
    <t>056161605</t>
  </si>
  <si>
    <t>056161805</t>
  </si>
  <si>
    <t>056162005</t>
  </si>
  <si>
    <t>056162405</t>
  </si>
  <si>
    <t>056162505</t>
  </si>
  <si>
    <t>056182405</t>
  </si>
  <si>
    <t>056202005</t>
  </si>
  <si>
    <t>056202405</t>
  </si>
  <si>
    <t>056202505</t>
  </si>
  <si>
    <t>056242405</t>
  </si>
  <si>
    <t>056252505</t>
  </si>
  <si>
    <t>056241205</t>
  </si>
  <si>
    <t>056201505</t>
  </si>
  <si>
    <t>056241505</t>
  </si>
  <si>
    <t>056181605</t>
  </si>
  <si>
    <t>056201605</t>
  </si>
  <si>
    <t>056241605</t>
  </si>
  <si>
    <t>056251605</t>
  </si>
  <si>
    <t>056241805</t>
  </si>
  <si>
    <t>056242005</t>
  </si>
  <si>
    <t>056252005</t>
  </si>
  <si>
    <t>056122406</t>
  </si>
  <si>
    <t>056152006</t>
  </si>
  <si>
    <t>056152406</t>
  </si>
  <si>
    <t>056161606</t>
  </si>
  <si>
    <t>056161806</t>
  </si>
  <si>
    <t>056162006</t>
  </si>
  <si>
    <t>056162406</t>
  </si>
  <si>
    <t>056162506</t>
  </si>
  <si>
    <t>056182406</t>
  </si>
  <si>
    <t>056202006</t>
  </si>
  <si>
    <t>056202406</t>
  </si>
  <si>
    <t>056202506</t>
  </si>
  <si>
    <t>056242406</t>
  </si>
  <si>
    <t>056252506</t>
  </si>
  <si>
    <t>056241206</t>
  </si>
  <si>
    <t>056201506</t>
  </si>
  <si>
    <t>056241506</t>
  </si>
  <si>
    <t>056181606</t>
  </si>
  <si>
    <t>056201606</t>
  </si>
  <si>
    <t>056241606</t>
  </si>
  <si>
    <t>056251606</t>
  </si>
  <si>
    <t>056241806</t>
  </si>
  <si>
    <t>056242006</t>
  </si>
  <si>
    <t>056252006</t>
  </si>
  <si>
    <t>056122407</t>
  </si>
  <si>
    <t>056152007</t>
  </si>
  <si>
    <t>056152407</t>
  </si>
  <si>
    <t>056161607</t>
  </si>
  <si>
    <t>056161807</t>
  </si>
  <si>
    <t>056162007</t>
  </si>
  <si>
    <t>056162407</t>
  </si>
  <si>
    <t>056162507</t>
  </si>
  <si>
    <t>056182407</t>
  </si>
  <si>
    <t>056202007</t>
  </si>
  <si>
    <t>056202407</t>
  </si>
  <si>
    <t>056202507</t>
  </si>
  <si>
    <t>056242407</t>
  </si>
  <si>
    <t>056252507</t>
  </si>
  <si>
    <t>056241207</t>
  </si>
  <si>
    <t>056201507</t>
  </si>
  <si>
    <t>056241507</t>
  </si>
  <si>
    <t>056181607</t>
  </si>
  <si>
    <t>056201607</t>
  </si>
  <si>
    <t>056241607</t>
  </si>
  <si>
    <t>056251607</t>
  </si>
  <si>
    <t>056241807</t>
  </si>
  <si>
    <t>056242007</t>
  </si>
  <si>
    <t>056252007</t>
  </si>
  <si>
    <t>056122408</t>
  </si>
  <si>
    <t>056152008</t>
  </si>
  <si>
    <t>056152408</t>
  </si>
  <si>
    <t>056161608</t>
  </si>
  <si>
    <t>056161808</t>
  </si>
  <si>
    <t>056162008</t>
  </si>
  <si>
    <t>056162408</t>
  </si>
  <si>
    <t>056162508</t>
  </si>
  <si>
    <t>056182408</t>
  </si>
  <si>
    <t>056202008</t>
  </si>
  <si>
    <t>056202408</t>
  </si>
  <si>
    <t>056202508</t>
  </si>
  <si>
    <t>056242408</t>
  </si>
  <si>
    <t>056252508</t>
  </si>
  <si>
    <t>056241208</t>
  </si>
  <si>
    <t>056201508</t>
  </si>
  <si>
    <t>056241508</t>
  </si>
  <si>
    <t>056181608</t>
  </si>
  <si>
    <t>056201608</t>
  </si>
  <si>
    <t>056241608</t>
  </si>
  <si>
    <t>056251608</t>
  </si>
  <si>
    <t>056241808</t>
  </si>
  <si>
    <t>056242008</t>
  </si>
  <si>
    <t>056252008</t>
  </si>
  <si>
    <t>056122409</t>
  </si>
  <si>
    <t>056152009</t>
  </si>
  <si>
    <t>056152409</t>
  </si>
  <si>
    <t>056161609</t>
  </si>
  <si>
    <t>056161809</t>
  </si>
  <si>
    <t>056162009</t>
  </si>
  <si>
    <t>056162409</t>
  </si>
  <si>
    <t>056162509</t>
  </si>
  <si>
    <t>056182409</t>
  </si>
  <si>
    <t>056202009</t>
  </si>
  <si>
    <t>056202409</t>
  </si>
  <si>
    <t>056202509</t>
  </si>
  <si>
    <t>056242409</t>
  </si>
  <si>
    <t>056252509</t>
  </si>
  <si>
    <t>056241209</t>
  </si>
  <si>
    <t>056201509</t>
  </si>
  <si>
    <t>056241509</t>
  </si>
  <si>
    <t>056181609</t>
  </si>
  <si>
    <t>056201609</t>
  </si>
  <si>
    <t>056241609</t>
  </si>
  <si>
    <t>056251609</t>
  </si>
  <si>
    <t>056241809</t>
  </si>
  <si>
    <t>056242009</t>
  </si>
  <si>
    <t>056252009</t>
  </si>
  <si>
    <t>056122410</t>
  </si>
  <si>
    <t>056152010</t>
  </si>
  <si>
    <t>056152410</t>
  </si>
  <si>
    <t>056161610</t>
  </si>
  <si>
    <t>056161810</t>
  </si>
  <si>
    <t>056162010</t>
  </si>
  <si>
    <t>056162410</t>
  </si>
  <si>
    <t>056162510</t>
  </si>
  <si>
    <t>056182410</t>
  </si>
  <si>
    <t>056202010</t>
  </si>
  <si>
    <t>056202410</t>
  </si>
  <si>
    <t>056202510</t>
  </si>
  <si>
    <t>056242410</t>
  </si>
  <si>
    <t>056252510</t>
  </si>
  <si>
    <t>056241210</t>
  </si>
  <si>
    <t>056201510</t>
  </si>
  <si>
    <t>056241510</t>
  </si>
  <si>
    <t>056181610</t>
  </si>
  <si>
    <t>056201610</t>
  </si>
  <si>
    <t>056241610</t>
  </si>
  <si>
    <t>056251610</t>
  </si>
  <si>
    <t>056241810</t>
  </si>
  <si>
    <t>056242010</t>
  </si>
  <si>
    <t>056252010</t>
  </si>
  <si>
    <t>056122411</t>
  </si>
  <si>
    <t>056152011</t>
  </si>
  <si>
    <t>056152411</t>
  </si>
  <si>
    <t>056161611</t>
  </si>
  <si>
    <t>056161811</t>
  </si>
  <si>
    <t>056162011</t>
  </si>
  <si>
    <t>056162411</t>
  </si>
  <si>
    <t>056162511</t>
  </si>
  <si>
    <t>056182411</t>
  </si>
  <si>
    <t>056202011</t>
  </si>
  <si>
    <t>056202411</t>
  </si>
  <si>
    <t>056202511</t>
  </si>
  <si>
    <t>056242411</t>
  </si>
  <si>
    <t>056252511</t>
  </si>
  <si>
    <t>056241211</t>
  </si>
  <si>
    <t>056201511</t>
  </si>
  <si>
    <t>056241511</t>
  </si>
  <si>
    <t>056181611</t>
  </si>
  <si>
    <t>056201611</t>
  </si>
  <si>
    <t>056241611</t>
  </si>
  <si>
    <t>056251611</t>
  </si>
  <si>
    <t>056241811</t>
  </si>
  <si>
    <t>056242011</t>
  </si>
  <si>
    <t>056252011</t>
  </si>
  <si>
    <t>056122412</t>
  </si>
  <si>
    <t>056152012</t>
  </si>
  <si>
    <t>056152412</t>
  </si>
  <si>
    <t>056161612</t>
  </si>
  <si>
    <t>056161812</t>
  </si>
  <si>
    <t>056162012</t>
  </si>
  <si>
    <t>056162412</t>
  </si>
  <si>
    <t>056162512</t>
  </si>
  <si>
    <t>056182412</t>
  </si>
  <si>
    <t>056202012</t>
  </si>
  <si>
    <t>056202412</t>
  </si>
  <si>
    <t>056202512</t>
  </si>
  <si>
    <t>056242412</t>
  </si>
  <si>
    <t>056252512</t>
  </si>
  <si>
    <t>056241212</t>
  </si>
  <si>
    <t>056201512</t>
  </si>
  <si>
    <t>056241512</t>
  </si>
  <si>
    <t>056181612</t>
  </si>
  <si>
    <t>056201612</t>
  </si>
  <si>
    <t>056241612</t>
  </si>
  <si>
    <t>056251612</t>
  </si>
  <si>
    <t>056241812</t>
  </si>
  <si>
    <t>056242012</t>
  </si>
  <si>
    <t>056252012</t>
  </si>
  <si>
    <t>056122413</t>
  </si>
  <si>
    <t>056152013</t>
  </si>
  <si>
    <t>056152413</t>
  </si>
  <si>
    <t>056161613</t>
  </si>
  <si>
    <t>056161813</t>
  </si>
  <si>
    <t>056162013</t>
  </si>
  <si>
    <t>056162413</t>
  </si>
  <si>
    <t>056162513</t>
  </si>
  <si>
    <t>056182413</t>
  </si>
  <si>
    <t>056202013</t>
  </si>
  <si>
    <t>056202413</t>
  </si>
  <si>
    <t>056202513</t>
  </si>
  <si>
    <t>056242413</t>
  </si>
  <si>
    <t>056252513</t>
  </si>
  <si>
    <t>056241213</t>
  </si>
  <si>
    <t>056201513</t>
  </si>
  <si>
    <t>056241513</t>
  </si>
  <si>
    <t>056181613</t>
  </si>
  <si>
    <t>056201613</t>
  </si>
  <si>
    <t>056241613</t>
  </si>
  <si>
    <t>056251613</t>
  </si>
  <si>
    <t>056241813</t>
  </si>
  <si>
    <t>056242013</t>
  </si>
  <si>
    <t>056252013</t>
  </si>
  <si>
    <t>056122414</t>
  </si>
  <si>
    <t>056152014</t>
  </si>
  <si>
    <t>056152414</t>
  </si>
  <si>
    <t>056161614</t>
  </si>
  <si>
    <t>056161814</t>
  </si>
  <si>
    <t>056162014</t>
  </si>
  <si>
    <t>056162414</t>
  </si>
  <si>
    <t>056162514</t>
  </si>
  <si>
    <t>056182414</t>
  </si>
  <si>
    <t>056202014</t>
  </si>
  <si>
    <t>056202414</t>
  </si>
  <si>
    <t>056202514</t>
  </si>
  <si>
    <t>056242414</t>
  </si>
  <si>
    <t>056252514</t>
  </si>
  <si>
    <t>056241214</t>
  </si>
  <si>
    <t>056201514</t>
  </si>
  <si>
    <t>056241514</t>
  </si>
  <si>
    <t>056181614</t>
  </si>
  <si>
    <t>056201614</t>
  </si>
  <si>
    <t>056241614</t>
  </si>
  <si>
    <t>056251614</t>
  </si>
  <si>
    <t>056241814</t>
  </si>
  <si>
    <t>056242014</t>
  </si>
  <si>
    <t>056252014</t>
  </si>
  <si>
    <t>056122415</t>
  </si>
  <si>
    <t>056152015</t>
  </si>
  <si>
    <t>056152415</t>
  </si>
  <si>
    <t>056161615</t>
  </si>
  <si>
    <t>056161815</t>
  </si>
  <si>
    <t>056162015</t>
  </si>
  <si>
    <t>056162415</t>
  </si>
  <si>
    <t>056162515</t>
  </si>
  <si>
    <t>056182415</t>
  </si>
  <si>
    <t>056202015</t>
  </si>
  <si>
    <t>056202415</t>
  </si>
  <si>
    <t>056202515</t>
  </si>
  <si>
    <t>056242415</t>
  </si>
  <si>
    <t>056252515</t>
  </si>
  <si>
    <t>056241215</t>
  </si>
  <si>
    <t>056201515</t>
  </si>
  <si>
    <t>056241515</t>
  </si>
  <si>
    <t>056181615</t>
  </si>
  <si>
    <t>056201615</t>
  </si>
  <si>
    <t>056241615</t>
  </si>
  <si>
    <t>056251615</t>
  </si>
  <si>
    <t>056241815</t>
  </si>
  <si>
    <t>056242015</t>
  </si>
  <si>
    <t>056252015</t>
  </si>
  <si>
    <t>056122416</t>
  </si>
  <si>
    <t>056152016</t>
  </si>
  <si>
    <t>056152416</t>
  </si>
  <si>
    <t>056161616</t>
  </si>
  <si>
    <t>056161816</t>
  </si>
  <si>
    <t>056162016</t>
  </si>
  <si>
    <t>056162416</t>
  </si>
  <si>
    <t>056162516</t>
  </si>
  <si>
    <t>056182416</t>
  </si>
  <si>
    <t>056202016</t>
  </si>
  <si>
    <t>056202416</t>
  </si>
  <si>
    <t>056202516</t>
  </si>
  <si>
    <t>056242416</t>
  </si>
  <si>
    <t>056252516</t>
  </si>
  <si>
    <t>056241216</t>
  </si>
  <si>
    <t>056201516</t>
  </si>
  <si>
    <t>056241516</t>
  </si>
  <si>
    <t>056181616</t>
  </si>
  <si>
    <t>056201616</t>
  </si>
  <si>
    <t>056241616</t>
  </si>
  <si>
    <t>056251616</t>
  </si>
  <si>
    <t>056241816</t>
  </si>
  <si>
    <t>056242016</t>
  </si>
  <si>
    <t>056252016</t>
  </si>
  <si>
    <t>056122417</t>
  </si>
  <si>
    <t>056152017</t>
  </si>
  <si>
    <t>056152417</t>
  </si>
  <si>
    <t>056161617</t>
  </si>
  <si>
    <t>056161817</t>
  </si>
  <si>
    <t>056162017</t>
  </si>
  <si>
    <t>056162417</t>
  </si>
  <si>
    <t>056162517</t>
  </si>
  <si>
    <t>056182417</t>
  </si>
  <si>
    <t>056202017</t>
  </si>
  <si>
    <t>056202417</t>
  </si>
  <si>
    <t>056202517</t>
  </si>
  <si>
    <t>056242417</t>
  </si>
  <si>
    <t>056252517</t>
  </si>
  <si>
    <t>056241217</t>
  </si>
  <si>
    <t>056201517</t>
  </si>
  <si>
    <t>056241517</t>
  </si>
  <si>
    <t>056181617</t>
  </si>
  <si>
    <t>056201617</t>
  </si>
  <si>
    <t>056241617</t>
  </si>
  <si>
    <t>056251617</t>
  </si>
  <si>
    <t>056241817</t>
  </si>
  <si>
    <t>056242017</t>
  </si>
  <si>
    <t>056252017</t>
  </si>
  <si>
    <t>056122418</t>
  </si>
  <si>
    <t>056152018</t>
  </si>
  <si>
    <t>056152418</t>
  </si>
  <si>
    <t>056161618</t>
  </si>
  <si>
    <t>056161818</t>
  </si>
  <si>
    <t>056162018</t>
  </si>
  <si>
    <t>056162418</t>
  </si>
  <si>
    <t>056162518</t>
  </si>
  <si>
    <t>056182418</t>
  </si>
  <si>
    <t>056202018</t>
  </si>
  <si>
    <t>056202418</t>
  </si>
  <si>
    <t>056202518</t>
  </si>
  <si>
    <t>056242418</t>
  </si>
  <si>
    <t>056252518</t>
  </si>
  <si>
    <t>056241218</t>
  </si>
  <si>
    <t>056201518</t>
  </si>
  <si>
    <t>056241518</t>
  </si>
  <si>
    <t>056181618</t>
  </si>
  <si>
    <t>056201618</t>
  </si>
  <si>
    <t>056241618</t>
  </si>
  <si>
    <t>056251618</t>
  </si>
  <si>
    <t>056241818</t>
  </si>
  <si>
    <t>056242018</t>
  </si>
  <si>
    <t>056252018</t>
  </si>
  <si>
    <t>056122419</t>
  </si>
  <si>
    <t>056152019</t>
  </si>
  <si>
    <t>056152419</t>
  </si>
  <si>
    <t>056161619</t>
  </si>
  <si>
    <t>056161819</t>
  </si>
  <si>
    <t>056162019</t>
  </si>
  <si>
    <t>056162419</t>
  </si>
  <si>
    <t>056162519</t>
  </si>
  <si>
    <t>056182419</t>
  </si>
  <si>
    <t>056202019</t>
  </si>
  <si>
    <t>056202419</t>
  </si>
  <si>
    <t>056202519</t>
  </si>
  <si>
    <t>056242419</t>
  </si>
  <si>
    <t>056252519</t>
  </si>
  <si>
    <t>056241219</t>
  </si>
  <si>
    <t>056201519</t>
  </si>
  <si>
    <t>056241519</t>
  </si>
  <si>
    <t>056181619</t>
  </si>
  <si>
    <t>056201619</t>
  </si>
  <si>
    <t>056241619</t>
  </si>
  <si>
    <t>056251619</t>
  </si>
  <si>
    <t>056241819</t>
  </si>
  <si>
    <t>056242019</t>
  </si>
  <si>
    <t>056252019</t>
  </si>
  <si>
    <t>056122420</t>
  </si>
  <si>
    <t>056152020</t>
  </si>
  <si>
    <t>056152420</t>
  </si>
  <si>
    <t>056161620</t>
  </si>
  <si>
    <t>056161820</t>
  </si>
  <si>
    <t>056162020</t>
  </si>
  <si>
    <t>056162420</t>
  </si>
  <si>
    <t>056162520</t>
  </si>
  <si>
    <t>056182420</t>
  </si>
  <si>
    <t>056202020</t>
  </si>
  <si>
    <t>056202420</t>
  </si>
  <si>
    <t>056202520</t>
  </si>
  <si>
    <t>056242420</t>
  </si>
  <si>
    <t>056252520</t>
  </si>
  <si>
    <t>056241220</t>
  </si>
  <si>
    <t>056201520</t>
  </si>
  <si>
    <t>056241520</t>
  </si>
  <si>
    <t>056181620</t>
  </si>
  <si>
    <t>056201620</t>
  </si>
  <si>
    <t>056241620</t>
  </si>
  <si>
    <t>056251620</t>
  </si>
  <si>
    <t>056241820</t>
  </si>
  <si>
    <t>056242020</t>
  </si>
  <si>
    <t>056252020</t>
  </si>
  <si>
    <t>056122421</t>
  </si>
  <si>
    <t>056152021</t>
  </si>
  <si>
    <t>056152421</t>
  </si>
  <si>
    <t>056161621</t>
  </si>
  <si>
    <t>056161821</t>
  </si>
  <si>
    <t>056162021</t>
  </si>
  <si>
    <t>056162421</t>
  </si>
  <si>
    <t>056162521</t>
  </si>
  <si>
    <t>056182421</t>
  </si>
  <si>
    <t>056202021</t>
  </si>
  <si>
    <t>056202421</t>
  </si>
  <si>
    <t>056202521</t>
  </si>
  <si>
    <t>056242421</t>
  </si>
  <si>
    <t>056252521</t>
  </si>
  <si>
    <t>056241221</t>
  </si>
  <si>
    <t>056201521</t>
  </si>
  <si>
    <t>056241521</t>
  </si>
  <si>
    <t>056181621</t>
  </si>
  <si>
    <t>056201621</t>
  </si>
  <si>
    <t>056241621</t>
  </si>
  <si>
    <t>056251621</t>
  </si>
  <si>
    <t>056241821</t>
  </si>
  <si>
    <t>056242021</t>
  </si>
  <si>
    <t>056252021</t>
  </si>
  <si>
    <t>056122422</t>
  </si>
  <si>
    <t>056152022</t>
  </si>
  <si>
    <t>056152422</t>
  </si>
  <si>
    <t>056161622</t>
  </si>
  <si>
    <t>056161822</t>
  </si>
  <si>
    <t>056162022</t>
  </si>
  <si>
    <t>056162422</t>
  </si>
  <si>
    <t>056162522</t>
  </si>
  <si>
    <t>056182422</t>
  </si>
  <si>
    <t>056202022</t>
  </si>
  <si>
    <t>056202422</t>
  </si>
  <si>
    <t>056202522</t>
  </si>
  <si>
    <t>056242422</t>
  </si>
  <si>
    <t>056252522</t>
  </si>
  <si>
    <t>056241222</t>
  </si>
  <si>
    <t>056201522</t>
  </si>
  <si>
    <t>056241522</t>
  </si>
  <si>
    <t>056181622</t>
  </si>
  <si>
    <t>056201622</t>
  </si>
  <si>
    <t>056241622</t>
  </si>
  <si>
    <t>056251622</t>
  </si>
  <si>
    <t>056241822</t>
  </si>
  <si>
    <t>056242022</t>
  </si>
  <si>
    <t>056252022</t>
  </si>
  <si>
    <t>056122423</t>
  </si>
  <si>
    <t>056152023</t>
  </si>
  <si>
    <t>056152423</t>
  </si>
  <si>
    <t>056161623</t>
  </si>
  <si>
    <t>056161823</t>
  </si>
  <si>
    <t>056162023</t>
  </si>
  <si>
    <t>056162423</t>
  </si>
  <si>
    <t>056162523</t>
  </si>
  <si>
    <t>056182423</t>
  </si>
  <si>
    <t>056202023</t>
  </si>
  <si>
    <t>056202423</t>
  </si>
  <si>
    <t>056202523</t>
  </si>
  <si>
    <t>056242423</t>
  </si>
  <si>
    <t>056252523</t>
  </si>
  <si>
    <t>056241223</t>
  </si>
  <si>
    <t>056201523</t>
  </si>
  <si>
    <t>056241523</t>
  </si>
  <si>
    <t>056181623</t>
  </si>
  <si>
    <t>056201623</t>
  </si>
  <si>
    <t>056241623</t>
  </si>
  <si>
    <t>056251623</t>
  </si>
  <si>
    <t>056241823</t>
  </si>
  <si>
    <t>056242023</t>
  </si>
  <si>
    <t>056252023</t>
  </si>
  <si>
    <t>056122424</t>
  </si>
  <si>
    <t>056152024</t>
  </si>
  <si>
    <t>056152424</t>
  </si>
  <si>
    <t>056161624</t>
  </si>
  <si>
    <t>056161824</t>
  </si>
  <si>
    <t>056162024</t>
  </si>
  <si>
    <t>056162424</t>
  </si>
  <si>
    <t>056162524</t>
  </si>
  <si>
    <t>056182424</t>
  </si>
  <si>
    <t>056202024</t>
  </si>
  <si>
    <t>056202424</t>
  </si>
  <si>
    <t>056202524</t>
  </si>
  <si>
    <t>056242424</t>
  </si>
  <si>
    <t>056252524</t>
  </si>
  <si>
    <t>056241224</t>
  </si>
  <si>
    <t>056201524</t>
  </si>
  <si>
    <t>056241524</t>
  </si>
  <si>
    <t>056181624</t>
  </si>
  <si>
    <t>056201624</t>
  </si>
  <si>
    <t>056241624</t>
  </si>
  <si>
    <t>056251624</t>
  </si>
  <si>
    <t>056241824</t>
  </si>
  <si>
    <t>056242024</t>
  </si>
  <si>
    <t>056252024</t>
  </si>
  <si>
    <t>031122401</t>
  </si>
  <si>
    <t>031152001</t>
  </si>
  <si>
    <t>031152401</t>
  </si>
  <si>
    <t>031161601</t>
  </si>
  <si>
    <t>031161801</t>
  </si>
  <si>
    <t>031162001</t>
  </si>
  <si>
    <t>031162401</t>
  </si>
  <si>
    <t>031162501</t>
  </si>
  <si>
    <t>031182401</t>
  </si>
  <si>
    <t>031202001</t>
  </si>
  <si>
    <t>031202401</t>
  </si>
  <si>
    <t>031202501</t>
  </si>
  <si>
    <t>031242401</t>
  </si>
  <si>
    <t>031252501</t>
  </si>
  <si>
    <t>031241201</t>
  </si>
  <si>
    <t>031201501</t>
  </si>
  <si>
    <t>031241501</t>
  </si>
  <si>
    <t>031181601</t>
  </si>
  <si>
    <t>031201601</t>
  </si>
  <si>
    <t>031241601</t>
  </si>
  <si>
    <t>031251601</t>
  </si>
  <si>
    <t>031241801</t>
  </si>
  <si>
    <t>031242001</t>
  </si>
  <si>
    <t>031252001</t>
  </si>
  <si>
    <t>031122402</t>
  </si>
  <si>
    <t>031152002</t>
  </si>
  <si>
    <t>031152402</t>
  </si>
  <si>
    <t>031161602</t>
  </si>
  <si>
    <t>031161802</t>
  </si>
  <si>
    <t>031162002</t>
  </si>
  <si>
    <t>031162402</t>
  </si>
  <si>
    <t>031162502</t>
  </si>
  <si>
    <t>031182402</t>
  </si>
  <si>
    <t>031202002</t>
  </si>
  <si>
    <t>031202402</t>
  </si>
  <si>
    <t>031202502</t>
  </si>
  <si>
    <t>031242402</t>
  </si>
  <si>
    <t>031252502</t>
  </si>
  <si>
    <t>031241202</t>
  </si>
  <si>
    <t>031201502</t>
  </si>
  <si>
    <t>031241502</t>
  </si>
  <si>
    <t>031181602</t>
  </si>
  <si>
    <t>031201602</t>
  </si>
  <si>
    <t>031241602</t>
  </si>
  <si>
    <t>031251602</t>
  </si>
  <si>
    <t>031241802</t>
  </si>
  <si>
    <t>031242002</t>
  </si>
  <si>
    <t>031252002</t>
  </si>
  <si>
    <t>031122403</t>
  </si>
  <si>
    <t>031152003</t>
  </si>
  <si>
    <t>031152403</t>
  </si>
  <si>
    <t>031161603</t>
  </si>
  <si>
    <t>031161803</t>
  </si>
  <si>
    <t>031162003</t>
  </si>
  <si>
    <t>031162403</t>
  </si>
  <si>
    <t>031162503</t>
  </si>
  <si>
    <t>031182403</t>
  </si>
  <si>
    <t>031202003</t>
  </si>
  <si>
    <t>031202403</t>
  </si>
  <si>
    <t>031202503</t>
  </si>
  <si>
    <t>031242403</t>
  </si>
  <si>
    <t>031252503</t>
  </si>
  <si>
    <t>031241203</t>
  </si>
  <si>
    <t>031201503</t>
  </si>
  <si>
    <t>031241503</t>
  </si>
  <si>
    <t>031181603</t>
  </si>
  <si>
    <t>031201603</t>
  </si>
  <si>
    <t>031241603</t>
  </si>
  <si>
    <t>031251603</t>
  </si>
  <si>
    <t>031241803</t>
  </si>
  <si>
    <t>031242003</t>
  </si>
  <si>
    <t>031252003</t>
  </si>
  <si>
    <t>031122404</t>
  </si>
  <si>
    <t>031152004</t>
  </si>
  <si>
    <t>031152404</t>
  </si>
  <si>
    <t>031161604</t>
  </si>
  <si>
    <t>031161804</t>
  </si>
  <si>
    <t>031162004</t>
  </si>
  <si>
    <t>031162404</t>
  </si>
  <si>
    <t>031162504</t>
  </si>
  <si>
    <t>031182404</t>
  </si>
  <si>
    <t>031202004</t>
  </si>
  <si>
    <t>031202404</t>
  </si>
  <si>
    <t>031202504</t>
  </si>
  <si>
    <t>031242404</t>
  </si>
  <si>
    <t>031252504</t>
  </si>
  <si>
    <t>031241204</t>
  </si>
  <si>
    <t>031201504</t>
  </si>
  <si>
    <t>031241504</t>
  </si>
  <si>
    <t>031181604</t>
  </si>
  <si>
    <t>031201604</t>
  </si>
  <si>
    <t>031241604</t>
  </si>
  <si>
    <t>031251604</t>
  </si>
  <si>
    <t>031241804</t>
  </si>
  <si>
    <t>031242004</t>
  </si>
  <si>
    <t>031252004</t>
  </si>
  <si>
    <t>031122405</t>
  </si>
  <si>
    <t>031152005</t>
  </si>
  <si>
    <t>031152405</t>
  </si>
  <si>
    <t>031161605</t>
  </si>
  <si>
    <t>031161805</t>
  </si>
  <si>
    <t>031162005</t>
  </si>
  <si>
    <t>031162405</t>
  </si>
  <si>
    <t>031162505</t>
  </si>
  <si>
    <t>031182405</t>
  </si>
  <si>
    <t>031202005</t>
  </si>
  <si>
    <t>031202405</t>
  </si>
  <si>
    <t>031202505</t>
  </si>
  <si>
    <t>031242405</t>
  </si>
  <si>
    <t>031252505</t>
  </si>
  <si>
    <t>031241205</t>
  </si>
  <si>
    <t>031201505</t>
  </si>
  <si>
    <t>031241505</t>
  </si>
  <si>
    <t>031181605</t>
  </si>
  <si>
    <t>031201605</t>
  </si>
  <si>
    <t>031241605</t>
  </si>
  <si>
    <t>031251605</t>
  </si>
  <si>
    <t>031241805</t>
  </si>
  <si>
    <t>031242005</t>
  </si>
  <si>
    <t>031252005</t>
  </si>
  <si>
    <t>031122406</t>
  </si>
  <si>
    <t>031152006</t>
  </si>
  <si>
    <t>031152406</t>
  </si>
  <si>
    <t>031161606</t>
  </si>
  <si>
    <t>031161806</t>
  </si>
  <si>
    <t>031162006</t>
  </si>
  <si>
    <t>031162406</t>
  </si>
  <si>
    <t>031162506</t>
  </si>
  <si>
    <t>031182406</t>
  </si>
  <si>
    <t>031202006</t>
  </si>
  <si>
    <t>031202406</t>
  </si>
  <si>
    <t>031202506</t>
  </si>
  <si>
    <t>031242406</t>
  </si>
  <si>
    <t>031252506</t>
  </si>
  <si>
    <t>031241206</t>
  </si>
  <si>
    <t>031201506</t>
  </si>
  <si>
    <t>031241506</t>
  </si>
  <si>
    <t>031181606</t>
  </si>
  <si>
    <t>031201606</t>
  </si>
  <si>
    <t>031241606</t>
  </si>
  <si>
    <t>031251606</t>
  </si>
  <si>
    <t>031241806</t>
  </si>
  <si>
    <t>031242006</t>
  </si>
  <si>
    <t>031252006</t>
  </si>
  <si>
    <t>031122407</t>
  </si>
  <si>
    <t>031152007</t>
  </si>
  <si>
    <t>031152407</t>
  </si>
  <si>
    <t>031161607</t>
  </si>
  <si>
    <t>031161807</t>
  </si>
  <si>
    <t>031162007</t>
  </si>
  <si>
    <t>031162407</t>
  </si>
  <si>
    <t>031162507</t>
  </si>
  <si>
    <t>031182407</t>
  </si>
  <si>
    <t>031202007</t>
  </si>
  <si>
    <t>031202407</t>
  </si>
  <si>
    <t>031202507</t>
  </si>
  <si>
    <t>031242407</t>
  </si>
  <si>
    <t>031252507</t>
  </si>
  <si>
    <t>031241207</t>
  </si>
  <si>
    <t>031201507</t>
  </si>
  <si>
    <t>031241507</t>
  </si>
  <si>
    <t>031181607</t>
  </si>
  <si>
    <t>031201607</t>
  </si>
  <si>
    <t>031241607</t>
  </si>
  <si>
    <t>031251607</t>
  </si>
  <si>
    <t>031241807</t>
  </si>
  <si>
    <t>031242007</t>
  </si>
  <si>
    <t>031252007</t>
  </si>
  <si>
    <t>031122408</t>
  </si>
  <si>
    <t>031152008</t>
  </si>
  <si>
    <t>031152408</t>
  </si>
  <si>
    <t>031161608</t>
  </si>
  <si>
    <t>031161808</t>
  </si>
  <si>
    <t>031162008</t>
  </si>
  <si>
    <t>031162408</t>
  </si>
  <si>
    <t>031162508</t>
  </si>
  <si>
    <t>031182408</t>
  </si>
  <si>
    <t>031202008</t>
  </si>
  <si>
    <t>031202408</t>
  </si>
  <si>
    <t>031202508</t>
  </si>
  <si>
    <t>031242408</t>
  </si>
  <si>
    <t>031252508</t>
  </si>
  <si>
    <t>031241208</t>
  </si>
  <si>
    <t>031201508</t>
  </si>
  <si>
    <t>031241508</t>
  </si>
  <si>
    <t>031181608</t>
  </si>
  <si>
    <t>031201608</t>
  </si>
  <si>
    <t>031241608</t>
  </si>
  <si>
    <t>031251608</t>
  </si>
  <si>
    <t>031241808</t>
  </si>
  <si>
    <t>031242008</t>
  </si>
  <si>
    <t>031252008</t>
  </si>
  <si>
    <t>031122409</t>
  </si>
  <si>
    <t>031152009</t>
  </si>
  <si>
    <t>031152409</t>
  </si>
  <si>
    <t>031161609</t>
  </si>
  <si>
    <t>031161809</t>
  </si>
  <si>
    <t>031162009</t>
  </si>
  <si>
    <t>031162409</t>
  </si>
  <si>
    <t>031162509</t>
  </si>
  <si>
    <t>031182409</t>
  </si>
  <si>
    <t>031202009</t>
  </si>
  <si>
    <t>031202409</t>
  </si>
  <si>
    <t>031202509</t>
  </si>
  <si>
    <t>031242409</t>
  </si>
  <si>
    <t>031252509</t>
  </si>
  <si>
    <t>031241209</t>
  </si>
  <si>
    <t>031201509</t>
  </si>
  <si>
    <t>031241509</t>
  </si>
  <si>
    <t>031181609</t>
  </si>
  <si>
    <t>031201609</t>
  </si>
  <si>
    <t>031241609</t>
  </si>
  <si>
    <t>031251609</t>
  </si>
  <si>
    <t>031241809</t>
  </si>
  <si>
    <t>031242009</t>
  </si>
  <si>
    <t>031252009</t>
  </si>
  <si>
    <t>031122410</t>
  </si>
  <si>
    <t>031152010</t>
  </si>
  <si>
    <t>031152410</t>
  </si>
  <si>
    <t>031161610</t>
  </si>
  <si>
    <t>031161810</t>
  </si>
  <si>
    <t>031162010</t>
  </si>
  <si>
    <t>031162410</t>
  </si>
  <si>
    <t>031162510</t>
  </si>
  <si>
    <t>031182410</t>
  </si>
  <si>
    <t>031202010</t>
  </si>
  <si>
    <t>031202410</t>
  </si>
  <si>
    <t>031202510</t>
  </si>
  <si>
    <t>031242410</t>
  </si>
  <si>
    <t>031252510</t>
  </si>
  <si>
    <t>031241210</t>
  </si>
  <si>
    <t>031201510</t>
  </si>
  <si>
    <t>031241510</t>
  </si>
  <si>
    <t>031181610</t>
  </si>
  <si>
    <t>031201610</t>
  </si>
  <si>
    <t>031241610</t>
  </si>
  <si>
    <t>031251610</t>
  </si>
  <si>
    <t>031241810</t>
  </si>
  <si>
    <t>031242010</t>
  </si>
  <si>
    <t>031252010</t>
  </si>
  <si>
    <t>031122411</t>
  </si>
  <si>
    <t>031152011</t>
  </si>
  <si>
    <t>031152411</t>
  </si>
  <si>
    <t>031161611</t>
  </si>
  <si>
    <t>031161811</t>
  </si>
  <si>
    <t>031162011</t>
  </si>
  <si>
    <t>031162411</t>
  </si>
  <si>
    <t>031162511</t>
  </si>
  <si>
    <t>031182411</t>
  </si>
  <si>
    <t>031202011</t>
  </si>
  <si>
    <t>031202411</t>
  </si>
  <si>
    <t>031202511</t>
  </si>
  <si>
    <t>031242411</t>
  </si>
  <si>
    <t>031252511</t>
  </si>
  <si>
    <t>031241211</t>
  </si>
  <si>
    <t>031201511</t>
  </si>
  <si>
    <t>031241511</t>
  </si>
  <si>
    <t>031181611</t>
  </si>
  <si>
    <t>031201611</t>
  </si>
  <si>
    <t>031241611</t>
  </si>
  <si>
    <t>031251611</t>
  </si>
  <si>
    <t>031241811</t>
  </si>
  <si>
    <t>031242011</t>
  </si>
  <si>
    <t>031252011</t>
  </si>
  <si>
    <t>031122412</t>
  </si>
  <si>
    <t>031152012</t>
  </si>
  <si>
    <t>031152412</t>
  </si>
  <si>
    <t>031161612</t>
  </si>
  <si>
    <t>031161812</t>
  </si>
  <si>
    <t>031162012</t>
  </si>
  <si>
    <t>031162412</t>
  </si>
  <si>
    <t>031162512</t>
  </si>
  <si>
    <t>031182412</t>
  </si>
  <si>
    <t>031202012</t>
  </si>
  <si>
    <t>031202412</t>
  </si>
  <si>
    <t>031202512</t>
  </si>
  <si>
    <t>031242412</t>
  </si>
  <si>
    <t>031252512</t>
  </si>
  <si>
    <t>031241212</t>
  </si>
  <si>
    <t>031201512</t>
  </si>
  <si>
    <t>031241512</t>
  </si>
  <si>
    <t>031181612</t>
  </si>
  <si>
    <t>031201612</t>
  </si>
  <si>
    <t>031241612</t>
  </si>
  <si>
    <t>031251612</t>
  </si>
  <si>
    <t>031241812</t>
  </si>
  <si>
    <t>031242012</t>
  </si>
  <si>
    <t>031252012</t>
  </si>
  <si>
    <t>031122413</t>
  </si>
  <si>
    <t>031152013</t>
  </si>
  <si>
    <t>031152413</t>
  </si>
  <si>
    <t>031161613</t>
  </si>
  <si>
    <t>031161813</t>
  </si>
  <si>
    <t>031162013</t>
  </si>
  <si>
    <t>031162413</t>
  </si>
  <si>
    <t>031162513</t>
  </si>
  <si>
    <t>031182413</t>
  </si>
  <si>
    <t>031202013</t>
  </si>
  <si>
    <t>031202413</t>
  </si>
  <si>
    <t>031202513</t>
  </si>
  <si>
    <t>031242413</t>
  </si>
  <si>
    <t>031252513</t>
  </si>
  <si>
    <t>031241213</t>
  </si>
  <si>
    <t>031201513</t>
  </si>
  <si>
    <t>031241513</t>
  </si>
  <si>
    <t>031181613</t>
  </si>
  <si>
    <t>031201613</t>
  </si>
  <si>
    <t>031241613</t>
  </si>
  <si>
    <t>031251613</t>
  </si>
  <si>
    <t>031241813</t>
  </si>
  <si>
    <t>031242013</t>
  </si>
  <si>
    <t>031252013</t>
  </si>
  <si>
    <t>031122414</t>
  </si>
  <si>
    <t>031152014</t>
  </si>
  <si>
    <t>031152414</t>
  </si>
  <si>
    <t>031161614</t>
  </si>
  <si>
    <t>031161814</t>
  </si>
  <si>
    <t>031162014</t>
  </si>
  <si>
    <t>031162414</t>
  </si>
  <si>
    <t>031162514</t>
  </si>
  <si>
    <t>031182414</t>
  </si>
  <si>
    <t>031202014</t>
  </si>
  <si>
    <t>031202414</t>
  </si>
  <si>
    <t>031202514</t>
  </si>
  <si>
    <t>031242414</t>
  </si>
  <si>
    <t>031252514</t>
  </si>
  <si>
    <t>031241214</t>
  </si>
  <si>
    <t>031201514</t>
  </si>
  <si>
    <t>031241514</t>
  </si>
  <si>
    <t>031181614</t>
  </si>
  <si>
    <t>031201614</t>
  </si>
  <si>
    <t>031241614</t>
  </si>
  <si>
    <t>031251614</t>
  </si>
  <si>
    <t>031241814</t>
  </si>
  <si>
    <t>031242014</t>
  </si>
  <si>
    <t>031252014</t>
  </si>
  <si>
    <t>031122415</t>
  </si>
  <si>
    <t>031152015</t>
  </si>
  <si>
    <t>031152415</t>
  </si>
  <si>
    <t>031161615</t>
  </si>
  <si>
    <t>031161815</t>
  </si>
  <si>
    <t>031162015</t>
  </si>
  <si>
    <t>031162415</t>
  </si>
  <si>
    <t>031162515</t>
  </si>
  <si>
    <t>031182415</t>
  </si>
  <si>
    <t>031202015</t>
  </si>
  <si>
    <t>031202415</t>
  </si>
  <si>
    <t>031202515</t>
  </si>
  <si>
    <t>031242415</t>
  </si>
  <si>
    <t>031252515</t>
  </si>
  <si>
    <t>031241215</t>
  </si>
  <si>
    <t>031201515</t>
  </si>
  <si>
    <t>031241515</t>
  </si>
  <si>
    <t>031181615</t>
  </si>
  <si>
    <t>031201615</t>
  </si>
  <si>
    <t>031241615</t>
  </si>
  <si>
    <t>031251615</t>
  </si>
  <si>
    <t>031241815</t>
  </si>
  <si>
    <t>031242015</t>
  </si>
  <si>
    <t>031252015</t>
  </si>
  <si>
    <t>031122416</t>
  </si>
  <si>
    <t>031152016</t>
  </si>
  <si>
    <t>031152416</t>
  </si>
  <si>
    <t>031161616</t>
  </si>
  <si>
    <t>031161816</t>
  </si>
  <si>
    <t>031162016</t>
  </si>
  <si>
    <t>031162416</t>
  </si>
  <si>
    <t>031162516</t>
  </si>
  <si>
    <t>031182416</t>
  </si>
  <si>
    <t>031202016</t>
  </si>
  <si>
    <t>031202416</t>
  </si>
  <si>
    <t>031202516</t>
  </si>
  <si>
    <t>031242416</t>
  </si>
  <si>
    <t>031252516</t>
  </si>
  <si>
    <t>031241216</t>
  </si>
  <si>
    <t>031201516</t>
  </si>
  <si>
    <t>031241516</t>
  </si>
  <si>
    <t>031181616</t>
  </si>
  <si>
    <t>031201616</t>
  </si>
  <si>
    <t>031241616</t>
  </si>
  <si>
    <t>031251616</t>
  </si>
  <si>
    <t>031241816</t>
  </si>
  <si>
    <t>031242016</t>
  </si>
  <si>
    <t>031252016</t>
  </si>
  <si>
    <t>031122417</t>
  </si>
  <si>
    <t>031152017</t>
  </si>
  <si>
    <t>031152417</t>
  </si>
  <si>
    <t>031161617</t>
  </si>
  <si>
    <t>031161817</t>
  </si>
  <si>
    <t>031162017</t>
  </si>
  <si>
    <t>031162417</t>
  </si>
  <si>
    <t>031162517</t>
  </si>
  <si>
    <t>031182417</t>
  </si>
  <si>
    <t>031202017</t>
  </si>
  <si>
    <t>031202417</t>
  </si>
  <si>
    <t>031202517</t>
  </si>
  <si>
    <t>031242417</t>
  </si>
  <si>
    <t>031252517</t>
  </si>
  <si>
    <t>031241217</t>
  </si>
  <si>
    <t>031201517</t>
  </si>
  <si>
    <t>031241517</t>
  </si>
  <si>
    <t>031181617</t>
  </si>
  <si>
    <t>031201617</t>
  </si>
  <si>
    <t>031241617</t>
  </si>
  <si>
    <t>031251617</t>
  </si>
  <si>
    <t>031241817</t>
  </si>
  <si>
    <t>031242017</t>
  </si>
  <si>
    <t>031252017</t>
  </si>
  <si>
    <t>031122418</t>
  </si>
  <si>
    <t>031152018</t>
  </si>
  <si>
    <t>031152418</t>
  </si>
  <si>
    <t>031161618</t>
  </si>
  <si>
    <t>031161818</t>
  </si>
  <si>
    <t>031162018</t>
  </si>
  <si>
    <t>031162418</t>
  </si>
  <si>
    <t>031162518</t>
  </si>
  <si>
    <t>031182418</t>
  </si>
  <si>
    <t>031202018</t>
  </si>
  <si>
    <t>031202418</t>
  </si>
  <si>
    <t>031202518</t>
  </si>
  <si>
    <t>031242418</t>
  </si>
  <si>
    <t>031252518</t>
  </si>
  <si>
    <t>031241218</t>
  </si>
  <si>
    <t>031201518</t>
  </si>
  <si>
    <t>031241518</t>
  </si>
  <si>
    <t>031181618</t>
  </si>
  <si>
    <t>031201618</t>
  </si>
  <si>
    <t>031241618</t>
  </si>
  <si>
    <t>031251618</t>
  </si>
  <si>
    <t>031241818</t>
  </si>
  <si>
    <t>031242018</t>
  </si>
  <si>
    <t>031252018</t>
  </si>
  <si>
    <t>031122419</t>
  </si>
  <si>
    <t>031152019</t>
  </si>
  <si>
    <t>031152419</t>
  </si>
  <si>
    <t>031161619</t>
  </si>
  <si>
    <t>031161819</t>
  </si>
  <si>
    <t>031162019</t>
  </si>
  <si>
    <t>031162419</t>
  </si>
  <si>
    <t>031162519</t>
  </si>
  <si>
    <t>031182419</t>
  </si>
  <si>
    <t>031202019</t>
  </si>
  <si>
    <t>031202419</t>
  </si>
  <si>
    <t>031202519</t>
  </si>
  <si>
    <t>031242419</t>
  </si>
  <si>
    <t>031252519</t>
  </si>
  <si>
    <t>031241219</t>
  </si>
  <si>
    <t>031201519</t>
  </si>
  <si>
    <t>031241519</t>
  </si>
  <si>
    <t>031181619</t>
  </si>
  <si>
    <t>031201619</t>
  </si>
  <si>
    <t>031241619</t>
  </si>
  <si>
    <t>031251619</t>
  </si>
  <si>
    <t>031241819</t>
  </si>
  <si>
    <t>031242019</t>
  </si>
  <si>
    <t>031252019</t>
  </si>
  <si>
    <t>031122420</t>
  </si>
  <si>
    <t>031152020</t>
  </si>
  <si>
    <t>031152420</t>
  </si>
  <si>
    <t>031161620</t>
  </si>
  <si>
    <t>031161820</t>
  </si>
  <si>
    <t>031162020</t>
  </si>
  <si>
    <t>031162420</t>
  </si>
  <si>
    <t>031162520</t>
  </si>
  <si>
    <t>031182420</t>
  </si>
  <si>
    <t>031202020</t>
  </si>
  <si>
    <t>031202420</t>
  </si>
  <si>
    <t>031202520</t>
  </si>
  <si>
    <t>031242420</t>
  </si>
  <si>
    <t>031252520</t>
  </si>
  <si>
    <t>031241220</t>
  </si>
  <si>
    <t>031201520</t>
  </si>
  <si>
    <t>031241520</t>
  </si>
  <si>
    <t>031181620</t>
  </si>
  <si>
    <t>031201620</t>
  </si>
  <si>
    <t>031241620</t>
  </si>
  <si>
    <t>031251620</t>
  </si>
  <si>
    <t>031241820</t>
  </si>
  <si>
    <t>031242020</t>
  </si>
  <si>
    <t>031252020</t>
  </si>
  <si>
    <t>031122421</t>
  </si>
  <si>
    <t>031152021</t>
  </si>
  <si>
    <t>031152421</t>
  </si>
  <si>
    <t>031161621</t>
  </si>
  <si>
    <t>031161821</t>
  </si>
  <si>
    <t>031162021</t>
  </si>
  <si>
    <t>031162421</t>
  </si>
  <si>
    <t>031162521</t>
  </si>
  <si>
    <t>031182421</t>
  </si>
  <si>
    <t>031202021</t>
  </si>
  <si>
    <t>031202421</t>
  </si>
  <si>
    <t>031202521</t>
  </si>
  <si>
    <t>031242421</t>
  </si>
  <si>
    <t>031252521</t>
  </si>
  <si>
    <t>031241221</t>
  </si>
  <si>
    <t>031201521</t>
  </si>
  <si>
    <t>031241521</t>
  </si>
  <si>
    <t>031181621</t>
  </si>
  <si>
    <t>031201621</t>
  </si>
  <si>
    <t>031241621</t>
  </si>
  <si>
    <t>031251621</t>
  </si>
  <si>
    <t>031241821</t>
  </si>
  <si>
    <t>031242021</t>
  </si>
  <si>
    <t>031252021</t>
  </si>
  <si>
    <t>031122422</t>
  </si>
  <si>
    <t>031152022</t>
  </si>
  <si>
    <t>031152422</t>
  </si>
  <si>
    <t>031161622</t>
  </si>
  <si>
    <t>031161822</t>
  </si>
  <si>
    <t>031162022</t>
  </si>
  <si>
    <t>031162422</t>
  </si>
  <si>
    <t>031162522</t>
  </si>
  <si>
    <t>031182422</t>
  </si>
  <si>
    <t>031202022</t>
  </si>
  <si>
    <t>031202422</t>
  </si>
  <si>
    <t>031202522</t>
  </si>
  <si>
    <t>031242422</t>
  </si>
  <si>
    <t>031252522</t>
  </si>
  <si>
    <t>031241222</t>
  </si>
  <si>
    <t>031201522</t>
  </si>
  <si>
    <t>031241522</t>
  </si>
  <si>
    <t>031181622</t>
  </si>
  <si>
    <t>031201622</t>
  </si>
  <si>
    <t>031241622</t>
  </si>
  <si>
    <t>031251622</t>
  </si>
  <si>
    <t>031241822</t>
  </si>
  <si>
    <t>031242022</t>
  </si>
  <si>
    <t>031252022</t>
  </si>
  <si>
    <t>031122423</t>
  </si>
  <si>
    <t>031152023</t>
  </si>
  <si>
    <t>031152423</t>
  </si>
  <si>
    <t>031161623</t>
  </si>
  <si>
    <t>031161823</t>
  </si>
  <si>
    <t>031162023</t>
  </si>
  <si>
    <t>031162423</t>
  </si>
  <si>
    <t>031162523</t>
  </si>
  <si>
    <t>031182423</t>
  </si>
  <si>
    <t>031202023</t>
  </si>
  <si>
    <t>031202423</t>
  </si>
  <si>
    <t>031202523</t>
  </si>
  <si>
    <t>031242423</t>
  </si>
  <si>
    <t>031252523</t>
  </si>
  <si>
    <t>031241223</t>
  </si>
  <si>
    <t>031201523</t>
  </si>
  <si>
    <t>031241523</t>
  </si>
  <si>
    <t>031181623</t>
  </si>
  <si>
    <t>031201623</t>
  </si>
  <si>
    <t>031241623</t>
  </si>
  <si>
    <t>031251623</t>
  </si>
  <si>
    <t>031241823</t>
  </si>
  <si>
    <t>031242023</t>
  </si>
  <si>
    <t>031252023</t>
  </si>
  <si>
    <t>031122424</t>
  </si>
  <si>
    <t>031152024</t>
  </si>
  <si>
    <t>031152424</t>
  </si>
  <si>
    <t>031161624</t>
  </si>
  <si>
    <t>031161824</t>
  </si>
  <si>
    <t>031162024</t>
  </si>
  <si>
    <t>031162424</t>
  </si>
  <si>
    <t>031162524</t>
  </si>
  <si>
    <t>031182424</t>
  </si>
  <si>
    <t>031202024</t>
  </si>
  <si>
    <t>031202424</t>
  </si>
  <si>
    <t>031202524</t>
  </si>
  <si>
    <t>031242424</t>
  </si>
  <si>
    <t>031252524</t>
  </si>
  <si>
    <t>031241224</t>
  </si>
  <si>
    <t>031201524</t>
  </si>
  <si>
    <t>031241524</t>
  </si>
  <si>
    <t>031181624</t>
  </si>
  <si>
    <t>031201624</t>
  </si>
  <si>
    <t>031241624</t>
  </si>
  <si>
    <t>031251624</t>
  </si>
  <si>
    <t>031241824</t>
  </si>
  <si>
    <t>031242024</t>
  </si>
  <si>
    <t>031252024</t>
  </si>
  <si>
    <t>044122401</t>
  </si>
  <si>
    <t>044152001</t>
  </si>
  <si>
    <t>044152401</t>
  </si>
  <si>
    <t>044161601</t>
  </si>
  <si>
    <t>044161801</t>
  </si>
  <si>
    <t>044162001</t>
  </si>
  <si>
    <t>044162401</t>
  </si>
  <si>
    <t>044162501</t>
  </si>
  <si>
    <t>044182401</t>
  </si>
  <si>
    <t>044202001</t>
  </si>
  <si>
    <t>044202401</t>
  </si>
  <si>
    <t>044202501</t>
  </si>
  <si>
    <t>044242401</t>
  </si>
  <si>
    <t>044252501</t>
  </si>
  <si>
    <t>044241201</t>
  </si>
  <si>
    <t>044201501</t>
  </si>
  <si>
    <t>044241501</t>
  </si>
  <si>
    <t>044181601</t>
  </si>
  <si>
    <t>044201601</t>
  </si>
  <si>
    <t>044241601</t>
  </si>
  <si>
    <t>044251601</t>
  </si>
  <si>
    <t>044241801</t>
  </si>
  <si>
    <t>044242001</t>
  </si>
  <si>
    <t>044252001</t>
  </si>
  <si>
    <t>044122402</t>
  </si>
  <si>
    <t>044152002</t>
  </si>
  <si>
    <t>044152402</t>
  </si>
  <si>
    <t>044161602</t>
  </si>
  <si>
    <t>044161802</t>
  </si>
  <si>
    <t>044162002</t>
  </si>
  <si>
    <t>044162402</t>
  </si>
  <si>
    <t>044162502</t>
  </si>
  <si>
    <t>044182402</t>
  </si>
  <si>
    <t>044202002</t>
  </si>
  <si>
    <t>044202402</t>
  </si>
  <si>
    <t>044202502</t>
  </si>
  <si>
    <t>044242402</t>
  </si>
  <si>
    <t>044252502</t>
  </si>
  <si>
    <t>044241202</t>
  </si>
  <si>
    <t>044201502</t>
  </si>
  <si>
    <t>044241502</t>
  </si>
  <si>
    <t>044181602</t>
  </si>
  <si>
    <t>044201602</t>
  </si>
  <si>
    <t>044241602</t>
  </si>
  <si>
    <t>044251602</t>
  </si>
  <si>
    <t>044241802</t>
  </si>
  <si>
    <t>044242002</t>
  </si>
  <si>
    <t>044252002</t>
  </si>
  <si>
    <t>044122403</t>
  </si>
  <si>
    <t>044152003</t>
  </si>
  <si>
    <t>044152403</t>
  </si>
  <si>
    <t>044161603</t>
  </si>
  <si>
    <t>044161803</t>
  </si>
  <si>
    <t>044162003</t>
  </si>
  <si>
    <t>044162403</t>
  </si>
  <si>
    <t>044162503</t>
  </si>
  <si>
    <t>044182403</t>
  </si>
  <si>
    <t>044202003</t>
  </si>
  <si>
    <t>044202403</t>
  </si>
  <si>
    <t>044202503</t>
  </si>
  <si>
    <t>044242403</t>
  </si>
  <si>
    <t>044252503</t>
  </si>
  <si>
    <t>044241203</t>
  </si>
  <si>
    <t>044201503</t>
  </si>
  <si>
    <t>044241503</t>
  </si>
  <si>
    <t>044181603</t>
  </si>
  <si>
    <t>044201603</t>
  </si>
  <si>
    <t>044241603</t>
  </si>
  <si>
    <t>044251603</t>
  </si>
  <si>
    <t>044241803</t>
  </si>
  <si>
    <t>044242003</t>
  </si>
  <si>
    <t>044252003</t>
  </si>
  <si>
    <t>044122404</t>
  </si>
  <si>
    <t>044152004</t>
  </si>
  <si>
    <t>044152404</t>
  </si>
  <si>
    <t>044161604</t>
  </si>
  <si>
    <t>044161804</t>
  </si>
  <si>
    <t>044162004</t>
  </si>
  <si>
    <t>044162404</t>
  </si>
  <si>
    <t>044162504</t>
  </si>
  <si>
    <t>044182404</t>
  </si>
  <si>
    <t>044202004</t>
  </si>
  <si>
    <t>044202404</t>
  </si>
  <si>
    <t>044202504</t>
  </si>
  <si>
    <t>044242404</t>
  </si>
  <si>
    <t>044252504</t>
  </si>
  <si>
    <t>044241204</t>
  </si>
  <si>
    <t>044201504</t>
  </si>
  <si>
    <t>044241504</t>
  </si>
  <si>
    <t>044181604</t>
  </si>
  <si>
    <t>044201604</t>
  </si>
  <si>
    <t>044241604</t>
  </si>
  <si>
    <t>044251604</t>
  </si>
  <si>
    <t>044241804</t>
  </si>
  <si>
    <t>044242004</t>
  </si>
  <si>
    <t>044252004</t>
  </si>
  <si>
    <t>044122405</t>
  </si>
  <si>
    <t>044152005</t>
  </si>
  <si>
    <t>044152405</t>
  </si>
  <si>
    <t>044161605</t>
  </si>
  <si>
    <t>044161805</t>
  </si>
  <si>
    <t>044162005</t>
  </si>
  <si>
    <t>044162405</t>
  </si>
  <si>
    <t>044162505</t>
  </si>
  <si>
    <t>044182405</t>
  </si>
  <si>
    <t>044202005</t>
  </si>
  <si>
    <t>044202405</t>
  </si>
  <si>
    <t>044202505</t>
  </si>
  <si>
    <t>044242405</t>
  </si>
  <si>
    <t>044252505</t>
  </si>
  <si>
    <t>044241205</t>
  </si>
  <si>
    <t>044201505</t>
  </si>
  <si>
    <t>044241505</t>
  </si>
  <si>
    <t>044181605</t>
  </si>
  <si>
    <t>044201605</t>
  </si>
  <si>
    <t>044241605</t>
  </si>
  <si>
    <t>044251605</t>
  </si>
  <si>
    <t>044241805</t>
  </si>
  <si>
    <t>044242005</t>
  </si>
  <si>
    <t>044252005</t>
  </si>
  <si>
    <t>044122406</t>
  </si>
  <si>
    <t>044152006</t>
  </si>
  <si>
    <t>044152406</t>
  </si>
  <si>
    <t>044161606</t>
  </si>
  <si>
    <t>044161806</t>
  </si>
  <si>
    <t>044162006</t>
  </si>
  <si>
    <t>044162406</t>
  </si>
  <si>
    <t>044162506</t>
  </si>
  <si>
    <t>044182406</t>
  </si>
  <si>
    <t>044202006</t>
  </si>
  <si>
    <t>044202406</t>
  </si>
  <si>
    <t>044202506</t>
  </si>
  <si>
    <t>044242406</t>
  </si>
  <si>
    <t>044252506</t>
  </si>
  <si>
    <t>044241206</t>
  </si>
  <si>
    <t>044201506</t>
  </si>
  <si>
    <t>044241506</t>
  </si>
  <si>
    <t>044181606</t>
  </si>
  <si>
    <t>044201606</t>
  </si>
  <si>
    <t>044241606</t>
  </si>
  <si>
    <t>044251606</t>
  </si>
  <si>
    <t>044241806</t>
  </si>
  <si>
    <t>044242006</t>
  </si>
  <si>
    <t>044252006</t>
  </si>
  <si>
    <t>044122407</t>
  </si>
  <si>
    <t>044152007</t>
  </si>
  <si>
    <t>044152407</t>
  </si>
  <si>
    <t>044161607</t>
  </si>
  <si>
    <t>044161807</t>
  </si>
  <si>
    <t>044162007</t>
  </si>
  <si>
    <t>044162407</t>
  </si>
  <si>
    <t>044162507</t>
  </si>
  <si>
    <t>044182407</t>
  </si>
  <si>
    <t>044202007</t>
  </si>
  <si>
    <t>044202407</t>
  </si>
  <si>
    <t>044202507</t>
  </si>
  <si>
    <t>044242407</t>
  </si>
  <si>
    <t>044252507</t>
  </si>
  <si>
    <t>044241207</t>
  </si>
  <si>
    <t>044201507</t>
  </si>
  <si>
    <t>044241507</t>
  </si>
  <si>
    <t>044181607</t>
  </si>
  <si>
    <t>044201607</t>
  </si>
  <si>
    <t>044241607</t>
  </si>
  <si>
    <t>044251607</t>
  </si>
  <si>
    <t>044241807</t>
  </si>
  <si>
    <t>044242007</t>
  </si>
  <si>
    <t>044252007</t>
  </si>
  <si>
    <t>044122408</t>
  </si>
  <si>
    <t>044152008</t>
  </si>
  <si>
    <t>044152408</t>
  </si>
  <si>
    <t>044161608</t>
  </si>
  <si>
    <t>044161808</t>
  </si>
  <si>
    <t>044162008</t>
  </si>
  <si>
    <t>044162408</t>
  </si>
  <si>
    <t>044162508</t>
  </si>
  <si>
    <t>044182408</t>
  </si>
  <si>
    <t>044202008</t>
  </si>
  <si>
    <t>044202408</t>
  </si>
  <si>
    <t>044202508</t>
  </si>
  <si>
    <t>044242408</t>
  </si>
  <si>
    <t>044252508</t>
  </si>
  <si>
    <t>044241208</t>
  </si>
  <si>
    <t>044201508</t>
  </si>
  <si>
    <t>044241508</t>
  </si>
  <si>
    <t>044181608</t>
  </si>
  <si>
    <t>044201608</t>
  </si>
  <si>
    <t>044241608</t>
  </si>
  <si>
    <t>044251608</t>
  </si>
  <si>
    <t>044241808</t>
  </si>
  <si>
    <t>044242008</t>
  </si>
  <si>
    <t>044252008</t>
  </si>
  <si>
    <t>044122409</t>
  </si>
  <si>
    <t>044152009</t>
  </si>
  <si>
    <t>044152409</t>
  </si>
  <si>
    <t>044161609</t>
  </si>
  <si>
    <t>044161809</t>
  </si>
  <si>
    <t>044162009</t>
  </si>
  <si>
    <t>044162409</t>
  </si>
  <si>
    <t>044162509</t>
  </si>
  <si>
    <t>044182409</t>
  </si>
  <si>
    <t>044202009</t>
  </si>
  <si>
    <t>044202409</t>
  </si>
  <si>
    <t>044202509</t>
  </si>
  <si>
    <t>044242409</t>
  </si>
  <si>
    <t>044252509</t>
  </si>
  <si>
    <t>044241209</t>
  </si>
  <si>
    <t>044201509</t>
  </si>
  <si>
    <t>044241509</t>
  </si>
  <si>
    <t>044181609</t>
  </si>
  <si>
    <t>044201609</t>
  </si>
  <si>
    <t>044241609</t>
  </si>
  <si>
    <t>044251609</t>
  </si>
  <si>
    <t>044241809</t>
  </si>
  <si>
    <t>044242009</t>
  </si>
  <si>
    <t>044252009</t>
  </si>
  <si>
    <t>044122410</t>
  </si>
  <si>
    <t>044152010</t>
  </si>
  <si>
    <t>044152410</t>
  </si>
  <si>
    <t>044161610</t>
  </si>
  <si>
    <t>044161810</t>
  </si>
  <si>
    <t>044162010</t>
  </si>
  <si>
    <t>044162410</t>
  </si>
  <si>
    <t>044162510</t>
  </si>
  <si>
    <t>044182410</t>
  </si>
  <si>
    <t>044202010</t>
  </si>
  <si>
    <t>044202410</t>
  </si>
  <si>
    <t>044202510</t>
  </si>
  <si>
    <t>044242410</t>
  </si>
  <si>
    <t>044252510</t>
  </si>
  <si>
    <t>044241210</t>
  </si>
  <si>
    <t>044201510</t>
  </si>
  <si>
    <t>044241510</t>
  </si>
  <si>
    <t>044181610</t>
  </si>
  <si>
    <t>044201610</t>
  </si>
  <si>
    <t>044241610</t>
  </si>
  <si>
    <t>044251610</t>
  </si>
  <si>
    <t>044241810</t>
  </si>
  <si>
    <t>044242010</t>
  </si>
  <si>
    <t>044252010</t>
  </si>
  <si>
    <t>044122411</t>
  </si>
  <si>
    <t>044152011</t>
  </si>
  <si>
    <t>044152411</t>
  </si>
  <si>
    <t>044161611</t>
  </si>
  <si>
    <t>044161811</t>
  </si>
  <si>
    <t>044162011</t>
  </si>
  <si>
    <t>044162411</t>
  </si>
  <si>
    <t>044162511</t>
  </si>
  <si>
    <t>044182411</t>
  </si>
  <si>
    <t>044202011</t>
  </si>
  <si>
    <t>044202411</t>
  </si>
  <si>
    <t>044202511</t>
  </si>
  <si>
    <t>044242411</t>
  </si>
  <si>
    <t>044252511</t>
  </si>
  <si>
    <t>044241211</t>
  </si>
  <si>
    <t>044201511</t>
  </si>
  <si>
    <t>044241511</t>
  </si>
  <si>
    <t>044181611</t>
  </si>
  <si>
    <t>044201611</t>
  </si>
  <si>
    <t>044241611</t>
  </si>
  <si>
    <t>044251611</t>
  </si>
  <si>
    <t>044241811</t>
  </si>
  <si>
    <t>044242011</t>
  </si>
  <si>
    <t>044252011</t>
  </si>
  <si>
    <t>044122412</t>
  </si>
  <si>
    <t>044152012</t>
  </si>
  <si>
    <t>044152412</t>
  </si>
  <si>
    <t>044161612</t>
  </si>
  <si>
    <t>044161812</t>
  </si>
  <si>
    <t>044162012</t>
  </si>
  <si>
    <t>044162412</t>
  </si>
  <si>
    <t>044162512</t>
  </si>
  <si>
    <t>044182412</t>
  </si>
  <si>
    <t>044202012</t>
  </si>
  <si>
    <t>044202412</t>
  </si>
  <si>
    <t>044202512</t>
  </si>
  <si>
    <t>044242412</t>
  </si>
  <si>
    <t>044252512</t>
  </si>
  <si>
    <t>044241212</t>
  </si>
  <si>
    <t>044201512</t>
  </si>
  <si>
    <t>044241512</t>
  </si>
  <si>
    <t>044181612</t>
  </si>
  <si>
    <t>044201612</t>
  </si>
  <si>
    <t>044241612</t>
  </si>
  <si>
    <t>044251612</t>
  </si>
  <si>
    <t>044241812</t>
  </si>
  <si>
    <t>044242012</t>
  </si>
  <si>
    <t>044252012</t>
  </si>
  <si>
    <t>044122413</t>
  </si>
  <si>
    <t>044152013</t>
  </si>
  <si>
    <t>044152413</t>
  </si>
  <si>
    <t>044161613</t>
  </si>
  <si>
    <t>044161813</t>
  </si>
  <si>
    <t>044162013</t>
  </si>
  <si>
    <t>044162413</t>
  </si>
  <si>
    <t>044162513</t>
  </si>
  <si>
    <t>044182413</t>
  </si>
  <si>
    <t>044202013</t>
  </si>
  <si>
    <t>044202413</t>
  </si>
  <si>
    <t>044202513</t>
  </si>
  <si>
    <t>044242413</t>
  </si>
  <si>
    <t>044252513</t>
  </si>
  <si>
    <t>044241213</t>
  </si>
  <si>
    <t>044201513</t>
  </si>
  <si>
    <t>044241513</t>
  </si>
  <si>
    <t>044181613</t>
  </si>
  <si>
    <t>044201613</t>
  </si>
  <si>
    <t>044241613</t>
  </si>
  <si>
    <t>044251613</t>
  </si>
  <si>
    <t>044241813</t>
  </si>
  <si>
    <t>044242013</t>
  </si>
  <si>
    <t>044252013</t>
  </si>
  <si>
    <t>044122414</t>
  </si>
  <si>
    <t>044152014</t>
  </si>
  <si>
    <t>044152414</t>
  </si>
  <si>
    <t>044161614</t>
  </si>
  <si>
    <t>044161814</t>
  </si>
  <si>
    <t>044162014</t>
  </si>
  <si>
    <t>044162414</t>
  </si>
  <si>
    <t>044162514</t>
  </si>
  <si>
    <t>044182414</t>
  </si>
  <si>
    <t>044202014</t>
  </si>
  <si>
    <t>044202414</t>
  </si>
  <si>
    <t>044202514</t>
  </si>
  <si>
    <t>044242414</t>
  </si>
  <si>
    <t>044252514</t>
  </si>
  <si>
    <t>044241214</t>
  </si>
  <si>
    <t>044201514</t>
  </si>
  <si>
    <t>044241514</t>
  </si>
  <si>
    <t>044181614</t>
  </si>
  <si>
    <t>044201614</t>
  </si>
  <si>
    <t>044241614</t>
  </si>
  <si>
    <t>044251614</t>
  </si>
  <si>
    <t>044241814</t>
  </si>
  <si>
    <t>044242014</t>
  </si>
  <si>
    <t>044252014</t>
  </si>
  <si>
    <t>044122415</t>
  </si>
  <si>
    <t>044152015</t>
  </si>
  <si>
    <t>044152415</t>
  </si>
  <si>
    <t>044161615</t>
  </si>
  <si>
    <t>044161815</t>
  </si>
  <si>
    <t>044162015</t>
  </si>
  <si>
    <t>044162415</t>
  </si>
  <si>
    <t>044162515</t>
  </si>
  <si>
    <t>044182415</t>
  </si>
  <si>
    <t>044202015</t>
  </si>
  <si>
    <t>044202415</t>
  </si>
  <si>
    <t>044202515</t>
  </si>
  <si>
    <t>044242415</t>
  </si>
  <si>
    <t>044252515</t>
  </si>
  <si>
    <t>044241215</t>
  </si>
  <si>
    <t>044201515</t>
  </si>
  <si>
    <t>044241515</t>
  </si>
  <si>
    <t>044181615</t>
  </si>
  <si>
    <t>044201615</t>
  </si>
  <si>
    <t>044241615</t>
  </si>
  <si>
    <t>044251615</t>
  </si>
  <si>
    <t>044241815</t>
  </si>
  <si>
    <t>044242015</t>
  </si>
  <si>
    <t>044252015</t>
  </si>
  <si>
    <t>044122416</t>
  </si>
  <si>
    <t>044152016</t>
  </si>
  <si>
    <t>044152416</t>
  </si>
  <si>
    <t>044161616</t>
  </si>
  <si>
    <t>044161816</t>
  </si>
  <si>
    <t>044162016</t>
  </si>
  <si>
    <t>044162416</t>
  </si>
  <si>
    <t>044162516</t>
  </si>
  <si>
    <t>044182416</t>
  </si>
  <si>
    <t>044202016</t>
  </si>
  <si>
    <t>044202416</t>
  </si>
  <si>
    <t>044202516</t>
  </si>
  <si>
    <t>044242416</t>
  </si>
  <si>
    <t>044252516</t>
  </si>
  <si>
    <t>044241216</t>
  </si>
  <si>
    <t>044201516</t>
  </si>
  <si>
    <t>044241516</t>
  </si>
  <si>
    <t>044181616</t>
  </si>
  <si>
    <t>044201616</t>
  </si>
  <si>
    <t>044241616</t>
  </si>
  <si>
    <t>044251616</t>
  </si>
  <si>
    <t>044241816</t>
  </si>
  <si>
    <t>044242016</t>
  </si>
  <si>
    <t>044252016</t>
  </si>
  <si>
    <t>044122417</t>
  </si>
  <si>
    <t>044152017</t>
  </si>
  <si>
    <t>044152417</t>
  </si>
  <si>
    <t>044161617</t>
  </si>
  <si>
    <t>044161817</t>
  </si>
  <si>
    <t>044162017</t>
  </si>
  <si>
    <t>044162417</t>
  </si>
  <si>
    <t>044162517</t>
  </si>
  <si>
    <t>044182417</t>
  </si>
  <si>
    <t>044202017</t>
  </si>
  <si>
    <t>044202417</t>
  </si>
  <si>
    <t>044202517</t>
  </si>
  <si>
    <t>044242417</t>
  </si>
  <si>
    <t>044252517</t>
  </si>
  <si>
    <t>044241217</t>
  </si>
  <si>
    <t>044201517</t>
  </si>
  <si>
    <t>044241517</t>
  </si>
  <si>
    <t>044181617</t>
  </si>
  <si>
    <t>044201617</t>
  </si>
  <si>
    <t>044241617</t>
  </si>
  <si>
    <t>044251617</t>
  </si>
  <si>
    <t>044241817</t>
  </si>
  <si>
    <t>044242017</t>
  </si>
  <si>
    <t>044252017</t>
  </si>
  <si>
    <t>044122418</t>
  </si>
  <si>
    <t>044152018</t>
  </si>
  <si>
    <t>044152418</t>
  </si>
  <si>
    <t>044161618</t>
  </si>
  <si>
    <t>044161818</t>
  </si>
  <si>
    <t>044162018</t>
  </si>
  <si>
    <t>044162418</t>
  </si>
  <si>
    <t>044162518</t>
  </si>
  <si>
    <t>044182418</t>
  </si>
  <si>
    <t>044202018</t>
  </si>
  <si>
    <t>044202418</t>
  </si>
  <si>
    <t>044202518</t>
  </si>
  <si>
    <t>044242418</t>
  </si>
  <si>
    <t>044252518</t>
  </si>
  <si>
    <t>044241218</t>
  </si>
  <si>
    <t>044201518</t>
  </si>
  <si>
    <t>044241518</t>
  </si>
  <si>
    <t>044181618</t>
  </si>
  <si>
    <t>044201618</t>
  </si>
  <si>
    <t>044241618</t>
  </si>
  <si>
    <t>044251618</t>
  </si>
  <si>
    <t>044241818</t>
  </si>
  <si>
    <t>044242018</t>
  </si>
  <si>
    <t>044252018</t>
  </si>
  <si>
    <t>044122419</t>
  </si>
  <si>
    <t>044152019</t>
  </si>
  <si>
    <t>044152419</t>
  </si>
  <si>
    <t>044161619</t>
  </si>
  <si>
    <t>044161819</t>
  </si>
  <si>
    <t>044162019</t>
  </si>
  <si>
    <t>044162419</t>
  </si>
  <si>
    <t>044162519</t>
  </si>
  <si>
    <t>044182419</t>
  </si>
  <si>
    <t>044202019</t>
  </si>
  <si>
    <t>044202419</t>
  </si>
  <si>
    <t>044202519</t>
  </si>
  <si>
    <t>044242419</t>
  </si>
  <si>
    <t>044252519</t>
  </si>
  <si>
    <t>044241219</t>
  </si>
  <si>
    <t>044201519</t>
  </si>
  <si>
    <t>044241519</t>
  </si>
  <si>
    <t>044181619</t>
  </si>
  <si>
    <t>044201619</t>
  </si>
  <si>
    <t>044241619</t>
  </si>
  <si>
    <t>044251619</t>
  </si>
  <si>
    <t>044241819</t>
  </si>
  <si>
    <t>044242019</t>
  </si>
  <si>
    <t>044252019</t>
  </si>
  <si>
    <t>044122420</t>
  </si>
  <si>
    <t>044152020</t>
  </si>
  <si>
    <t>044152420</t>
  </si>
  <si>
    <t>044161620</t>
  </si>
  <si>
    <t>044161820</t>
  </si>
  <si>
    <t>044162020</t>
  </si>
  <si>
    <t>044162420</t>
  </si>
  <si>
    <t>044162520</t>
  </si>
  <si>
    <t>044182420</t>
  </si>
  <si>
    <t>044202020</t>
  </si>
  <si>
    <t>044202420</t>
  </si>
  <si>
    <t>044202520</t>
  </si>
  <si>
    <t>044242420</t>
  </si>
  <si>
    <t>044252520</t>
  </si>
  <si>
    <t>044241220</t>
  </si>
  <si>
    <t>044201520</t>
  </si>
  <si>
    <t>044241520</t>
  </si>
  <si>
    <t>044181620</t>
  </si>
  <si>
    <t>044201620</t>
  </si>
  <si>
    <t>044241620</t>
  </si>
  <si>
    <t>044251620</t>
  </si>
  <si>
    <t>044241820</t>
  </si>
  <si>
    <t>044242020</t>
  </si>
  <si>
    <t>044252020</t>
  </si>
  <si>
    <t>044122421</t>
  </si>
  <si>
    <t>044152021</t>
  </si>
  <si>
    <t>044152421</t>
  </si>
  <si>
    <t>044161621</t>
  </si>
  <si>
    <t>044161821</t>
  </si>
  <si>
    <t>044162021</t>
  </si>
  <si>
    <t>044162421</t>
  </si>
  <si>
    <t>044162521</t>
  </si>
  <si>
    <t>044182421</t>
  </si>
  <si>
    <t>044202021</t>
  </si>
  <si>
    <t>044202421</t>
  </si>
  <si>
    <t>044202521</t>
  </si>
  <si>
    <t>044242421</t>
  </si>
  <si>
    <t>044252521</t>
  </si>
  <si>
    <t>044241221</t>
  </si>
  <si>
    <t>044201521</t>
  </si>
  <si>
    <t>044241521</t>
  </si>
  <si>
    <t>044181621</t>
  </si>
  <si>
    <t>044201621</t>
  </si>
  <si>
    <t>044241621</t>
  </si>
  <si>
    <t>044251621</t>
  </si>
  <si>
    <t>044241821</t>
  </si>
  <si>
    <t>044242021</t>
  </si>
  <si>
    <t>044252021</t>
  </si>
  <si>
    <t>044122422</t>
  </si>
  <si>
    <t>044152022</t>
  </si>
  <si>
    <t>044152422</t>
  </si>
  <si>
    <t>044161622</t>
  </si>
  <si>
    <t>044161822</t>
  </si>
  <si>
    <t>044162022</t>
  </si>
  <si>
    <t>044162422</t>
  </si>
  <si>
    <t>044162522</t>
  </si>
  <si>
    <t>044182422</t>
  </si>
  <si>
    <t>044202022</t>
  </si>
  <si>
    <t>044202422</t>
  </si>
  <si>
    <t>044202522</t>
  </si>
  <si>
    <t>044242422</t>
  </si>
  <si>
    <t>044252522</t>
  </si>
  <si>
    <t>044241222</t>
  </si>
  <si>
    <t>044201522</t>
  </si>
  <si>
    <t>044241522</t>
  </si>
  <si>
    <t>044181622</t>
  </si>
  <si>
    <t>044201622</t>
  </si>
  <si>
    <t>044241622</t>
  </si>
  <si>
    <t>044251622</t>
  </si>
  <si>
    <t>044241822</t>
  </si>
  <si>
    <t>044242022</t>
  </si>
  <si>
    <t>044252022</t>
  </si>
  <si>
    <t>044122423</t>
  </si>
  <si>
    <t>044152023</t>
  </si>
  <si>
    <t>044152423</t>
  </si>
  <si>
    <t>044161623</t>
  </si>
  <si>
    <t>044161823</t>
  </si>
  <si>
    <t>044162023</t>
  </si>
  <si>
    <t>044162423</t>
  </si>
  <si>
    <t>044162523</t>
  </si>
  <si>
    <t>044182423</t>
  </si>
  <si>
    <t>044202023</t>
  </si>
  <si>
    <t>044202423</t>
  </si>
  <si>
    <t>044202523</t>
  </si>
  <si>
    <t>044242423</t>
  </si>
  <si>
    <t>044252523</t>
  </si>
  <si>
    <t>044241223</t>
  </si>
  <si>
    <t>044201523</t>
  </si>
  <si>
    <t>044241523</t>
  </si>
  <si>
    <t>044181623</t>
  </si>
  <si>
    <t>044201623</t>
  </si>
  <si>
    <t>044241623</t>
  </si>
  <si>
    <t>044251623</t>
  </si>
  <si>
    <t>044241823</t>
  </si>
  <si>
    <t>044242023</t>
  </si>
  <si>
    <t>044252023</t>
  </si>
  <si>
    <t>044122424</t>
  </si>
  <si>
    <t>044152024</t>
  </si>
  <si>
    <t>044152424</t>
  </si>
  <si>
    <t>044161624</t>
  </si>
  <si>
    <t>044161824</t>
  </si>
  <si>
    <t>044162024</t>
  </si>
  <si>
    <t>044162424</t>
  </si>
  <si>
    <t>044162524</t>
  </si>
  <si>
    <t>044182424</t>
  </si>
  <si>
    <t>044202024</t>
  </si>
  <si>
    <t>044202424</t>
  </si>
  <si>
    <t>044202524</t>
  </si>
  <si>
    <t>044242424</t>
  </si>
  <si>
    <t>044252524</t>
  </si>
  <si>
    <t>044241224</t>
  </si>
  <si>
    <t>044201524</t>
  </si>
  <si>
    <t>044241524</t>
  </si>
  <si>
    <t>044181624</t>
  </si>
  <si>
    <t>044201624</t>
  </si>
  <si>
    <t>044241624</t>
  </si>
  <si>
    <t>044251624</t>
  </si>
  <si>
    <t>044241824</t>
  </si>
  <si>
    <t>044242024</t>
  </si>
  <si>
    <t>044252024</t>
  </si>
  <si>
    <t>054122401AT</t>
  </si>
  <si>
    <t>054152001AT</t>
  </si>
  <si>
    <t>054152401AT</t>
  </si>
  <si>
    <t>054161601AT</t>
  </si>
  <si>
    <t>054161801AT</t>
  </si>
  <si>
    <t>054162001AT</t>
  </si>
  <si>
    <t>054162401AT</t>
  </si>
  <si>
    <t>054162501AT</t>
  </si>
  <si>
    <t>054182401AT</t>
  </si>
  <si>
    <t>054202001AT</t>
  </si>
  <si>
    <t>054202401AT</t>
  </si>
  <si>
    <t>054202501AT</t>
  </si>
  <si>
    <t>054242401AT</t>
  </si>
  <si>
    <t>054252501AT</t>
  </si>
  <si>
    <t>054241201AT</t>
  </si>
  <si>
    <t>054201501AT</t>
  </si>
  <si>
    <t>054241501AT</t>
  </si>
  <si>
    <t>054181601AT</t>
  </si>
  <si>
    <t>054201601AT</t>
  </si>
  <si>
    <t>054241601AT</t>
  </si>
  <si>
    <t>054251601AT</t>
  </si>
  <si>
    <t>054241801AT</t>
  </si>
  <si>
    <t>054242001AT</t>
  </si>
  <si>
    <t>054252001AT</t>
  </si>
  <si>
    <t>054122402AT</t>
  </si>
  <si>
    <t>054152002AT</t>
  </si>
  <si>
    <t>054152402AT</t>
  </si>
  <si>
    <t>054161602AT</t>
  </si>
  <si>
    <t>054161802AT</t>
  </si>
  <si>
    <t>054162002AT</t>
  </si>
  <si>
    <t>054162402AT</t>
  </si>
  <si>
    <t>054162502AT</t>
  </si>
  <si>
    <t>054182402AT</t>
  </si>
  <si>
    <t>054202002AT</t>
  </si>
  <si>
    <t>054202402AT</t>
  </si>
  <si>
    <t>054202502AT</t>
  </si>
  <si>
    <t>054242402AT</t>
  </si>
  <si>
    <t>054252502AT</t>
  </si>
  <si>
    <t>054241202AT</t>
  </si>
  <si>
    <t>054201502AT</t>
  </si>
  <si>
    <t>054241502AT</t>
  </si>
  <si>
    <t>054181602AT</t>
  </si>
  <si>
    <t>054201602AT</t>
  </si>
  <si>
    <t>054241602AT</t>
  </si>
  <si>
    <t>054251602AT</t>
  </si>
  <si>
    <t>054241802AT</t>
  </si>
  <si>
    <t>054242002AT</t>
  </si>
  <si>
    <t>054252002AT</t>
  </si>
  <si>
    <t>054122403AT</t>
  </si>
  <si>
    <t>054152003AT</t>
  </si>
  <si>
    <t>054152403AT</t>
  </si>
  <si>
    <t>054161603AT</t>
  </si>
  <si>
    <t>054161803AT</t>
  </si>
  <si>
    <t>054162003AT</t>
  </si>
  <si>
    <t>054162403AT</t>
  </si>
  <si>
    <t>054162503AT</t>
  </si>
  <si>
    <t>054182403AT</t>
  </si>
  <si>
    <t>054202003AT</t>
  </si>
  <si>
    <t>054202403AT</t>
  </si>
  <si>
    <t>054202503AT</t>
  </si>
  <si>
    <t>054242403AT</t>
  </si>
  <si>
    <t>054252503AT</t>
  </si>
  <si>
    <t>054241203AT</t>
  </si>
  <si>
    <t>054201503AT</t>
  </si>
  <si>
    <t>054241503AT</t>
  </si>
  <si>
    <t>054181603AT</t>
  </si>
  <si>
    <t>054201603AT</t>
  </si>
  <si>
    <t>054241603AT</t>
  </si>
  <si>
    <t>054251603AT</t>
  </si>
  <si>
    <t>054241803AT</t>
  </si>
  <si>
    <t>054242003AT</t>
  </si>
  <si>
    <t>054252003AT</t>
  </si>
  <si>
    <t>054122404AT</t>
  </si>
  <si>
    <t>054152004AT</t>
  </si>
  <si>
    <t>054152404AT</t>
  </si>
  <si>
    <t>054161604AT</t>
  </si>
  <si>
    <t>054161804AT</t>
  </si>
  <si>
    <t>054162004AT</t>
  </si>
  <si>
    <t>054162404AT</t>
  </si>
  <si>
    <t>054162504AT</t>
  </si>
  <si>
    <t>054182404AT</t>
  </si>
  <si>
    <t>054202004AT</t>
  </si>
  <si>
    <t>054202404AT</t>
  </si>
  <si>
    <t>054202504AT</t>
  </si>
  <si>
    <t>054242404AT</t>
  </si>
  <si>
    <t>054252504AT</t>
  </si>
  <si>
    <t>054241204AT</t>
  </si>
  <si>
    <t>054201504AT</t>
  </si>
  <si>
    <t>054241504AT</t>
  </si>
  <si>
    <t>054181604AT</t>
  </si>
  <si>
    <t>054201604AT</t>
  </si>
  <si>
    <t>054241604AT</t>
  </si>
  <si>
    <t>054251604AT</t>
  </si>
  <si>
    <t>054241804AT</t>
  </si>
  <si>
    <t>054242004AT</t>
  </si>
  <si>
    <t>054252004AT</t>
  </si>
  <si>
    <t>054122405AT</t>
  </si>
  <si>
    <t>054152005AT</t>
  </si>
  <si>
    <t>054152405AT</t>
  </si>
  <si>
    <t>054161605AT</t>
  </si>
  <si>
    <t>054161805AT</t>
  </si>
  <si>
    <t>054162005AT</t>
  </si>
  <si>
    <t>054162405AT</t>
  </si>
  <si>
    <t>054162505AT</t>
  </si>
  <si>
    <t>054182405AT</t>
  </si>
  <si>
    <t>054202005AT</t>
  </si>
  <si>
    <t>054202405AT</t>
  </si>
  <si>
    <t>054202505AT</t>
  </si>
  <si>
    <t>054242405AT</t>
  </si>
  <si>
    <t>054252505AT</t>
  </si>
  <si>
    <t>054241205AT</t>
  </si>
  <si>
    <t>054201505AT</t>
  </si>
  <si>
    <t>054241505AT</t>
  </si>
  <si>
    <t>054181605AT</t>
  </si>
  <si>
    <t>054201605AT</t>
  </si>
  <si>
    <t>054241605AT</t>
  </si>
  <si>
    <t>054251605AT</t>
  </si>
  <si>
    <t>054241805AT</t>
  </si>
  <si>
    <t>054242005AT</t>
  </si>
  <si>
    <t>054252005AT</t>
  </si>
  <si>
    <t>054122406AT</t>
  </si>
  <si>
    <t>054152006AT</t>
  </si>
  <si>
    <t>054152406AT</t>
  </si>
  <si>
    <t>054161606AT</t>
  </si>
  <si>
    <t>054161806AT</t>
  </si>
  <si>
    <t>054162006AT</t>
  </si>
  <si>
    <t>054162406AT</t>
  </si>
  <si>
    <t>054162506AT</t>
  </si>
  <si>
    <t>054182406AT</t>
  </si>
  <si>
    <t>054202006AT</t>
  </si>
  <si>
    <t>054202406AT</t>
  </si>
  <si>
    <t>054202506AT</t>
  </si>
  <si>
    <t>054242406AT</t>
  </si>
  <si>
    <t>054252506AT</t>
  </si>
  <si>
    <t>054241206AT</t>
  </si>
  <si>
    <t>054201506AT</t>
  </si>
  <si>
    <t>054241506AT</t>
  </si>
  <si>
    <t>054181606AT</t>
  </si>
  <si>
    <t>054201606AT</t>
  </si>
  <si>
    <t>054241606AT</t>
  </si>
  <si>
    <t>054251606AT</t>
  </si>
  <si>
    <t>054241806AT</t>
  </si>
  <si>
    <t>054242006AT</t>
  </si>
  <si>
    <t>054252006AT</t>
  </si>
  <si>
    <t>054122407AT</t>
  </si>
  <si>
    <t>054152007AT</t>
  </si>
  <si>
    <t>054152407AT</t>
  </si>
  <si>
    <t>054161607AT</t>
  </si>
  <si>
    <t>054161807AT</t>
  </si>
  <si>
    <t>054162007AT</t>
  </si>
  <si>
    <t>054162407AT</t>
  </si>
  <si>
    <t>054162507AT</t>
  </si>
  <si>
    <t>054182407AT</t>
  </si>
  <si>
    <t>054202007AT</t>
  </si>
  <si>
    <t>054202407AT</t>
  </si>
  <si>
    <t>054202507AT</t>
  </si>
  <si>
    <t>054242407AT</t>
  </si>
  <si>
    <t>054252507AT</t>
  </si>
  <si>
    <t>054241207AT</t>
  </si>
  <si>
    <t>054201507AT</t>
  </si>
  <si>
    <t>054241507AT</t>
  </si>
  <si>
    <t>054181607AT</t>
  </si>
  <si>
    <t>054201607AT</t>
  </si>
  <si>
    <t>054241607AT</t>
  </si>
  <si>
    <t>054251607AT</t>
  </si>
  <si>
    <t>054241807AT</t>
  </si>
  <si>
    <t>054242007AT</t>
  </si>
  <si>
    <t>054252007AT</t>
  </si>
  <si>
    <t>054122408AT</t>
  </si>
  <si>
    <t>054152008AT</t>
  </si>
  <si>
    <t>054152408AT</t>
  </si>
  <si>
    <t>054161608AT</t>
  </si>
  <si>
    <t>054161808AT</t>
  </si>
  <si>
    <t>054162008AT</t>
  </si>
  <si>
    <t>054162408AT</t>
  </si>
  <si>
    <t>054162508AT</t>
  </si>
  <si>
    <t>054182408AT</t>
  </si>
  <si>
    <t>054202008AT</t>
  </si>
  <si>
    <t>054202408AT</t>
  </si>
  <si>
    <t>054202508AT</t>
  </si>
  <si>
    <t>054242408AT</t>
  </si>
  <si>
    <t>054252508AT</t>
  </si>
  <si>
    <t>054241208AT</t>
  </si>
  <si>
    <t>054201508AT</t>
  </si>
  <si>
    <t>054241508AT</t>
  </si>
  <si>
    <t>054181608AT</t>
  </si>
  <si>
    <t>054201608AT</t>
  </si>
  <si>
    <t>054241608AT</t>
  </si>
  <si>
    <t>054251608AT</t>
  </si>
  <si>
    <t>054241808AT</t>
  </si>
  <si>
    <t>054242008AT</t>
  </si>
  <si>
    <t>054252008AT</t>
  </si>
  <si>
    <t>054122409AT</t>
  </si>
  <si>
    <t>054152009AT</t>
  </si>
  <si>
    <t>054152409AT</t>
  </si>
  <si>
    <t>054161609AT</t>
  </si>
  <si>
    <t>054161809AT</t>
  </si>
  <si>
    <t>054162009AT</t>
  </si>
  <si>
    <t>054162409AT</t>
  </si>
  <si>
    <t>054162509AT</t>
  </si>
  <si>
    <t>054182409AT</t>
  </si>
  <si>
    <t>054202009AT</t>
  </si>
  <si>
    <t>054202409AT</t>
  </si>
  <si>
    <t>054202509AT</t>
  </si>
  <si>
    <t>054242409AT</t>
  </si>
  <si>
    <t>054252509AT</t>
  </si>
  <si>
    <t>054241209AT</t>
  </si>
  <si>
    <t>054201509AT</t>
  </si>
  <si>
    <t>054241509AT</t>
  </si>
  <si>
    <t>054181609AT</t>
  </si>
  <si>
    <t>054201609AT</t>
  </si>
  <si>
    <t>054241609AT</t>
  </si>
  <si>
    <t>054251609AT</t>
  </si>
  <si>
    <t>054241809AT</t>
  </si>
  <si>
    <t>054242009AT</t>
  </si>
  <si>
    <t>054252009AT</t>
  </si>
  <si>
    <t>054122410AT</t>
  </si>
  <si>
    <t>054152010AT</t>
  </si>
  <si>
    <t>054152410AT</t>
  </si>
  <si>
    <t>054161610AT</t>
  </si>
  <si>
    <t>054161810AT</t>
  </si>
  <si>
    <t>054162010AT</t>
  </si>
  <si>
    <t>054162410AT</t>
  </si>
  <si>
    <t>054162510AT</t>
  </si>
  <si>
    <t>054182410AT</t>
  </si>
  <si>
    <t>054202010AT</t>
  </si>
  <si>
    <t>054202410AT</t>
  </si>
  <si>
    <t>054202510AT</t>
  </si>
  <si>
    <t>054242410AT</t>
  </si>
  <si>
    <t>054252510AT</t>
  </si>
  <si>
    <t>054241210AT</t>
  </si>
  <si>
    <t>054201510AT</t>
  </si>
  <si>
    <t>054241510AT</t>
  </si>
  <si>
    <t>054181610AT</t>
  </si>
  <si>
    <t>054201610AT</t>
  </si>
  <si>
    <t>054241610AT</t>
  </si>
  <si>
    <t>054251610AT</t>
  </si>
  <si>
    <t>054241810AT</t>
  </si>
  <si>
    <t>054242010AT</t>
  </si>
  <si>
    <t>054252010AT</t>
  </si>
  <si>
    <t>054122411AT</t>
  </si>
  <si>
    <t>054152011AT</t>
  </si>
  <si>
    <t>054152411AT</t>
  </si>
  <si>
    <t>054161611AT</t>
  </si>
  <si>
    <t>054161811AT</t>
  </si>
  <si>
    <t>054162011AT</t>
  </si>
  <si>
    <t>054162411AT</t>
  </si>
  <si>
    <t>054162511AT</t>
  </si>
  <si>
    <t>054182411AT</t>
  </si>
  <si>
    <t>054202011AT</t>
  </si>
  <si>
    <t>054202411AT</t>
  </si>
  <si>
    <t>054202511AT</t>
  </si>
  <si>
    <t>054242411AT</t>
  </si>
  <si>
    <t>054252511AT</t>
  </si>
  <si>
    <t>054241211AT</t>
  </si>
  <si>
    <t>054201511AT</t>
  </si>
  <si>
    <t>054241511AT</t>
  </si>
  <si>
    <t>054181611AT</t>
  </si>
  <si>
    <t>054201611AT</t>
  </si>
  <si>
    <t>054241611AT</t>
  </si>
  <si>
    <t>054251611AT</t>
  </si>
  <si>
    <t>054241811AT</t>
  </si>
  <si>
    <t>054242011AT</t>
  </si>
  <si>
    <t>054252011AT</t>
  </si>
  <si>
    <t>054122412AT</t>
  </si>
  <si>
    <t>054152012AT</t>
  </si>
  <si>
    <t>054152412AT</t>
  </si>
  <si>
    <t>054161612AT</t>
  </si>
  <si>
    <t>054161812AT</t>
  </si>
  <si>
    <t>054162012AT</t>
  </si>
  <si>
    <t>054162412AT</t>
  </si>
  <si>
    <t>054162512AT</t>
  </si>
  <si>
    <t>054182412AT</t>
  </si>
  <si>
    <t>054202012AT</t>
  </si>
  <si>
    <t>054202412AT</t>
  </si>
  <si>
    <t>054202512AT</t>
  </si>
  <si>
    <t>054242412AT</t>
  </si>
  <si>
    <t>054252512AT</t>
  </si>
  <si>
    <t>054241212AT</t>
  </si>
  <si>
    <t>054201512AT</t>
  </si>
  <si>
    <t>054241512AT</t>
  </si>
  <si>
    <t>054181612AT</t>
  </si>
  <si>
    <t>054201612AT</t>
  </si>
  <si>
    <t>054241612AT</t>
  </si>
  <si>
    <t>054251612AT</t>
  </si>
  <si>
    <t>054241812AT</t>
  </si>
  <si>
    <t>054242012AT</t>
  </si>
  <si>
    <t>054252012AT</t>
  </si>
  <si>
    <t>054122413AT</t>
  </si>
  <si>
    <t>054152013AT</t>
  </si>
  <si>
    <t>054152413AT</t>
  </si>
  <si>
    <t>054161613AT</t>
  </si>
  <si>
    <t>054161813AT</t>
  </si>
  <si>
    <t>054162013AT</t>
  </si>
  <si>
    <t>054162413AT</t>
  </si>
  <si>
    <t>054162513AT</t>
  </si>
  <si>
    <t>054182413AT</t>
  </si>
  <si>
    <t>054202013AT</t>
  </si>
  <si>
    <t>054202413AT</t>
  </si>
  <si>
    <t>054202513AT</t>
  </si>
  <si>
    <t>054242413AT</t>
  </si>
  <si>
    <t>054252513AT</t>
  </si>
  <si>
    <t>054241213AT</t>
  </si>
  <si>
    <t>054201513AT</t>
  </si>
  <si>
    <t>054241513AT</t>
  </si>
  <si>
    <t>054181613AT</t>
  </si>
  <si>
    <t>054201613AT</t>
  </si>
  <si>
    <t>054241613AT</t>
  </si>
  <si>
    <t>054251613AT</t>
  </si>
  <si>
    <t>054241813AT</t>
  </si>
  <si>
    <t>054242013AT</t>
  </si>
  <si>
    <t>054252013AT</t>
  </si>
  <si>
    <t>054122414AT</t>
  </si>
  <si>
    <t>054152014AT</t>
  </si>
  <si>
    <t>054152414AT</t>
  </si>
  <si>
    <t>054161614AT</t>
  </si>
  <si>
    <t>054161814AT</t>
  </si>
  <si>
    <t>054162014AT</t>
  </si>
  <si>
    <t>054162414AT</t>
  </si>
  <si>
    <t>054162514AT</t>
  </si>
  <si>
    <t>054182414AT</t>
  </si>
  <si>
    <t>054202014AT</t>
  </si>
  <si>
    <t>054202414AT</t>
  </si>
  <si>
    <t>054202514AT</t>
  </si>
  <si>
    <t>054242414AT</t>
  </si>
  <si>
    <t>054252514AT</t>
  </si>
  <si>
    <t>054241214AT</t>
  </si>
  <si>
    <t>054201514AT</t>
  </si>
  <si>
    <t>054241514AT</t>
  </si>
  <si>
    <t>054181614AT</t>
  </si>
  <si>
    <t>054201614AT</t>
  </si>
  <si>
    <t>054241614AT</t>
  </si>
  <si>
    <t>054251614AT</t>
  </si>
  <si>
    <t>054241814AT</t>
  </si>
  <si>
    <t>054242014AT</t>
  </si>
  <si>
    <t>054252014AT</t>
  </si>
  <si>
    <t>054122415AT</t>
  </si>
  <si>
    <t>054152015AT</t>
  </si>
  <si>
    <t>054152415AT</t>
  </si>
  <si>
    <t>054161615AT</t>
  </si>
  <si>
    <t>054161815AT</t>
  </si>
  <si>
    <t>054162015AT</t>
  </si>
  <si>
    <t>054162415AT</t>
  </si>
  <si>
    <t>054162515AT</t>
  </si>
  <si>
    <t>054182415AT</t>
  </si>
  <si>
    <t>054202015AT</t>
  </si>
  <si>
    <t>054202415AT</t>
  </si>
  <si>
    <t>054202515AT</t>
  </si>
  <si>
    <t>054242415AT</t>
  </si>
  <si>
    <t>054252515AT</t>
  </si>
  <si>
    <t>054241215AT</t>
  </si>
  <si>
    <t>054201515AT</t>
  </si>
  <si>
    <t>054241515AT</t>
  </si>
  <si>
    <t>054181615AT</t>
  </si>
  <si>
    <t>054201615AT</t>
  </si>
  <si>
    <t>054241615AT</t>
  </si>
  <si>
    <t>054251615AT</t>
  </si>
  <si>
    <t>054241815AT</t>
  </si>
  <si>
    <t>054242015AT</t>
  </si>
  <si>
    <t>054252015AT</t>
  </si>
  <si>
    <t>054122416AT</t>
  </si>
  <si>
    <t>054152016AT</t>
  </si>
  <si>
    <t>054152416AT</t>
  </si>
  <si>
    <t>054161616AT</t>
  </si>
  <si>
    <t>054161816AT</t>
  </si>
  <si>
    <t>054162016AT</t>
  </si>
  <si>
    <t>054162416AT</t>
  </si>
  <si>
    <t>054162516AT</t>
  </si>
  <si>
    <t>054182416AT</t>
  </si>
  <si>
    <t>054202016AT</t>
  </si>
  <si>
    <t>054202416AT</t>
  </si>
  <si>
    <t>054202516AT</t>
  </si>
  <si>
    <t>054242416AT</t>
  </si>
  <si>
    <t>054252516AT</t>
  </si>
  <si>
    <t>054241216AT</t>
  </si>
  <si>
    <t>054201516AT</t>
  </si>
  <si>
    <t>054241516AT</t>
  </si>
  <si>
    <t>054181616AT</t>
  </si>
  <si>
    <t>054201616AT</t>
  </si>
  <si>
    <t>054241616AT</t>
  </si>
  <si>
    <t>054251616AT</t>
  </si>
  <si>
    <t>054241816AT</t>
  </si>
  <si>
    <t>054242016AT</t>
  </si>
  <si>
    <t>054252016AT</t>
  </si>
  <si>
    <t>054122417AT</t>
  </si>
  <si>
    <t>054152017AT</t>
  </si>
  <si>
    <t>054152417AT</t>
  </si>
  <si>
    <t>054161617AT</t>
  </si>
  <si>
    <t>054161817AT</t>
  </si>
  <si>
    <t>054162017AT</t>
  </si>
  <si>
    <t>054162417AT</t>
  </si>
  <si>
    <t>054162517AT</t>
  </si>
  <si>
    <t>054182417AT</t>
  </si>
  <si>
    <t>054202017AT</t>
  </si>
  <si>
    <t>054202417AT</t>
  </si>
  <si>
    <t>054202517AT</t>
  </si>
  <si>
    <t>054242417AT</t>
  </si>
  <si>
    <t>054252517AT</t>
  </si>
  <si>
    <t>054241217AT</t>
  </si>
  <si>
    <t>054201517AT</t>
  </si>
  <si>
    <t>054241517AT</t>
  </si>
  <si>
    <t>054181617AT</t>
  </si>
  <si>
    <t>054201617AT</t>
  </si>
  <si>
    <t>054241617AT</t>
  </si>
  <si>
    <t>054251617AT</t>
  </si>
  <si>
    <t>054241817AT</t>
  </si>
  <si>
    <t>054242017AT</t>
  </si>
  <si>
    <t>054252017AT</t>
  </si>
  <si>
    <t>054122418AT</t>
  </si>
  <si>
    <t>054152018AT</t>
  </si>
  <si>
    <t>054152418AT</t>
  </si>
  <si>
    <t>054161618AT</t>
  </si>
  <si>
    <t>054161818AT</t>
  </si>
  <si>
    <t>054162018AT</t>
  </si>
  <si>
    <t>054162418AT</t>
  </si>
  <si>
    <t>054162518AT</t>
  </si>
  <si>
    <t>054182418AT</t>
  </si>
  <si>
    <t>054202018AT</t>
  </si>
  <si>
    <t>054202418AT</t>
  </si>
  <si>
    <t>054202518AT</t>
  </si>
  <si>
    <t>054242418AT</t>
  </si>
  <si>
    <t>054252518AT</t>
  </si>
  <si>
    <t>054241218AT</t>
  </si>
  <si>
    <t>054201518AT</t>
  </si>
  <si>
    <t>054241518AT</t>
  </si>
  <si>
    <t>054181618AT</t>
  </si>
  <si>
    <t>054201618AT</t>
  </si>
  <si>
    <t>054241618AT</t>
  </si>
  <si>
    <t>054251618AT</t>
  </si>
  <si>
    <t>054241818AT</t>
  </si>
  <si>
    <t>054242018AT</t>
  </si>
  <si>
    <t>054252018AT</t>
  </si>
  <si>
    <t>054122419AT</t>
  </si>
  <si>
    <t>054152019AT</t>
  </si>
  <si>
    <t>054152419AT</t>
  </si>
  <si>
    <t>054161619AT</t>
  </si>
  <si>
    <t>054161819AT</t>
  </si>
  <si>
    <t>054162019AT</t>
  </si>
  <si>
    <t>054162419AT</t>
  </si>
  <si>
    <t>054162519AT</t>
  </si>
  <si>
    <t>054182419AT</t>
  </si>
  <si>
    <t>054202019AT</t>
  </si>
  <si>
    <t>054202419AT</t>
  </si>
  <si>
    <t>054202519AT</t>
  </si>
  <si>
    <t>054242419AT</t>
  </si>
  <si>
    <t>054252519AT</t>
  </si>
  <si>
    <t>054241219AT</t>
  </si>
  <si>
    <t>054201519AT</t>
  </si>
  <si>
    <t>054241519AT</t>
  </si>
  <si>
    <t>054181619AT</t>
  </si>
  <si>
    <t>054201619AT</t>
  </si>
  <si>
    <t>054241619AT</t>
  </si>
  <si>
    <t>054251619AT</t>
  </si>
  <si>
    <t>054241819AT</t>
  </si>
  <si>
    <t>054242019AT</t>
  </si>
  <si>
    <t>054252019AT</t>
  </si>
  <si>
    <t>054122420AT</t>
  </si>
  <si>
    <t>054152020AT</t>
  </si>
  <si>
    <t>054152420AT</t>
  </si>
  <si>
    <t>054161620AT</t>
  </si>
  <si>
    <t>054161820AT</t>
  </si>
  <si>
    <t>054162020AT</t>
  </si>
  <si>
    <t>054162420AT</t>
  </si>
  <si>
    <t>054162520AT</t>
  </si>
  <si>
    <t>054182420AT</t>
  </si>
  <si>
    <t>054202020AT</t>
  </si>
  <si>
    <t>054202420AT</t>
  </si>
  <si>
    <t>054202520AT</t>
  </si>
  <si>
    <t>054242420AT</t>
  </si>
  <si>
    <t>054252520AT</t>
  </si>
  <si>
    <t>054241220AT</t>
  </si>
  <si>
    <t>054201520AT</t>
  </si>
  <si>
    <t>054241520AT</t>
  </si>
  <si>
    <t>054181620AT</t>
  </si>
  <si>
    <t>054201620AT</t>
  </si>
  <si>
    <t>054241620AT</t>
  </si>
  <si>
    <t>054251620AT</t>
  </si>
  <si>
    <t>054241820AT</t>
  </si>
  <si>
    <t>054242020AT</t>
  </si>
  <si>
    <t>054252020AT</t>
  </si>
  <si>
    <t>054122421AT</t>
  </si>
  <si>
    <t>054152021AT</t>
  </si>
  <si>
    <t>054152421AT</t>
  </si>
  <si>
    <t>054161621AT</t>
  </si>
  <si>
    <t>054161821AT</t>
  </si>
  <si>
    <t>054162021AT</t>
  </si>
  <si>
    <t>054162421AT</t>
  </si>
  <si>
    <t>054162521AT</t>
  </si>
  <si>
    <t>054182421AT</t>
  </si>
  <si>
    <t>054202021AT</t>
  </si>
  <si>
    <t>054202421AT</t>
  </si>
  <si>
    <t>054202521AT</t>
  </si>
  <si>
    <t>054242421AT</t>
  </si>
  <si>
    <t>054252521AT</t>
  </si>
  <si>
    <t>054241221AT</t>
  </si>
  <si>
    <t>054201521AT</t>
  </si>
  <si>
    <t>054241521AT</t>
  </si>
  <si>
    <t>054181621AT</t>
  </si>
  <si>
    <t>054201621AT</t>
  </si>
  <si>
    <t>054241621AT</t>
  </si>
  <si>
    <t>054251621AT</t>
  </si>
  <si>
    <t>054241821AT</t>
  </si>
  <si>
    <t>054242021AT</t>
  </si>
  <si>
    <t>054252021AT</t>
  </si>
  <si>
    <t>054122422AT</t>
  </si>
  <si>
    <t>054152022AT</t>
  </si>
  <si>
    <t>054152422AT</t>
  </si>
  <si>
    <t>054161622AT</t>
  </si>
  <si>
    <t>054161822AT</t>
  </si>
  <si>
    <t>054162022AT</t>
  </si>
  <si>
    <t>054162422AT</t>
  </si>
  <si>
    <t>054162522AT</t>
  </si>
  <si>
    <t>054182422AT</t>
  </si>
  <si>
    <t>054202022AT</t>
  </si>
  <si>
    <t>054202422AT</t>
  </si>
  <si>
    <t>054202522AT</t>
  </si>
  <si>
    <t>054242422AT</t>
  </si>
  <si>
    <t>054252522AT</t>
  </si>
  <si>
    <t>054241222AT</t>
  </si>
  <si>
    <t>054201522AT</t>
  </si>
  <si>
    <t>054241522AT</t>
  </si>
  <si>
    <t>054181622AT</t>
  </si>
  <si>
    <t>054201622AT</t>
  </si>
  <si>
    <t>054241622AT</t>
  </si>
  <si>
    <t>054251622AT</t>
  </si>
  <si>
    <t>054241822AT</t>
  </si>
  <si>
    <t>054242022AT</t>
  </si>
  <si>
    <t>054252022AT</t>
  </si>
  <si>
    <t>054122423AT</t>
  </si>
  <si>
    <t>054152023AT</t>
  </si>
  <si>
    <t>054152423AT</t>
  </si>
  <si>
    <t>054161623AT</t>
  </si>
  <si>
    <t>054161823AT</t>
  </si>
  <si>
    <t>054162023AT</t>
  </si>
  <si>
    <t>054162423AT</t>
  </si>
  <si>
    <t>054162523AT</t>
  </si>
  <si>
    <t>054182423AT</t>
  </si>
  <si>
    <t>054202023AT</t>
  </si>
  <si>
    <t>054202423AT</t>
  </si>
  <si>
    <t>054202523AT</t>
  </si>
  <si>
    <t>054242423AT</t>
  </si>
  <si>
    <t>054252523AT</t>
  </si>
  <si>
    <t>054241223AT</t>
  </si>
  <si>
    <t>054201523AT</t>
  </si>
  <si>
    <t>054241523AT</t>
  </si>
  <si>
    <t>054181623AT</t>
  </si>
  <si>
    <t>054201623AT</t>
  </si>
  <si>
    <t>054241623AT</t>
  </si>
  <si>
    <t>054251623AT</t>
  </si>
  <si>
    <t>054241823AT</t>
  </si>
  <si>
    <t>054242023AT</t>
  </si>
  <si>
    <t>054252023AT</t>
  </si>
  <si>
    <t>054122424AT</t>
  </si>
  <si>
    <t>054152024AT</t>
  </si>
  <si>
    <t>054152424AT</t>
  </si>
  <si>
    <t>054161624AT</t>
  </si>
  <si>
    <t>054161824AT</t>
  </si>
  <si>
    <t>054162024AT</t>
  </si>
  <si>
    <t>054162424AT</t>
  </si>
  <si>
    <t>054162524AT</t>
  </si>
  <si>
    <t>054182424AT</t>
  </si>
  <si>
    <t>054202024AT</t>
  </si>
  <si>
    <t>054202424AT</t>
  </si>
  <si>
    <t>054202524AT</t>
  </si>
  <si>
    <t>054242424AT</t>
  </si>
  <si>
    <t>054252524AT</t>
  </si>
  <si>
    <t>054241224AT</t>
  </si>
  <si>
    <t>054201524AT</t>
  </si>
  <si>
    <t>054241524AT</t>
  </si>
  <si>
    <t>054181624AT</t>
  </si>
  <si>
    <t>054201624AT</t>
  </si>
  <si>
    <t>054241624AT</t>
  </si>
  <si>
    <t>054251624AT</t>
  </si>
  <si>
    <t>054241824AT</t>
  </si>
  <si>
    <t>054242024AT</t>
  </si>
  <si>
    <t>054252024AT</t>
  </si>
  <si>
    <t>050122401AT</t>
  </si>
  <si>
    <t>050152001AT</t>
  </si>
  <si>
    <t>050152401AT</t>
  </si>
  <si>
    <t>050161601AT</t>
  </si>
  <si>
    <t>050161801AT</t>
  </si>
  <si>
    <t>050162001AT</t>
  </si>
  <si>
    <t>050162401AT</t>
  </si>
  <si>
    <t>050162501AT</t>
  </si>
  <si>
    <t>050182401AT</t>
  </si>
  <si>
    <t>050202001AT</t>
  </si>
  <si>
    <t>050202401AT</t>
  </si>
  <si>
    <t>050202501AT</t>
  </si>
  <si>
    <t>050242401AT</t>
  </si>
  <si>
    <t>050252501AT</t>
  </si>
  <si>
    <t>050241201AT</t>
  </si>
  <si>
    <t>050201501AT</t>
  </si>
  <si>
    <t>050241501AT</t>
  </si>
  <si>
    <t>050181601AT</t>
  </si>
  <si>
    <t>050201601AT</t>
  </si>
  <si>
    <t>050241601AT</t>
  </si>
  <si>
    <t>050251601AT</t>
  </si>
  <si>
    <t>050241801AT</t>
  </si>
  <si>
    <t>050242001AT</t>
  </si>
  <si>
    <t>050252001AT</t>
  </si>
  <si>
    <t>050122402AT</t>
  </si>
  <si>
    <t>050152002AT</t>
  </si>
  <si>
    <t>050152402AT</t>
  </si>
  <si>
    <t>050161602AT</t>
  </si>
  <si>
    <t>050161802AT</t>
  </si>
  <si>
    <t>050162002AT</t>
  </si>
  <si>
    <t>050162402AT</t>
  </si>
  <si>
    <t>050162502AT</t>
  </si>
  <si>
    <t>050182402AT</t>
  </si>
  <si>
    <t>050202002AT</t>
  </si>
  <si>
    <t>050202402AT</t>
  </si>
  <si>
    <t>050202502AT</t>
  </si>
  <si>
    <t>050242402AT</t>
  </si>
  <si>
    <t>050252502AT</t>
  </si>
  <si>
    <t>050241202AT</t>
  </si>
  <si>
    <t>050201502AT</t>
  </si>
  <si>
    <t>050241502AT</t>
  </si>
  <si>
    <t>050181602AT</t>
  </si>
  <si>
    <t>050201602AT</t>
  </si>
  <si>
    <t>050241602AT</t>
  </si>
  <si>
    <t>050251602AT</t>
  </si>
  <si>
    <t>050241802AT</t>
  </si>
  <si>
    <t>050242002AT</t>
  </si>
  <si>
    <t>050252002AT</t>
  </si>
  <si>
    <t>050122403AT</t>
  </si>
  <si>
    <t>050152003AT</t>
  </si>
  <si>
    <t>050152403AT</t>
  </si>
  <si>
    <t>050161603AT</t>
  </si>
  <si>
    <t>050161803AT</t>
  </si>
  <si>
    <t>050162003AT</t>
  </si>
  <si>
    <t>050162403AT</t>
  </si>
  <si>
    <t>050162503AT</t>
  </si>
  <si>
    <t>050182403AT</t>
  </si>
  <si>
    <t>050202003AT</t>
  </si>
  <si>
    <t>050202403AT</t>
  </si>
  <si>
    <t>050202503AT</t>
  </si>
  <si>
    <t>050242403AT</t>
  </si>
  <si>
    <t>050252503AT</t>
  </si>
  <si>
    <t>050241203AT</t>
  </si>
  <si>
    <t>050201503AT</t>
  </si>
  <si>
    <t>050241503AT</t>
  </si>
  <si>
    <t>050181603AT</t>
  </si>
  <si>
    <t>050201603AT</t>
  </si>
  <si>
    <t>050241603AT</t>
  </si>
  <si>
    <t>050251603AT</t>
  </si>
  <si>
    <t>050241803AT</t>
  </si>
  <si>
    <t>050242003AT</t>
  </si>
  <si>
    <t>050252003AT</t>
  </si>
  <si>
    <t>050122404AT</t>
  </si>
  <si>
    <t>050152004AT</t>
  </si>
  <si>
    <t>050152404AT</t>
  </si>
  <si>
    <t>050161604AT</t>
  </si>
  <si>
    <t>050161804AT</t>
  </si>
  <si>
    <t>050162004AT</t>
  </si>
  <si>
    <t>050162404AT</t>
  </si>
  <si>
    <t>050162504AT</t>
  </si>
  <si>
    <t>050182404AT</t>
  </si>
  <si>
    <t>050202004AT</t>
  </si>
  <si>
    <t>050202404AT</t>
  </si>
  <si>
    <t>050202504AT</t>
  </si>
  <si>
    <t>050242404AT</t>
  </si>
  <si>
    <t>050252504AT</t>
  </si>
  <si>
    <t>050241204AT</t>
  </si>
  <si>
    <t>050201504AT</t>
  </si>
  <si>
    <t>050241504AT</t>
  </si>
  <si>
    <t>050181604AT</t>
  </si>
  <si>
    <t>050201604AT</t>
  </si>
  <si>
    <t>050241604AT</t>
  </si>
  <si>
    <t>050251604AT</t>
  </si>
  <si>
    <t>050241804AT</t>
  </si>
  <si>
    <t>050242004AT</t>
  </si>
  <si>
    <t>050252004AT</t>
  </si>
  <si>
    <t>050122405AT</t>
  </si>
  <si>
    <t>050152005AT</t>
  </si>
  <si>
    <t>050152405AT</t>
  </si>
  <si>
    <t>050161605AT</t>
  </si>
  <si>
    <t>050161805AT</t>
  </si>
  <si>
    <t>050162005AT</t>
  </si>
  <si>
    <t>050162405AT</t>
  </si>
  <si>
    <t>050162505AT</t>
  </si>
  <si>
    <t>050182405AT</t>
  </si>
  <si>
    <t>050202005AT</t>
  </si>
  <si>
    <t>050202405AT</t>
  </si>
  <si>
    <t>050202505AT</t>
  </si>
  <si>
    <t>050242405AT</t>
  </si>
  <si>
    <t>050252505AT</t>
  </si>
  <si>
    <t>050241205AT</t>
  </si>
  <si>
    <t>050201505AT</t>
  </si>
  <si>
    <t>050241505AT</t>
  </si>
  <si>
    <t>050181605AT</t>
  </si>
  <si>
    <t>050201605AT</t>
  </si>
  <si>
    <t>050241605AT</t>
  </si>
  <si>
    <t>050251605AT</t>
  </si>
  <si>
    <t>050241805AT</t>
  </si>
  <si>
    <t>050242005AT</t>
  </si>
  <si>
    <t>050252005AT</t>
  </si>
  <si>
    <t>050122406AT</t>
  </si>
  <si>
    <t>050152006AT</t>
  </si>
  <si>
    <t>050152406AT</t>
  </si>
  <si>
    <t>050161606AT</t>
  </si>
  <si>
    <t>050161806AT</t>
  </si>
  <si>
    <t>050162006AT</t>
  </si>
  <si>
    <t>050162406AT</t>
  </si>
  <si>
    <t>050162506AT</t>
  </si>
  <si>
    <t>050182406AT</t>
  </si>
  <si>
    <t>050202006AT</t>
  </si>
  <si>
    <t>050202406AT</t>
  </si>
  <si>
    <t>050202506AT</t>
  </si>
  <si>
    <t>050242406AT</t>
  </si>
  <si>
    <t>050252506AT</t>
  </si>
  <si>
    <t>050241206AT</t>
  </si>
  <si>
    <t>050201506AT</t>
  </si>
  <si>
    <t>050241506AT</t>
  </si>
  <si>
    <t>050181606AT</t>
  </si>
  <si>
    <t>050201606AT</t>
  </si>
  <si>
    <t>050241606AT</t>
  </si>
  <si>
    <t>050251606AT</t>
  </si>
  <si>
    <t>050241806AT</t>
  </si>
  <si>
    <t>050242006AT</t>
  </si>
  <si>
    <t>050252006AT</t>
  </si>
  <si>
    <t>050122407AT</t>
  </si>
  <si>
    <t>050152007AT</t>
  </si>
  <si>
    <t>050152407AT</t>
  </si>
  <si>
    <t>050161607AT</t>
  </si>
  <si>
    <t>050161807AT</t>
  </si>
  <si>
    <t>050162007AT</t>
  </si>
  <si>
    <t>050162407AT</t>
  </si>
  <si>
    <t>050162507AT</t>
  </si>
  <si>
    <t>050182407AT</t>
  </si>
  <si>
    <t>050202007AT</t>
  </si>
  <si>
    <t>050202407AT</t>
  </si>
  <si>
    <t>050202507AT</t>
  </si>
  <si>
    <t>050242407AT</t>
  </si>
  <si>
    <t>050252507AT</t>
  </si>
  <si>
    <t>050241207AT</t>
  </si>
  <si>
    <t>050201507AT</t>
  </si>
  <si>
    <t>050241507AT</t>
  </si>
  <si>
    <t>050181607AT</t>
  </si>
  <si>
    <t>050201607AT</t>
  </si>
  <si>
    <t>050241607AT</t>
  </si>
  <si>
    <t>050251607AT</t>
  </si>
  <si>
    <t>050241807AT</t>
  </si>
  <si>
    <t>050242007AT</t>
  </si>
  <si>
    <t>050252007AT</t>
  </si>
  <si>
    <t>050122408AT</t>
  </si>
  <si>
    <t>050152008AT</t>
  </si>
  <si>
    <t>050152408AT</t>
  </si>
  <si>
    <t>050161608AT</t>
  </si>
  <si>
    <t>050161808AT</t>
  </si>
  <si>
    <t>050162008AT</t>
  </si>
  <si>
    <t>050162408AT</t>
  </si>
  <si>
    <t>050162508AT</t>
  </si>
  <si>
    <t>050182408AT</t>
  </si>
  <si>
    <t>050202008AT</t>
  </si>
  <si>
    <t>050202408AT</t>
  </si>
  <si>
    <t>050202508AT</t>
  </si>
  <si>
    <t>050242408AT</t>
  </si>
  <si>
    <t>050252508AT</t>
  </si>
  <si>
    <t>050241208AT</t>
  </si>
  <si>
    <t>050201508AT</t>
  </si>
  <si>
    <t>050241508AT</t>
  </si>
  <si>
    <t>050181608AT</t>
  </si>
  <si>
    <t>050201608AT</t>
  </si>
  <si>
    <t>050241608AT</t>
  </si>
  <si>
    <t>050251608AT</t>
  </si>
  <si>
    <t>050241808AT</t>
  </si>
  <si>
    <t>050242008AT</t>
  </si>
  <si>
    <t>050252008AT</t>
  </si>
  <si>
    <t>050122409AT</t>
  </si>
  <si>
    <t>050152009AT</t>
  </si>
  <si>
    <t>050152409AT</t>
  </si>
  <si>
    <t>050161609AT</t>
  </si>
  <si>
    <t>050161809AT</t>
  </si>
  <si>
    <t>050162009AT</t>
  </si>
  <si>
    <t>050162409AT</t>
  </si>
  <si>
    <t>050162509AT</t>
  </si>
  <si>
    <t>050182409AT</t>
  </si>
  <si>
    <t>050202009AT</t>
  </si>
  <si>
    <t>050202409AT</t>
  </si>
  <si>
    <t>050202509AT</t>
  </si>
  <si>
    <t>050242409AT</t>
  </si>
  <si>
    <t>050252509AT</t>
  </si>
  <si>
    <t>050241209AT</t>
  </si>
  <si>
    <t>050201509AT</t>
  </si>
  <si>
    <t>050241509AT</t>
  </si>
  <si>
    <t>050181609AT</t>
  </si>
  <si>
    <t>050201609AT</t>
  </si>
  <si>
    <t>050241609AT</t>
  </si>
  <si>
    <t>050251609AT</t>
  </si>
  <si>
    <t>050241809AT</t>
  </si>
  <si>
    <t>050242009AT</t>
  </si>
  <si>
    <t>050252009AT</t>
  </si>
  <si>
    <t>050122410AT</t>
  </si>
  <si>
    <t>050152010AT</t>
  </si>
  <si>
    <t>050152410AT</t>
  </si>
  <si>
    <t>050161610AT</t>
  </si>
  <si>
    <t>050161810AT</t>
  </si>
  <si>
    <t>050162010AT</t>
  </si>
  <si>
    <t>050162410AT</t>
  </si>
  <si>
    <t>050162510AT</t>
  </si>
  <si>
    <t>050182410AT</t>
  </si>
  <si>
    <t>050202010AT</t>
  </si>
  <si>
    <t>050202410AT</t>
  </si>
  <si>
    <t>050202510AT</t>
  </si>
  <si>
    <t>050242410AT</t>
  </si>
  <si>
    <t>050252510AT</t>
  </si>
  <si>
    <t>050241210AT</t>
  </si>
  <si>
    <t>050201510AT</t>
  </si>
  <si>
    <t>050241510AT</t>
  </si>
  <si>
    <t>050181610AT</t>
  </si>
  <si>
    <t>050201610AT</t>
  </si>
  <si>
    <t>050241610AT</t>
  </si>
  <si>
    <t>050251610AT</t>
  </si>
  <si>
    <t>050241810AT</t>
  </si>
  <si>
    <t>050242010AT</t>
  </si>
  <si>
    <t>050252010AT</t>
  </si>
  <si>
    <t>050122411AT</t>
  </si>
  <si>
    <t>050152011AT</t>
  </si>
  <si>
    <t>050152411AT</t>
  </si>
  <si>
    <t>050161611AT</t>
  </si>
  <si>
    <t>050161811AT</t>
  </si>
  <si>
    <t>050162011AT</t>
  </si>
  <si>
    <t>050162411AT</t>
  </si>
  <si>
    <t>050162511AT</t>
  </si>
  <si>
    <t>050182411AT</t>
  </si>
  <si>
    <t>050202011AT</t>
  </si>
  <si>
    <t>050202411AT</t>
  </si>
  <si>
    <t>050202511AT</t>
  </si>
  <si>
    <t>050242411AT</t>
  </si>
  <si>
    <t>050252511AT</t>
  </si>
  <si>
    <t>050241211AT</t>
  </si>
  <si>
    <t>050201511AT</t>
  </si>
  <si>
    <t>050241511AT</t>
  </si>
  <si>
    <t>050181611AT</t>
  </si>
  <si>
    <t>050201611AT</t>
  </si>
  <si>
    <t>050241611AT</t>
  </si>
  <si>
    <t>050251611AT</t>
  </si>
  <si>
    <t>050241811AT</t>
  </si>
  <si>
    <t>050242011AT</t>
  </si>
  <si>
    <t>050252011AT</t>
  </si>
  <si>
    <t>050122412AT</t>
  </si>
  <si>
    <t>050152012AT</t>
  </si>
  <si>
    <t>050152412AT</t>
  </si>
  <si>
    <t>050161612AT</t>
  </si>
  <si>
    <t>050161812AT</t>
  </si>
  <si>
    <t>050162012AT</t>
  </si>
  <si>
    <t>050162412AT</t>
  </si>
  <si>
    <t>050162512AT</t>
  </si>
  <si>
    <t>050182412AT</t>
  </si>
  <si>
    <t>050202012AT</t>
  </si>
  <si>
    <t>050202412AT</t>
  </si>
  <si>
    <t>050202512AT</t>
  </si>
  <si>
    <t>050242412AT</t>
  </si>
  <si>
    <t>050252512AT</t>
  </si>
  <si>
    <t>050241212AT</t>
  </si>
  <si>
    <t>050201512AT</t>
  </si>
  <si>
    <t>050241512AT</t>
  </si>
  <si>
    <t>050181612AT</t>
  </si>
  <si>
    <t>050201612AT</t>
  </si>
  <si>
    <t>050241612AT</t>
  </si>
  <si>
    <t>050251612AT</t>
  </si>
  <si>
    <t>050241812AT</t>
  </si>
  <si>
    <t>050242012AT</t>
  </si>
  <si>
    <t>050252012AT</t>
  </si>
  <si>
    <t>050122413AT</t>
  </si>
  <si>
    <t>050152013AT</t>
  </si>
  <si>
    <t>050152413AT</t>
  </si>
  <si>
    <t>050161613AT</t>
  </si>
  <si>
    <t>050161813AT</t>
  </si>
  <si>
    <t>050162013AT</t>
  </si>
  <si>
    <t>050162413AT</t>
  </si>
  <si>
    <t>050162513AT</t>
  </si>
  <si>
    <t>050182413AT</t>
  </si>
  <si>
    <t>050202013AT</t>
  </si>
  <si>
    <t>050202413AT</t>
  </si>
  <si>
    <t>050202513AT</t>
  </si>
  <si>
    <t>050242413AT</t>
  </si>
  <si>
    <t>050252513AT</t>
  </si>
  <si>
    <t>050241213AT</t>
  </si>
  <si>
    <t>050201513AT</t>
  </si>
  <si>
    <t>050241513AT</t>
  </si>
  <si>
    <t>050181613AT</t>
  </si>
  <si>
    <t>050201613AT</t>
  </si>
  <si>
    <t>050241613AT</t>
  </si>
  <si>
    <t>050251613AT</t>
  </si>
  <si>
    <t>050241813AT</t>
  </si>
  <si>
    <t>050242013AT</t>
  </si>
  <si>
    <t>050252013AT</t>
  </si>
  <si>
    <t>050122414AT</t>
  </si>
  <si>
    <t>050152014AT</t>
  </si>
  <si>
    <t>050152414AT</t>
  </si>
  <si>
    <t>050161614AT</t>
  </si>
  <si>
    <t>050161814AT</t>
  </si>
  <si>
    <t>050162014AT</t>
  </si>
  <si>
    <t>050162414AT</t>
  </si>
  <si>
    <t>050162514AT</t>
  </si>
  <si>
    <t>050182414AT</t>
  </si>
  <si>
    <t>050202014AT</t>
  </si>
  <si>
    <t>050202414AT</t>
  </si>
  <si>
    <t>050202514AT</t>
  </si>
  <si>
    <t>050242414AT</t>
  </si>
  <si>
    <t>050252514AT</t>
  </si>
  <si>
    <t>050241214AT</t>
  </si>
  <si>
    <t>050201514AT</t>
  </si>
  <si>
    <t>050241514AT</t>
  </si>
  <si>
    <t>050181614AT</t>
  </si>
  <si>
    <t>050201614AT</t>
  </si>
  <si>
    <t>050241614AT</t>
  </si>
  <si>
    <t>050251614AT</t>
  </si>
  <si>
    <t>050241814AT</t>
  </si>
  <si>
    <t>050242014AT</t>
  </si>
  <si>
    <t>050252014AT</t>
  </si>
  <si>
    <t>050122415AT</t>
  </si>
  <si>
    <t>050152015AT</t>
  </si>
  <si>
    <t>050152415AT</t>
  </si>
  <si>
    <t>050161615AT</t>
  </si>
  <si>
    <t>050161815AT</t>
  </si>
  <si>
    <t>050162015AT</t>
  </si>
  <si>
    <t>050162415AT</t>
  </si>
  <si>
    <t>050162515AT</t>
  </si>
  <si>
    <t>050182415AT</t>
  </si>
  <si>
    <t>050202015AT</t>
  </si>
  <si>
    <t>050202415AT</t>
  </si>
  <si>
    <t>050202515AT</t>
  </si>
  <si>
    <t>050242415AT</t>
  </si>
  <si>
    <t>050252515AT</t>
  </si>
  <si>
    <t>050241215AT</t>
  </si>
  <si>
    <t>050201515AT</t>
  </si>
  <si>
    <t>050241515AT</t>
  </si>
  <si>
    <t>050181615AT</t>
  </si>
  <si>
    <t>050201615AT</t>
  </si>
  <si>
    <t>050241615AT</t>
  </si>
  <si>
    <t>050251615AT</t>
  </si>
  <si>
    <t>050241815AT</t>
  </si>
  <si>
    <t>050242015AT</t>
  </si>
  <si>
    <t>050252015AT</t>
  </si>
  <si>
    <t>050122416AT</t>
  </si>
  <si>
    <t>050152016AT</t>
  </si>
  <si>
    <t>050152416AT</t>
  </si>
  <si>
    <t>050161616AT</t>
  </si>
  <si>
    <t>050161816AT</t>
  </si>
  <si>
    <t>050162016AT</t>
  </si>
  <si>
    <t>050162416AT</t>
  </si>
  <si>
    <t>050162516AT</t>
  </si>
  <si>
    <t>050182416AT</t>
  </si>
  <si>
    <t>050202016AT</t>
  </si>
  <si>
    <t>050202416AT</t>
  </si>
  <si>
    <t>050202516AT</t>
  </si>
  <si>
    <t>050242416AT</t>
  </si>
  <si>
    <t>050252516AT</t>
  </si>
  <si>
    <t>050241216AT</t>
  </si>
  <si>
    <t>050201516AT</t>
  </si>
  <si>
    <t>050241516AT</t>
  </si>
  <si>
    <t>050181616AT</t>
  </si>
  <si>
    <t>050201616AT</t>
  </si>
  <si>
    <t>050241616AT</t>
  </si>
  <si>
    <t>050251616AT</t>
  </si>
  <si>
    <t>050241816AT</t>
  </si>
  <si>
    <t>050242016AT</t>
  </si>
  <si>
    <t>050252016AT</t>
  </si>
  <si>
    <t>050122417AT</t>
  </si>
  <si>
    <t>050152017AT</t>
  </si>
  <si>
    <t>050152417AT</t>
  </si>
  <si>
    <t>050161617AT</t>
  </si>
  <si>
    <t>050161817AT</t>
  </si>
  <si>
    <t>050162017AT</t>
  </si>
  <si>
    <t>050162417AT</t>
  </si>
  <si>
    <t>050162517AT</t>
  </si>
  <si>
    <t>050182417AT</t>
  </si>
  <si>
    <t>050202017AT</t>
  </si>
  <si>
    <t>050202417AT</t>
  </si>
  <si>
    <t>050202517AT</t>
  </si>
  <si>
    <t>050242417AT</t>
  </si>
  <si>
    <t>050252517AT</t>
  </si>
  <si>
    <t>050241217AT</t>
  </si>
  <si>
    <t>050201517AT</t>
  </si>
  <si>
    <t>050241517AT</t>
  </si>
  <si>
    <t>050181617AT</t>
  </si>
  <si>
    <t>050201617AT</t>
  </si>
  <si>
    <t>050241617AT</t>
  </si>
  <si>
    <t>050251617AT</t>
  </si>
  <si>
    <t>050241817AT</t>
  </si>
  <si>
    <t>050242017AT</t>
  </si>
  <si>
    <t>050252017AT</t>
  </si>
  <si>
    <t>050122418AT</t>
  </si>
  <si>
    <t>050152018AT</t>
  </si>
  <si>
    <t>050152418AT</t>
  </si>
  <si>
    <t>050161618AT</t>
  </si>
  <si>
    <t>050161818AT</t>
  </si>
  <si>
    <t>050162018AT</t>
  </si>
  <si>
    <t>050162418AT</t>
  </si>
  <si>
    <t>050162518AT</t>
  </si>
  <si>
    <t>050182418AT</t>
  </si>
  <si>
    <t>050202018AT</t>
  </si>
  <si>
    <t>050202418AT</t>
  </si>
  <si>
    <t>050202518AT</t>
  </si>
  <si>
    <t>050242418AT</t>
  </si>
  <si>
    <t>050252518AT</t>
  </si>
  <si>
    <t>050241218AT</t>
  </si>
  <si>
    <t>050201518AT</t>
  </si>
  <si>
    <t>050241518AT</t>
  </si>
  <si>
    <t>050181618AT</t>
  </si>
  <si>
    <t>050201618AT</t>
  </si>
  <si>
    <t>050241618AT</t>
  </si>
  <si>
    <t>050251618AT</t>
  </si>
  <si>
    <t>050241818AT</t>
  </si>
  <si>
    <t>050242018AT</t>
  </si>
  <si>
    <t>050252018AT</t>
  </si>
  <si>
    <t>050122419AT</t>
  </si>
  <si>
    <t>050152019AT</t>
  </si>
  <si>
    <t>050152419AT</t>
  </si>
  <si>
    <t>050161619AT</t>
  </si>
  <si>
    <t>050161819AT</t>
  </si>
  <si>
    <t>050162019AT</t>
  </si>
  <si>
    <t>050162419AT</t>
  </si>
  <si>
    <t>050162519AT</t>
  </si>
  <si>
    <t>050182419AT</t>
  </si>
  <si>
    <t>050202019AT</t>
  </si>
  <si>
    <t>050202419AT</t>
  </si>
  <si>
    <t>050202519AT</t>
  </si>
  <si>
    <t>050242419AT</t>
  </si>
  <si>
    <t>050252519AT</t>
  </si>
  <si>
    <t>050241219AT</t>
  </si>
  <si>
    <t>050201519AT</t>
  </si>
  <si>
    <t>050241519AT</t>
  </si>
  <si>
    <t>050181619AT</t>
  </si>
  <si>
    <t>050201619AT</t>
  </si>
  <si>
    <t>050241619AT</t>
  </si>
  <si>
    <t>050251619AT</t>
  </si>
  <si>
    <t>050241819AT</t>
  </si>
  <si>
    <t>050242019AT</t>
  </si>
  <si>
    <t>050252019AT</t>
  </si>
  <si>
    <t>050122420AT</t>
  </si>
  <si>
    <t>050152020AT</t>
  </si>
  <si>
    <t>050152420AT</t>
  </si>
  <si>
    <t>050161620AT</t>
  </si>
  <si>
    <t>050161820AT</t>
  </si>
  <si>
    <t>050162020AT</t>
  </si>
  <si>
    <t>050162420AT</t>
  </si>
  <si>
    <t>050162520AT</t>
  </si>
  <si>
    <t>050182420AT</t>
  </si>
  <si>
    <t>050202020AT</t>
  </si>
  <si>
    <t>050202420AT</t>
  </si>
  <si>
    <t>050202520AT</t>
  </si>
  <si>
    <t>050242420AT</t>
  </si>
  <si>
    <t>050252520AT</t>
  </si>
  <si>
    <t>050241220AT</t>
  </si>
  <si>
    <t>050201520AT</t>
  </si>
  <si>
    <t>050241520AT</t>
  </si>
  <si>
    <t>050181620AT</t>
  </si>
  <si>
    <t>050201620AT</t>
  </si>
  <si>
    <t>050241620AT</t>
  </si>
  <si>
    <t>050251620AT</t>
  </si>
  <si>
    <t>050241820AT</t>
  </si>
  <si>
    <t>050242020AT</t>
  </si>
  <si>
    <t>050252020AT</t>
  </si>
  <si>
    <t>050122421AT</t>
  </si>
  <si>
    <t>050152021AT</t>
  </si>
  <si>
    <t>050152421AT</t>
  </si>
  <si>
    <t>050161621AT</t>
  </si>
  <si>
    <t>050161821AT</t>
  </si>
  <si>
    <t>050162021AT</t>
  </si>
  <si>
    <t>050162421AT</t>
  </si>
  <si>
    <t>050162521AT</t>
  </si>
  <si>
    <t>050182421AT</t>
  </si>
  <si>
    <t>050202021AT</t>
  </si>
  <si>
    <t>050202421AT</t>
  </si>
  <si>
    <t>050202521AT</t>
  </si>
  <si>
    <t>050242421AT</t>
  </si>
  <si>
    <t>050252521AT</t>
  </si>
  <si>
    <t>050241221AT</t>
  </si>
  <si>
    <t>050201521AT</t>
  </si>
  <si>
    <t>050241521AT</t>
  </si>
  <si>
    <t>050181621AT</t>
  </si>
  <si>
    <t>050201621AT</t>
  </si>
  <si>
    <t>050241621AT</t>
  </si>
  <si>
    <t>050251621AT</t>
  </si>
  <si>
    <t>050241821AT</t>
  </si>
  <si>
    <t>050242021AT</t>
  </si>
  <si>
    <t>050252021AT</t>
  </si>
  <si>
    <t>050122422AT</t>
  </si>
  <si>
    <t>050152022AT</t>
  </si>
  <si>
    <t>050152422AT</t>
  </si>
  <si>
    <t>050161622AT</t>
  </si>
  <si>
    <t>050161822AT</t>
  </si>
  <si>
    <t>050162022AT</t>
  </si>
  <si>
    <t>050162422AT</t>
  </si>
  <si>
    <t>050162522AT</t>
  </si>
  <si>
    <t>050182422AT</t>
  </si>
  <si>
    <t>050202022AT</t>
  </si>
  <si>
    <t>050202422AT</t>
  </si>
  <si>
    <t>050202522AT</t>
  </si>
  <si>
    <t>050242422AT</t>
  </si>
  <si>
    <t>050252522AT</t>
  </si>
  <si>
    <t>050241222AT</t>
  </si>
  <si>
    <t>050201522AT</t>
  </si>
  <si>
    <t>050241522AT</t>
  </si>
  <si>
    <t>050181622AT</t>
  </si>
  <si>
    <t>050201622AT</t>
  </si>
  <si>
    <t>050241622AT</t>
  </si>
  <si>
    <t>050251622AT</t>
  </si>
  <si>
    <t>050241822AT</t>
  </si>
  <si>
    <t>050242022AT</t>
  </si>
  <si>
    <t>050252022AT</t>
  </si>
  <si>
    <t>050122423AT</t>
  </si>
  <si>
    <t>050152023AT</t>
  </si>
  <si>
    <t>050152423AT</t>
  </si>
  <si>
    <t>050161623AT</t>
  </si>
  <si>
    <t>050161823AT</t>
  </si>
  <si>
    <t>050162023AT</t>
  </si>
  <si>
    <t>050162423AT</t>
  </si>
  <si>
    <t>050162523AT</t>
  </si>
  <si>
    <t>050182423AT</t>
  </si>
  <si>
    <t>050202023AT</t>
  </si>
  <si>
    <t>050202423AT</t>
  </si>
  <si>
    <t>050202523AT</t>
  </si>
  <si>
    <t>050242423AT</t>
  </si>
  <si>
    <t>050252523AT</t>
  </si>
  <si>
    <t>050241223AT</t>
  </si>
  <si>
    <t>050201523AT</t>
  </si>
  <si>
    <t>050241523AT</t>
  </si>
  <si>
    <t>050181623AT</t>
  </si>
  <si>
    <t>050201623AT</t>
  </si>
  <si>
    <t>050241623AT</t>
  </si>
  <si>
    <t>050251623AT</t>
  </si>
  <si>
    <t>050241823AT</t>
  </si>
  <si>
    <t>050242023AT</t>
  </si>
  <si>
    <t>050252023AT</t>
  </si>
  <si>
    <t>050122424AT</t>
  </si>
  <si>
    <t>050152024AT</t>
  </si>
  <si>
    <t>050152424AT</t>
  </si>
  <si>
    <t>050161624AT</t>
  </si>
  <si>
    <t>050161824AT</t>
  </si>
  <si>
    <t>050162024AT</t>
  </si>
  <si>
    <t>050162424AT</t>
  </si>
  <si>
    <t>050162524AT</t>
  </si>
  <si>
    <t>050182424AT</t>
  </si>
  <si>
    <t>050202024AT</t>
  </si>
  <si>
    <t>050202424AT</t>
  </si>
  <si>
    <t>050202524AT</t>
  </si>
  <si>
    <t>050242424AT</t>
  </si>
  <si>
    <t>050252524AT</t>
  </si>
  <si>
    <t>050241224AT</t>
  </si>
  <si>
    <t>050201524AT</t>
  </si>
  <si>
    <t>050241524AT</t>
  </si>
  <si>
    <t>050181624AT</t>
  </si>
  <si>
    <t>050201624AT</t>
  </si>
  <si>
    <t>050241624AT</t>
  </si>
  <si>
    <t>050251624AT</t>
  </si>
  <si>
    <t>050241824AT</t>
  </si>
  <si>
    <t>050242024AT</t>
  </si>
  <si>
    <t>050252024AT</t>
  </si>
  <si>
    <t>056122401AT</t>
  </si>
  <si>
    <t>056152001AT</t>
  </si>
  <si>
    <t>056152401AT</t>
  </si>
  <si>
    <t>056161601AT</t>
  </si>
  <si>
    <t>056161801AT</t>
  </si>
  <si>
    <t>056162001AT</t>
  </si>
  <si>
    <t>056162401AT</t>
  </si>
  <si>
    <t>056162501AT</t>
  </si>
  <si>
    <t>056182401AT</t>
  </si>
  <si>
    <t>056202001AT</t>
  </si>
  <si>
    <t>056202401AT</t>
  </si>
  <si>
    <t>056202501AT</t>
  </si>
  <si>
    <t>056242401AT</t>
  </si>
  <si>
    <t>056252501AT</t>
  </si>
  <si>
    <t>056241201AT</t>
  </si>
  <si>
    <t>056201501AT</t>
  </si>
  <si>
    <t>056241501AT</t>
  </si>
  <si>
    <t>056181601AT</t>
  </si>
  <si>
    <t>056201601AT</t>
  </si>
  <si>
    <t>056241601AT</t>
  </si>
  <si>
    <t>056251601AT</t>
  </si>
  <si>
    <t>056241801AT</t>
  </si>
  <si>
    <t>056242001AT</t>
  </si>
  <si>
    <t>056252001AT</t>
  </si>
  <si>
    <t>056122402AT</t>
  </si>
  <si>
    <t>056152002AT</t>
  </si>
  <si>
    <t>056152402AT</t>
  </si>
  <si>
    <t>056161602AT</t>
  </si>
  <si>
    <t>056161802AT</t>
  </si>
  <si>
    <t>056162002AT</t>
  </si>
  <si>
    <t>056162402AT</t>
  </si>
  <si>
    <t>056162502AT</t>
  </si>
  <si>
    <t>056182402AT</t>
  </si>
  <si>
    <t>056202002AT</t>
  </si>
  <si>
    <t>056202402AT</t>
  </si>
  <si>
    <t>056202502AT</t>
  </si>
  <si>
    <t>056242402AT</t>
  </si>
  <si>
    <t>056252502AT</t>
  </si>
  <si>
    <t>056241202AT</t>
  </si>
  <si>
    <t>056201502AT</t>
  </si>
  <si>
    <t>056241502AT</t>
  </si>
  <si>
    <t>056181602AT</t>
  </si>
  <si>
    <t>056201602AT</t>
  </si>
  <si>
    <t>056241602AT</t>
  </si>
  <si>
    <t>056251602AT</t>
  </si>
  <si>
    <t>056241802AT</t>
  </si>
  <si>
    <t>056242002AT</t>
  </si>
  <si>
    <t>056252002AT</t>
  </si>
  <si>
    <t>056122403AT</t>
  </si>
  <si>
    <t>056152003AT</t>
  </si>
  <si>
    <t>056152403AT</t>
  </si>
  <si>
    <t>056161603AT</t>
  </si>
  <si>
    <t>056161803AT</t>
  </si>
  <si>
    <t>056162003AT</t>
  </si>
  <si>
    <t>056162403AT</t>
  </si>
  <si>
    <t>056162503AT</t>
  </si>
  <si>
    <t>056182403AT</t>
  </si>
  <si>
    <t>056202003AT</t>
  </si>
  <si>
    <t>056202403AT</t>
  </si>
  <si>
    <t>056202503AT</t>
  </si>
  <si>
    <t>056242403AT</t>
  </si>
  <si>
    <t>056252503AT</t>
  </si>
  <si>
    <t>056241203AT</t>
  </si>
  <si>
    <t>056201503AT</t>
  </si>
  <si>
    <t>056241503AT</t>
  </si>
  <si>
    <t>056181603AT</t>
  </si>
  <si>
    <t>056201603AT</t>
  </si>
  <si>
    <t>056241603AT</t>
  </si>
  <si>
    <t>056251603AT</t>
  </si>
  <si>
    <t>056241803AT</t>
  </si>
  <si>
    <t>056242003AT</t>
  </si>
  <si>
    <t>056252003AT</t>
  </si>
  <si>
    <t>056122404AT</t>
  </si>
  <si>
    <t>056152004AT</t>
  </si>
  <si>
    <t>056152404AT</t>
  </si>
  <si>
    <t>056161604AT</t>
  </si>
  <si>
    <t>056161804AT</t>
  </si>
  <si>
    <t>056162004AT</t>
  </si>
  <si>
    <t>056162404AT</t>
  </si>
  <si>
    <t>056162504AT</t>
  </si>
  <si>
    <t>056182404AT</t>
  </si>
  <si>
    <t>056202004AT</t>
  </si>
  <si>
    <t>056202404AT</t>
  </si>
  <si>
    <t>056202504AT</t>
  </si>
  <si>
    <t>056242404AT</t>
  </si>
  <si>
    <t>056252504AT</t>
  </si>
  <si>
    <t>056241204AT</t>
  </si>
  <si>
    <t>056201504AT</t>
  </si>
  <si>
    <t>056241504AT</t>
  </si>
  <si>
    <t>056181604AT</t>
  </si>
  <si>
    <t>056201604AT</t>
  </si>
  <si>
    <t>056241604AT</t>
  </si>
  <si>
    <t>056251604AT</t>
  </si>
  <si>
    <t>056241804AT</t>
  </si>
  <si>
    <t>056242004AT</t>
  </si>
  <si>
    <t>056252004AT</t>
  </si>
  <si>
    <t>056122405AT</t>
  </si>
  <si>
    <t>056152005AT</t>
  </si>
  <si>
    <t>056152405AT</t>
  </si>
  <si>
    <t>056161605AT</t>
  </si>
  <si>
    <t>056161805AT</t>
  </si>
  <si>
    <t>056162005AT</t>
  </si>
  <si>
    <t>056162405AT</t>
  </si>
  <si>
    <t>056162505AT</t>
  </si>
  <si>
    <t>056182405AT</t>
  </si>
  <si>
    <t>056202005AT</t>
  </si>
  <si>
    <t>056202405AT</t>
  </si>
  <si>
    <t>056202505AT</t>
  </si>
  <si>
    <t>056242405AT</t>
  </si>
  <si>
    <t>056252505AT</t>
  </si>
  <si>
    <t>056241205AT</t>
  </si>
  <si>
    <t>056201505AT</t>
  </si>
  <si>
    <t>056241505AT</t>
  </si>
  <si>
    <t>056181605AT</t>
  </si>
  <si>
    <t>056201605AT</t>
  </si>
  <si>
    <t>056241605AT</t>
  </si>
  <si>
    <t>056251605AT</t>
  </si>
  <si>
    <t>056241805AT</t>
  </si>
  <si>
    <t>056242005AT</t>
  </si>
  <si>
    <t>056252005AT</t>
  </si>
  <si>
    <t>056122406AT</t>
  </si>
  <si>
    <t>056152006AT</t>
  </si>
  <si>
    <t>056152406AT</t>
  </si>
  <si>
    <t>056161606AT</t>
  </si>
  <si>
    <t>056161806AT</t>
  </si>
  <si>
    <t>056162006AT</t>
  </si>
  <si>
    <t>056162406AT</t>
  </si>
  <si>
    <t>056162506AT</t>
  </si>
  <si>
    <t>056182406AT</t>
  </si>
  <si>
    <t>056202006AT</t>
  </si>
  <si>
    <t>056202406AT</t>
  </si>
  <si>
    <t>056202506AT</t>
  </si>
  <si>
    <t>056242406AT</t>
  </si>
  <si>
    <t>056252506AT</t>
  </si>
  <si>
    <t>056241206AT</t>
  </si>
  <si>
    <t>056201506AT</t>
  </si>
  <si>
    <t>056241506AT</t>
  </si>
  <si>
    <t>056181606AT</t>
  </si>
  <si>
    <t>056201606AT</t>
  </si>
  <si>
    <t>056241606AT</t>
  </si>
  <si>
    <t>056251606AT</t>
  </si>
  <si>
    <t>056241806AT</t>
  </si>
  <si>
    <t>056242006AT</t>
  </si>
  <si>
    <t>056252006AT</t>
  </si>
  <si>
    <t>056122407AT</t>
  </si>
  <si>
    <t>056152007AT</t>
  </si>
  <si>
    <t>056152407AT</t>
  </si>
  <si>
    <t>056161607AT</t>
  </si>
  <si>
    <t>056161807AT</t>
  </si>
  <si>
    <t>056162007AT</t>
  </si>
  <si>
    <t>056162407AT</t>
  </si>
  <si>
    <t>056162507AT</t>
  </si>
  <si>
    <t>056182407AT</t>
  </si>
  <si>
    <t>056202007AT</t>
  </si>
  <si>
    <t>056202407AT</t>
  </si>
  <si>
    <t>056202507AT</t>
  </si>
  <si>
    <t>056242407AT</t>
  </si>
  <si>
    <t>056252507AT</t>
  </si>
  <si>
    <t>056241207AT</t>
  </si>
  <si>
    <t>056201507AT</t>
  </si>
  <si>
    <t>056241507AT</t>
  </si>
  <si>
    <t>056181607AT</t>
  </si>
  <si>
    <t>056201607AT</t>
  </si>
  <si>
    <t>056241607AT</t>
  </si>
  <si>
    <t>056251607AT</t>
  </si>
  <si>
    <t>056241807AT</t>
  </si>
  <si>
    <t>056242007AT</t>
  </si>
  <si>
    <t>056252007AT</t>
  </si>
  <si>
    <t>056122408AT</t>
  </si>
  <si>
    <t>056152008AT</t>
  </si>
  <si>
    <t>056152408AT</t>
  </si>
  <si>
    <t>056161608AT</t>
  </si>
  <si>
    <t>056161808AT</t>
  </si>
  <si>
    <t>056162008AT</t>
  </si>
  <si>
    <t>056162408AT</t>
  </si>
  <si>
    <t>056162508AT</t>
  </si>
  <si>
    <t>056182408AT</t>
  </si>
  <si>
    <t>056202008AT</t>
  </si>
  <si>
    <t>056202408AT</t>
  </si>
  <si>
    <t>056202508AT</t>
  </si>
  <si>
    <t>056242408AT</t>
  </si>
  <si>
    <t>056252508AT</t>
  </si>
  <si>
    <t>056241208AT</t>
  </si>
  <si>
    <t>056201508AT</t>
  </si>
  <si>
    <t>056241508AT</t>
  </si>
  <si>
    <t>056181608AT</t>
  </si>
  <si>
    <t>056201608AT</t>
  </si>
  <si>
    <t>056241608AT</t>
  </si>
  <si>
    <t>056251608AT</t>
  </si>
  <si>
    <t>056241808AT</t>
  </si>
  <si>
    <t>056242008AT</t>
  </si>
  <si>
    <t>056252008AT</t>
  </si>
  <si>
    <t>056122409AT</t>
  </si>
  <si>
    <t>056152009AT</t>
  </si>
  <si>
    <t>056152409AT</t>
  </si>
  <si>
    <t>056161609AT</t>
  </si>
  <si>
    <t>056161809AT</t>
  </si>
  <si>
    <t>056162009AT</t>
  </si>
  <si>
    <t>056162409AT</t>
  </si>
  <si>
    <t>056162509AT</t>
  </si>
  <si>
    <t>056182409AT</t>
  </si>
  <si>
    <t>056202009AT</t>
  </si>
  <si>
    <t>056202409AT</t>
  </si>
  <si>
    <t>056202509AT</t>
  </si>
  <si>
    <t>056242409AT</t>
  </si>
  <si>
    <t>056252509AT</t>
  </si>
  <si>
    <t>056241209AT</t>
  </si>
  <si>
    <t>056201509AT</t>
  </si>
  <si>
    <t>056241509AT</t>
  </si>
  <si>
    <t>056181609AT</t>
  </si>
  <si>
    <t>056201609AT</t>
  </si>
  <si>
    <t>056241609AT</t>
  </si>
  <si>
    <t>056251609AT</t>
  </si>
  <si>
    <t>056241809AT</t>
  </si>
  <si>
    <t>056242009AT</t>
  </si>
  <si>
    <t>056252009AT</t>
  </si>
  <si>
    <t>056122410AT</t>
  </si>
  <si>
    <t>056152010AT</t>
  </si>
  <si>
    <t>056152410AT</t>
  </si>
  <si>
    <t>056161610AT</t>
  </si>
  <si>
    <t>056161810AT</t>
  </si>
  <si>
    <t>056162010AT</t>
  </si>
  <si>
    <t>056162410AT</t>
  </si>
  <si>
    <t>056162510AT</t>
  </si>
  <si>
    <t>056182410AT</t>
  </si>
  <si>
    <t>056202010AT</t>
  </si>
  <si>
    <t>056202410AT</t>
  </si>
  <si>
    <t>056202510AT</t>
  </si>
  <si>
    <t>056242410AT</t>
  </si>
  <si>
    <t>056252510AT</t>
  </si>
  <si>
    <t>056241210AT</t>
  </si>
  <si>
    <t>056201510AT</t>
  </si>
  <si>
    <t>056241510AT</t>
  </si>
  <si>
    <t>056181610AT</t>
  </si>
  <si>
    <t>056201610AT</t>
  </si>
  <si>
    <t>056241610AT</t>
  </si>
  <si>
    <t>056251610AT</t>
  </si>
  <si>
    <t>056241810AT</t>
  </si>
  <si>
    <t>056242010AT</t>
  </si>
  <si>
    <t>056252010AT</t>
  </si>
  <si>
    <t>056122411AT</t>
  </si>
  <si>
    <t>056152011AT</t>
  </si>
  <si>
    <t>056152411AT</t>
  </si>
  <si>
    <t>056161611AT</t>
  </si>
  <si>
    <t>056161811AT</t>
  </si>
  <si>
    <t>056162011AT</t>
  </si>
  <si>
    <t>056162411AT</t>
  </si>
  <si>
    <t>056162511AT</t>
  </si>
  <si>
    <t>056182411AT</t>
  </si>
  <si>
    <t>056202011AT</t>
  </si>
  <si>
    <t>056202411AT</t>
  </si>
  <si>
    <t>056202511AT</t>
  </si>
  <si>
    <t>056242411AT</t>
  </si>
  <si>
    <t>056252511AT</t>
  </si>
  <si>
    <t>056241211AT</t>
  </si>
  <si>
    <t>056201511AT</t>
  </si>
  <si>
    <t>056241511AT</t>
  </si>
  <si>
    <t>056181611AT</t>
  </si>
  <si>
    <t>056201611AT</t>
  </si>
  <si>
    <t>056241611AT</t>
  </si>
  <si>
    <t>056251611AT</t>
  </si>
  <si>
    <t>056241811AT</t>
  </si>
  <si>
    <t>056242011AT</t>
  </si>
  <si>
    <t>056252011AT</t>
  </si>
  <si>
    <t>056122412AT</t>
  </si>
  <si>
    <t>056152012AT</t>
  </si>
  <si>
    <t>056152412AT</t>
  </si>
  <si>
    <t>056161612AT</t>
  </si>
  <si>
    <t>056161812AT</t>
  </si>
  <si>
    <t>056162012AT</t>
  </si>
  <si>
    <t>056162412AT</t>
  </si>
  <si>
    <t>056162512AT</t>
  </si>
  <si>
    <t>056182412AT</t>
  </si>
  <si>
    <t>056202012AT</t>
  </si>
  <si>
    <t>056202412AT</t>
  </si>
  <si>
    <t>056202512AT</t>
  </si>
  <si>
    <t>056242412AT</t>
  </si>
  <si>
    <t>056252512AT</t>
  </si>
  <si>
    <t>056241212AT</t>
  </si>
  <si>
    <t>056201512AT</t>
  </si>
  <si>
    <t>056241512AT</t>
  </si>
  <si>
    <t>056181612AT</t>
  </si>
  <si>
    <t>056201612AT</t>
  </si>
  <si>
    <t>056241612AT</t>
  </si>
  <si>
    <t>056251612AT</t>
  </si>
  <si>
    <t>056241812AT</t>
  </si>
  <si>
    <t>056242012AT</t>
  </si>
  <si>
    <t>056252012AT</t>
  </si>
  <si>
    <t>056122413AT</t>
  </si>
  <si>
    <t>056152013AT</t>
  </si>
  <si>
    <t>056152413AT</t>
  </si>
  <si>
    <t>056161613AT</t>
  </si>
  <si>
    <t>056161813AT</t>
  </si>
  <si>
    <t>056162013AT</t>
  </si>
  <si>
    <t>056162413AT</t>
  </si>
  <si>
    <t>056162513AT</t>
  </si>
  <si>
    <t>056182413AT</t>
  </si>
  <si>
    <t>056202013AT</t>
  </si>
  <si>
    <t>056202413AT</t>
  </si>
  <si>
    <t>056202513AT</t>
  </si>
  <si>
    <t>056242413AT</t>
  </si>
  <si>
    <t>056252513AT</t>
  </si>
  <si>
    <t>056241213AT</t>
  </si>
  <si>
    <t>056201513AT</t>
  </si>
  <si>
    <t>056241513AT</t>
  </si>
  <si>
    <t>056181613AT</t>
  </si>
  <si>
    <t>056201613AT</t>
  </si>
  <si>
    <t>056241613AT</t>
  </si>
  <si>
    <t>056251613AT</t>
  </si>
  <si>
    <t>056241813AT</t>
  </si>
  <si>
    <t>056242013AT</t>
  </si>
  <si>
    <t>056252013AT</t>
  </si>
  <si>
    <t>056122414AT</t>
  </si>
  <si>
    <t>056152014AT</t>
  </si>
  <si>
    <t>056152414AT</t>
  </si>
  <si>
    <t>056161614AT</t>
  </si>
  <si>
    <t>056161814AT</t>
  </si>
  <si>
    <t>056162014AT</t>
  </si>
  <si>
    <t>056162414AT</t>
  </si>
  <si>
    <t>056162514AT</t>
  </si>
  <si>
    <t>056182414AT</t>
  </si>
  <si>
    <t>056202014AT</t>
  </si>
  <si>
    <t>056202414AT</t>
  </si>
  <si>
    <t>056202514AT</t>
  </si>
  <si>
    <t>056242414AT</t>
  </si>
  <si>
    <t>056252514AT</t>
  </si>
  <si>
    <t>056241214AT</t>
  </si>
  <si>
    <t>056201514AT</t>
  </si>
  <si>
    <t>056241514AT</t>
  </si>
  <si>
    <t>056181614AT</t>
  </si>
  <si>
    <t>056201614AT</t>
  </si>
  <si>
    <t>056241614AT</t>
  </si>
  <si>
    <t>056251614AT</t>
  </si>
  <si>
    <t>056241814AT</t>
  </si>
  <si>
    <t>056242014AT</t>
  </si>
  <si>
    <t>056252014AT</t>
  </si>
  <si>
    <t>056122415AT</t>
  </si>
  <si>
    <t>056152015AT</t>
  </si>
  <si>
    <t>056152415AT</t>
  </si>
  <si>
    <t>056161615AT</t>
  </si>
  <si>
    <t>056161815AT</t>
  </si>
  <si>
    <t>056162015AT</t>
  </si>
  <si>
    <t>056162415AT</t>
  </si>
  <si>
    <t>056162515AT</t>
  </si>
  <si>
    <t>056182415AT</t>
  </si>
  <si>
    <t>056202015AT</t>
  </si>
  <si>
    <t>056202415AT</t>
  </si>
  <si>
    <t>056202515AT</t>
  </si>
  <si>
    <t>056242415AT</t>
  </si>
  <si>
    <t>056252515AT</t>
  </si>
  <si>
    <t>056241215AT</t>
  </si>
  <si>
    <t>056201515AT</t>
  </si>
  <si>
    <t>056241515AT</t>
  </si>
  <si>
    <t>056181615AT</t>
  </si>
  <si>
    <t>056201615AT</t>
  </si>
  <si>
    <t>056241615AT</t>
  </si>
  <si>
    <t>056251615AT</t>
  </si>
  <si>
    <t>056241815AT</t>
  </si>
  <si>
    <t>056242015AT</t>
  </si>
  <si>
    <t>056252015AT</t>
  </si>
  <si>
    <t>056122416AT</t>
  </si>
  <si>
    <t>056152016AT</t>
  </si>
  <si>
    <t>056152416AT</t>
  </si>
  <si>
    <t>056161616AT</t>
  </si>
  <si>
    <t>056161816AT</t>
  </si>
  <si>
    <t>056162016AT</t>
  </si>
  <si>
    <t>056162416AT</t>
  </si>
  <si>
    <t>056162516AT</t>
  </si>
  <si>
    <t>056182416AT</t>
  </si>
  <si>
    <t>056202016AT</t>
  </si>
  <si>
    <t>056202416AT</t>
  </si>
  <si>
    <t>056202516AT</t>
  </si>
  <si>
    <t>056242416AT</t>
  </si>
  <si>
    <t>056252516AT</t>
  </si>
  <si>
    <t>056241216AT</t>
  </si>
  <si>
    <t>056201516AT</t>
  </si>
  <si>
    <t>056241516AT</t>
  </si>
  <si>
    <t>056181616AT</t>
  </si>
  <si>
    <t>056201616AT</t>
  </si>
  <si>
    <t>056241616AT</t>
  </si>
  <si>
    <t>056251616AT</t>
  </si>
  <si>
    <t>056241816AT</t>
  </si>
  <si>
    <t>056242016AT</t>
  </si>
  <si>
    <t>056252016AT</t>
  </si>
  <si>
    <t>056122417AT</t>
  </si>
  <si>
    <t>056152017AT</t>
  </si>
  <si>
    <t>056152417AT</t>
  </si>
  <si>
    <t>056161617AT</t>
  </si>
  <si>
    <t>056161817AT</t>
  </si>
  <si>
    <t>056162017AT</t>
  </si>
  <si>
    <t>056162417AT</t>
  </si>
  <si>
    <t>056162517AT</t>
  </si>
  <si>
    <t>056182417AT</t>
  </si>
  <si>
    <t>056202017AT</t>
  </si>
  <si>
    <t>056202417AT</t>
  </si>
  <si>
    <t>056202517AT</t>
  </si>
  <si>
    <t>056242417AT</t>
  </si>
  <si>
    <t>056252517AT</t>
  </si>
  <si>
    <t>056241217AT</t>
  </si>
  <si>
    <t>056201517AT</t>
  </si>
  <si>
    <t>056241517AT</t>
  </si>
  <si>
    <t>056181617AT</t>
  </si>
  <si>
    <t>056201617AT</t>
  </si>
  <si>
    <t>056241617AT</t>
  </si>
  <si>
    <t>056251617AT</t>
  </si>
  <si>
    <t>056241817AT</t>
  </si>
  <si>
    <t>056242017AT</t>
  </si>
  <si>
    <t>056252017AT</t>
  </si>
  <si>
    <t>056122418AT</t>
  </si>
  <si>
    <t>056152018AT</t>
  </si>
  <si>
    <t>056152418AT</t>
  </si>
  <si>
    <t>056161618AT</t>
  </si>
  <si>
    <t>056161818AT</t>
  </si>
  <si>
    <t>056162018AT</t>
  </si>
  <si>
    <t>056162418AT</t>
  </si>
  <si>
    <t>056162518AT</t>
  </si>
  <si>
    <t>056182418AT</t>
  </si>
  <si>
    <t>056202018AT</t>
  </si>
  <si>
    <t>056202418AT</t>
  </si>
  <si>
    <t>056202518AT</t>
  </si>
  <si>
    <t>056242418AT</t>
  </si>
  <si>
    <t>056252518AT</t>
  </si>
  <si>
    <t>056241218AT</t>
  </si>
  <si>
    <t>056201518AT</t>
  </si>
  <si>
    <t>056241518AT</t>
  </si>
  <si>
    <t>056181618AT</t>
  </si>
  <si>
    <t>056201618AT</t>
  </si>
  <si>
    <t>056241618AT</t>
  </si>
  <si>
    <t>056251618AT</t>
  </si>
  <si>
    <t>056241818AT</t>
  </si>
  <si>
    <t>056242018AT</t>
  </si>
  <si>
    <t>056252018AT</t>
  </si>
  <si>
    <t>056122419AT</t>
  </si>
  <si>
    <t>056152019AT</t>
  </si>
  <si>
    <t>056152419AT</t>
  </si>
  <si>
    <t>056161619AT</t>
  </si>
  <si>
    <t>056161819AT</t>
  </si>
  <si>
    <t>056162019AT</t>
  </si>
  <si>
    <t>056162419AT</t>
  </si>
  <si>
    <t>056162519AT</t>
  </si>
  <si>
    <t>056182419AT</t>
  </si>
  <si>
    <t>056202019AT</t>
  </si>
  <si>
    <t>056202419AT</t>
  </si>
  <si>
    <t>056202519AT</t>
  </si>
  <si>
    <t>056242419AT</t>
  </si>
  <si>
    <t>056252519AT</t>
  </si>
  <si>
    <t>056241219AT</t>
  </si>
  <si>
    <t>056201519AT</t>
  </si>
  <si>
    <t>056241519AT</t>
  </si>
  <si>
    <t>056181619AT</t>
  </si>
  <si>
    <t>056201619AT</t>
  </si>
  <si>
    <t>056241619AT</t>
  </si>
  <si>
    <t>056251619AT</t>
  </si>
  <si>
    <t>056241819AT</t>
  </si>
  <si>
    <t>056242019AT</t>
  </si>
  <si>
    <t>056252019AT</t>
  </si>
  <si>
    <t>056122420AT</t>
  </si>
  <si>
    <t>056152020AT</t>
  </si>
  <si>
    <t>056152420AT</t>
  </si>
  <si>
    <t>056161620AT</t>
  </si>
  <si>
    <t>056161820AT</t>
  </si>
  <si>
    <t>056162020AT</t>
  </si>
  <si>
    <t>056162420AT</t>
  </si>
  <si>
    <t>056162520AT</t>
  </si>
  <si>
    <t>056182420AT</t>
  </si>
  <si>
    <t>056202020AT</t>
  </si>
  <si>
    <t>056202420AT</t>
  </si>
  <si>
    <t>056202520AT</t>
  </si>
  <si>
    <t>056242420AT</t>
  </si>
  <si>
    <t>056252520AT</t>
  </si>
  <si>
    <t>056241220AT</t>
  </si>
  <si>
    <t>056201520AT</t>
  </si>
  <si>
    <t>056241520AT</t>
  </si>
  <si>
    <t>056181620AT</t>
  </si>
  <si>
    <t>056201620AT</t>
  </si>
  <si>
    <t>056241620AT</t>
  </si>
  <si>
    <t>056251620AT</t>
  </si>
  <si>
    <t>056241820AT</t>
  </si>
  <si>
    <t>056242020AT</t>
  </si>
  <si>
    <t>056252020AT</t>
  </si>
  <si>
    <t>056122421AT</t>
  </si>
  <si>
    <t>056152021AT</t>
  </si>
  <si>
    <t>056152421AT</t>
  </si>
  <si>
    <t>056161621AT</t>
  </si>
  <si>
    <t>056161821AT</t>
  </si>
  <si>
    <t>056162021AT</t>
  </si>
  <si>
    <t>056162421AT</t>
  </si>
  <si>
    <t>056162521AT</t>
  </si>
  <si>
    <t>056182421AT</t>
  </si>
  <si>
    <t>056202021AT</t>
  </si>
  <si>
    <t>056202421AT</t>
  </si>
  <si>
    <t>056202521AT</t>
  </si>
  <si>
    <t>056242421AT</t>
  </si>
  <si>
    <t>056252521AT</t>
  </si>
  <si>
    <t>056241221AT</t>
  </si>
  <si>
    <t>056201521AT</t>
  </si>
  <si>
    <t>056241521AT</t>
  </si>
  <si>
    <t>056181621AT</t>
  </si>
  <si>
    <t>056201621AT</t>
  </si>
  <si>
    <t>056241621AT</t>
  </si>
  <si>
    <t>056251621AT</t>
  </si>
  <si>
    <t>056241821AT</t>
  </si>
  <si>
    <t>056242021AT</t>
  </si>
  <si>
    <t>056252021AT</t>
  </si>
  <si>
    <t>056122422AT</t>
  </si>
  <si>
    <t>056152022AT</t>
  </si>
  <si>
    <t>056152422AT</t>
  </si>
  <si>
    <t>056161622AT</t>
  </si>
  <si>
    <t>056161822AT</t>
  </si>
  <si>
    <t>056162022AT</t>
  </si>
  <si>
    <t>056162422AT</t>
  </si>
  <si>
    <t>056162522AT</t>
  </si>
  <si>
    <t>056182422AT</t>
  </si>
  <si>
    <t>056202022AT</t>
  </si>
  <si>
    <t>056202422AT</t>
  </si>
  <si>
    <t>056202522AT</t>
  </si>
  <si>
    <t>056242422AT</t>
  </si>
  <si>
    <t>056252522AT</t>
  </si>
  <si>
    <t>056241222AT</t>
  </si>
  <si>
    <t>056201522AT</t>
  </si>
  <si>
    <t>056241522AT</t>
  </si>
  <si>
    <t>056181622AT</t>
  </si>
  <si>
    <t>056201622AT</t>
  </si>
  <si>
    <t>056241622AT</t>
  </si>
  <si>
    <t>056251622AT</t>
  </si>
  <si>
    <t>056241822AT</t>
  </si>
  <si>
    <t>056242022AT</t>
  </si>
  <si>
    <t>056252022AT</t>
  </si>
  <si>
    <t>056122423AT</t>
  </si>
  <si>
    <t>056152023AT</t>
  </si>
  <si>
    <t>056152423AT</t>
  </si>
  <si>
    <t>056161623AT</t>
  </si>
  <si>
    <t>056161823AT</t>
  </si>
  <si>
    <t>056162023AT</t>
  </si>
  <si>
    <t>056162423AT</t>
  </si>
  <si>
    <t>056162523AT</t>
  </si>
  <si>
    <t>056182423AT</t>
  </si>
  <si>
    <t>056202023AT</t>
  </si>
  <si>
    <t>056202423AT</t>
  </si>
  <si>
    <t>056202523AT</t>
  </si>
  <si>
    <t>056242423AT</t>
  </si>
  <si>
    <t>056252523AT</t>
  </si>
  <si>
    <t>056241223AT</t>
  </si>
  <si>
    <t>056201523AT</t>
  </si>
  <si>
    <t>056241523AT</t>
  </si>
  <si>
    <t>056181623AT</t>
  </si>
  <si>
    <t>056201623AT</t>
  </si>
  <si>
    <t>056241623AT</t>
  </si>
  <si>
    <t>056251623AT</t>
  </si>
  <si>
    <t>056241823AT</t>
  </si>
  <si>
    <t>056242023AT</t>
  </si>
  <si>
    <t>056252023AT</t>
  </si>
  <si>
    <t>056122424AT</t>
  </si>
  <si>
    <t>056152024AT</t>
  </si>
  <si>
    <t>056152424AT</t>
  </si>
  <si>
    <t>056161624AT</t>
  </si>
  <si>
    <t>056161824AT</t>
  </si>
  <si>
    <t>056162024AT</t>
  </si>
  <si>
    <t>056162424AT</t>
  </si>
  <si>
    <t>056162524AT</t>
  </si>
  <si>
    <t>056182424AT</t>
  </si>
  <si>
    <t>056202024AT</t>
  </si>
  <si>
    <t>056202424AT</t>
  </si>
  <si>
    <t>056202524AT</t>
  </si>
  <si>
    <t>056242424AT</t>
  </si>
  <si>
    <t>056252524AT</t>
  </si>
  <si>
    <t>056241224AT</t>
  </si>
  <si>
    <t>056201524AT</t>
  </si>
  <si>
    <t>056241524AT</t>
  </si>
  <si>
    <t>056181624AT</t>
  </si>
  <si>
    <t>056201624AT</t>
  </si>
  <si>
    <t>056241624AT</t>
  </si>
  <si>
    <t>056251624AT</t>
  </si>
  <si>
    <t>056241824AT</t>
  </si>
  <si>
    <t>056242024AT</t>
  </si>
  <si>
    <t>056252024AT</t>
  </si>
  <si>
    <t>031122401AT</t>
  </si>
  <si>
    <t>031152001AT</t>
  </si>
  <si>
    <t>031152401AT</t>
  </si>
  <si>
    <t>031161601AT</t>
  </si>
  <si>
    <t>031161801AT</t>
  </si>
  <si>
    <t>031162001AT</t>
  </si>
  <si>
    <t>031162401AT</t>
  </si>
  <si>
    <t>031162501AT</t>
  </si>
  <si>
    <t>031182401AT</t>
  </si>
  <si>
    <t>031202001AT</t>
  </si>
  <si>
    <t>031202401AT</t>
  </si>
  <si>
    <t>031202501AT</t>
  </si>
  <si>
    <t>031242401AT</t>
  </si>
  <si>
    <t>031252501AT</t>
  </si>
  <si>
    <t>031241201AT</t>
  </si>
  <si>
    <t>031201501AT</t>
  </si>
  <si>
    <t>031241501AT</t>
  </si>
  <si>
    <t>031181601AT</t>
  </si>
  <si>
    <t>031201601AT</t>
  </si>
  <si>
    <t>031241601AT</t>
  </si>
  <si>
    <t>031251601AT</t>
  </si>
  <si>
    <t>031241801AT</t>
  </si>
  <si>
    <t>031242001AT</t>
  </si>
  <si>
    <t>031252001AT</t>
  </si>
  <si>
    <t>031122402AT</t>
  </si>
  <si>
    <t>031152002AT</t>
  </si>
  <si>
    <t>031152402AT</t>
  </si>
  <si>
    <t>031161602AT</t>
  </si>
  <si>
    <t>031161802AT</t>
  </si>
  <si>
    <t>031162002AT</t>
  </si>
  <si>
    <t>031162402AT</t>
  </si>
  <si>
    <t>031162502AT</t>
  </si>
  <si>
    <t>031182402AT</t>
  </si>
  <si>
    <t>031202002AT</t>
  </si>
  <si>
    <t>031202402AT</t>
  </si>
  <si>
    <t>031202502AT</t>
  </si>
  <si>
    <t>031242402AT</t>
  </si>
  <si>
    <t>031252502AT</t>
  </si>
  <si>
    <t>031241202AT</t>
  </si>
  <si>
    <t>031201502AT</t>
  </si>
  <si>
    <t>031241502AT</t>
  </si>
  <si>
    <t>031181602AT</t>
  </si>
  <si>
    <t>031201602AT</t>
  </si>
  <si>
    <t>031241602AT</t>
  </si>
  <si>
    <t>031251602AT</t>
  </si>
  <si>
    <t>031241802AT</t>
  </si>
  <si>
    <t>031242002AT</t>
  </si>
  <si>
    <t>031252002AT</t>
  </si>
  <si>
    <t>031122403AT</t>
  </si>
  <si>
    <t>031152003AT</t>
  </si>
  <si>
    <t>031152403AT</t>
  </si>
  <si>
    <t>031161603AT</t>
  </si>
  <si>
    <t>031161803AT</t>
  </si>
  <si>
    <t>031162003AT</t>
  </si>
  <si>
    <t>031162403AT</t>
  </si>
  <si>
    <t>031162503AT</t>
  </si>
  <si>
    <t>031182403AT</t>
  </si>
  <si>
    <t>031202003AT</t>
  </si>
  <si>
    <t>031202403AT</t>
  </si>
  <si>
    <t>031202503AT</t>
  </si>
  <si>
    <t>031242403AT</t>
  </si>
  <si>
    <t>031252503AT</t>
  </si>
  <si>
    <t>031241203AT</t>
  </si>
  <si>
    <t>031201503AT</t>
  </si>
  <si>
    <t>031241503AT</t>
  </si>
  <si>
    <t>031181603AT</t>
  </si>
  <si>
    <t>031201603AT</t>
  </si>
  <si>
    <t>031241603AT</t>
  </si>
  <si>
    <t>031251603AT</t>
  </si>
  <si>
    <t>031241803AT</t>
  </si>
  <si>
    <t>031242003AT</t>
  </si>
  <si>
    <t>031252003AT</t>
  </si>
  <si>
    <t>031122404AT</t>
  </si>
  <si>
    <t>031152004AT</t>
  </si>
  <si>
    <t>031152404AT</t>
  </si>
  <si>
    <t>031161604AT</t>
  </si>
  <si>
    <t>031161804AT</t>
  </si>
  <si>
    <t>031162004AT</t>
  </si>
  <si>
    <t>031162404AT</t>
  </si>
  <si>
    <t>031162504AT</t>
  </si>
  <si>
    <t>031182404AT</t>
  </si>
  <si>
    <t>031202004AT</t>
  </si>
  <si>
    <t>031202404AT</t>
  </si>
  <si>
    <t>031202504AT</t>
  </si>
  <si>
    <t>031242404AT</t>
  </si>
  <si>
    <t>031252504AT</t>
  </si>
  <si>
    <t>031241204AT</t>
  </si>
  <si>
    <t>031201504AT</t>
  </si>
  <si>
    <t>031241504AT</t>
  </si>
  <si>
    <t>031181604AT</t>
  </si>
  <si>
    <t>031201604AT</t>
  </si>
  <si>
    <t>031241604AT</t>
  </si>
  <si>
    <t>031251604AT</t>
  </si>
  <si>
    <t>031241804AT</t>
  </si>
  <si>
    <t>031242004AT</t>
  </si>
  <si>
    <t>031252004AT</t>
  </si>
  <si>
    <t>031122405AT</t>
  </si>
  <si>
    <t>031152005AT</t>
  </si>
  <si>
    <t>031152405AT</t>
  </si>
  <si>
    <t>031161605AT</t>
  </si>
  <si>
    <t>031161805AT</t>
  </si>
  <si>
    <t>031162005AT</t>
  </si>
  <si>
    <t>031162405AT</t>
  </si>
  <si>
    <t>031162505AT</t>
  </si>
  <si>
    <t>031182405AT</t>
  </si>
  <si>
    <t>031202005AT</t>
  </si>
  <si>
    <t>031202405AT</t>
  </si>
  <si>
    <t>031202505AT</t>
  </si>
  <si>
    <t>031242405AT</t>
  </si>
  <si>
    <t>031252505AT</t>
  </si>
  <si>
    <t>031241205AT</t>
  </si>
  <si>
    <t>031201505AT</t>
  </si>
  <si>
    <t>031241505AT</t>
  </si>
  <si>
    <t>031181605AT</t>
  </si>
  <si>
    <t>031201605AT</t>
  </si>
  <si>
    <t>031241605AT</t>
  </si>
  <si>
    <t>031251605AT</t>
  </si>
  <si>
    <t>031241805AT</t>
  </si>
  <si>
    <t>031242005AT</t>
  </si>
  <si>
    <t>031252005AT</t>
  </si>
  <si>
    <t>031122406AT</t>
  </si>
  <si>
    <t>031152006AT</t>
  </si>
  <si>
    <t>031152406AT</t>
  </si>
  <si>
    <t>031161606AT</t>
  </si>
  <si>
    <t>031161806AT</t>
  </si>
  <si>
    <t>031162006AT</t>
  </si>
  <si>
    <t>031162406AT</t>
  </si>
  <si>
    <t>031162506AT</t>
  </si>
  <si>
    <t>031182406AT</t>
  </si>
  <si>
    <t>031202006AT</t>
  </si>
  <si>
    <t>031202406AT</t>
  </si>
  <si>
    <t>031202506AT</t>
  </si>
  <si>
    <t>031242406AT</t>
  </si>
  <si>
    <t>031252506AT</t>
  </si>
  <si>
    <t>031241206AT</t>
  </si>
  <si>
    <t>031201506AT</t>
  </si>
  <si>
    <t>031241506AT</t>
  </si>
  <si>
    <t>031181606AT</t>
  </si>
  <si>
    <t>031201606AT</t>
  </si>
  <si>
    <t>031241606AT</t>
  </si>
  <si>
    <t>031251606AT</t>
  </si>
  <si>
    <t>031241806AT</t>
  </si>
  <si>
    <t>031242006AT</t>
  </si>
  <si>
    <t>031252006AT</t>
  </si>
  <si>
    <t>031122407AT</t>
  </si>
  <si>
    <t>031152007AT</t>
  </si>
  <si>
    <t>031152407AT</t>
  </si>
  <si>
    <t>031161607AT</t>
  </si>
  <si>
    <t>031161807AT</t>
  </si>
  <si>
    <t>031162007AT</t>
  </si>
  <si>
    <t>031162407AT</t>
  </si>
  <si>
    <t>031162507AT</t>
  </si>
  <si>
    <t>031182407AT</t>
  </si>
  <si>
    <t>031202007AT</t>
  </si>
  <si>
    <t>031202407AT</t>
  </si>
  <si>
    <t>031202507AT</t>
  </si>
  <si>
    <t>031242407AT</t>
  </si>
  <si>
    <t>031252507AT</t>
  </si>
  <si>
    <t>031241207AT</t>
  </si>
  <si>
    <t>031201507AT</t>
  </si>
  <si>
    <t>031241507AT</t>
  </si>
  <si>
    <t>031181607AT</t>
  </si>
  <si>
    <t>031201607AT</t>
  </si>
  <si>
    <t>031241607AT</t>
  </si>
  <si>
    <t>031251607AT</t>
  </si>
  <si>
    <t>031241807AT</t>
  </si>
  <si>
    <t>031242007AT</t>
  </si>
  <si>
    <t>031252007AT</t>
  </si>
  <si>
    <t>031122408AT</t>
  </si>
  <si>
    <t>031152008AT</t>
  </si>
  <si>
    <t>031152408AT</t>
  </si>
  <si>
    <t>031161608AT</t>
  </si>
  <si>
    <t>031161808AT</t>
  </si>
  <si>
    <t>031162008AT</t>
  </si>
  <si>
    <t>031162408AT</t>
  </si>
  <si>
    <t>031162508AT</t>
  </si>
  <si>
    <t>031182408AT</t>
  </si>
  <si>
    <t>031202008AT</t>
  </si>
  <si>
    <t>031202408AT</t>
  </si>
  <si>
    <t>031202508AT</t>
  </si>
  <si>
    <t>031242408AT</t>
  </si>
  <si>
    <t>031252508AT</t>
  </si>
  <si>
    <t>031241208AT</t>
  </si>
  <si>
    <t>031201508AT</t>
  </si>
  <si>
    <t>031241508AT</t>
  </si>
  <si>
    <t>031181608AT</t>
  </si>
  <si>
    <t>031201608AT</t>
  </si>
  <si>
    <t>031241608AT</t>
  </si>
  <si>
    <t>031251608AT</t>
  </si>
  <si>
    <t>031241808AT</t>
  </si>
  <si>
    <t>031242008AT</t>
  </si>
  <si>
    <t>031252008AT</t>
  </si>
  <si>
    <t>031122409AT</t>
  </si>
  <si>
    <t>031152009AT</t>
  </si>
  <si>
    <t>031152409AT</t>
  </si>
  <si>
    <t>031161609AT</t>
  </si>
  <si>
    <t>031161809AT</t>
  </si>
  <si>
    <t>031162009AT</t>
  </si>
  <si>
    <t>031162409AT</t>
  </si>
  <si>
    <t>031162509AT</t>
  </si>
  <si>
    <t>031182409AT</t>
  </si>
  <si>
    <t>031202009AT</t>
  </si>
  <si>
    <t>031202409AT</t>
  </si>
  <si>
    <t>031202509AT</t>
  </si>
  <si>
    <t>031242409AT</t>
  </si>
  <si>
    <t>031252509AT</t>
  </si>
  <si>
    <t>031241209AT</t>
  </si>
  <si>
    <t>031201509AT</t>
  </si>
  <si>
    <t>031241509AT</t>
  </si>
  <si>
    <t>031181609AT</t>
  </si>
  <si>
    <t>031201609AT</t>
  </si>
  <si>
    <t>031241609AT</t>
  </si>
  <si>
    <t>031251609AT</t>
  </si>
  <si>
    <t>031241809AT</t>
  </si>
  <si>
    <t>031242009AT</t>
  </si>
  <si>
    <t>031252009AT</t>
  </si>
  <si>
    <t>031122410AT</t>
  </si>
  <si>
    <t>031152010AT</t>
  </si>
  <si>
    <t>031152410AT</t>
  </si>
  <si>
    <t>031161610AT</t>
  </si>
  <si>
    <t>031161810AT</t>
  </si>
  <si>
    <t>031162010AT</t>
  </si>
  <si>
    <t>031162410AT</t>
  </si>
  <si>
    <t>031162510AT</t>
  </si>
  <si>
    <t>031182410AT</t>
  </si>
  <si>
    <t>031202010AT</t>
  </si>
  <si>
    <t>031202410AT</t>
  </si>
  <si>
    <t>031202510AT</t>
  </si>
  <si>
    <t>031242410AT</t>
  </si>
  <si>
    <t>031252510AT</t>
  </si>
  <si>
    <t>031241210AT</t>
  </si>
  <si>
    <t>031201510AT</t>
  </si>
  <si>
    <t>031241510AT</t>
  </si>
  <si>
    <t>031181610AT</t>
  </si>
  <si>
    <t>031201610AT</t>
  </si>
  <si>
    <t>031241610AT</t>
  </si>
  <si>
    <t>031251610AT</t>
  </si>
  <si>
    <t>031241810AT</t>
  </si>
  <si>
    <t>031242010AT</t>
  </si>
  <si>
    <t>031252010AT</t>
  </si>
  <si>
    <t>031122411AT</t>
  </si>
  <si>
    <t>031152011AT</t>
  </si>
  <si>
    <t>031152411AT</t>
  </si>
  <si>
    <t>031161611AT</t>
  </si>
  <si>
    <t>031161811AT</t>
  </si>
  <si>
    <t>031162011AT</t>
  </si>
  <si>
    <t>031162411AT</t>
  </si>
  <si>
    <t>031162511AT</t>
  </si>
  <si>
    <t>031182411AT</t>
  </si>
  <si>
    <t>031202011AT</t>
  </si>
  <si>
    <t>031202411AT</t>
  </si>
  <si>
    <t>031202511AT</t>
  </si>
  <si>
    <t>031242411AT</t>
  </si>
  <si>
    <t>031252511AT</t>
  </si>
  <si>
    <t>031241211AT</t>
  </si>
  <si>
    <t>031201511AT</t>
  </si>
  <si>
    <t>031241511AT</t>
  </si>
  <si>
    <t>031181611AT</t>
  </si>
  <si>
    <t>031201611AT</t>
  </si>
  <si>
    <t>031241611AT</t>
  </si>
  <si>
    <t>031251611AT</t>
  </si>
  <si>
    <t>031241811AT</t>
  </si>
  <si>
    <t>031242011AT</t>
  </si>
  <si>
    <t>031252011AT</t>
  </si>
  <si>
    <t>031122412AT</t>
  </si>
  <si>
    <t>031152012AT</t>
  </si>
  <si>
    <t>031152412AT</t>
  </si>
  <si>
    <t>031161612AT</t>
  </si>
  <si>
    <t>031161812AT</t>
  </si>
  <si>
    <t>031162012AT</t>
  </si>
  <si>
    <t>031162412AT</t>
  </si>
  <si>
    <t>031162512AT</t>
  </si>
  <si>
    <t>031182412AT</t>
  </si>
  <si>
    <t>031202012AT</t>
  </si>
  <si>
    <t>031202412AT</t>
  </si>
  <si>
    <t>031202512AT</t>
  </si>
  <si>
    <t>031242412AT</t>
  </si>
  <si>
    <t>031252512AT</t>
  </si>
  <si>
    <t>031241212AT</t>
  </si>
  <si>
    <t>031201512AT</t>
  </si>
  <si>
    <t>031241512AT</t>
  </si>
  <si>
    <t>031181612AT</t>
  </si>
  <si>
    <t>031201612AT</t>
  </si>
  <si>
    <t>031241612AT</t>
  </si>
  <si>
    <t>031251612AT</t>
  </si>
  <si>
    <t>031241812AT</t>
  </si>
  <si>
    <t>031242012AT</t>
  </si>
  <si>
    <t>031252012AT</t>
  </si>
  <si>
    <t>031122413AT</t>
  </si>
  <si>
    <t>031152013AT</t>
  </si>
  <si>
    <t>031152413AT</t>
  </si>
  <si>
    <t>031161613AT</t>
  </si>
  <si>
    <t>031161813AT</t>
  </si>
  <si>
    <t>031162013AT</t>
  </si>
  <si>
    <t>031162413AT</t>
  </si>
  <si>
    <t>031162513AT</t>
  </si>
  <si>
    <t>031182413AT</t>
  </si>
  <si>
    <t>031202013AT</t>
  </si>
  <si>
    <t>031202413AT</t>
  </si>
  <si>
    <t>031202513AT</t>
  </si>
  <si>
    <t>031242413AT</t>
  </si>
  <si>
    <t>031252513AT</t>
  </si>
  <si>
    <t>031241213AT</t>
  </si>
  <si>
    <t>031201513AT</t>
  </si>
  <si>
    <t>031241513AT</t>
  </si>
  <si>
    <t>031181613AT</t>
  </si>
  <si>
    <t>031201613AT</t>
  </si>
  <si>
    <t>031241613AT</t>
  </si>
  <si>
    <t>031251613AT</t>
  </si>
  <si>
    <t>031241813AT</t>
  </si>
  <si>
    <t>031242013AT</t>
  </si>
  <si>
    <t>031252013AT</t>
  </si>
  <si>
    <t>031122414AT</t>
  </si>
  <si>
    <t>031152014AT</t>
  </si>
  <si>
    <t>031152414AT</t>
  </si>
  <si>
    <t>031161614AT</t>
  </si>
  <si>
    <t>031161814AT</t>
  </si>
  <si>
    <t>031162014AT</t>
  </si>
  <si>
    <t>031162414AT</t>
  </si>
  <si>
    <t>031162514AT</t>
  </si>
  <si>
    <t>031182414AT</t>
  </si>
  <si>
    <t>031202014AT</t>
  </si>
  <si>
    <t>031202414AT</t>
  </si>
  <si>
    <t>031202514AT</t>
  </si>
  <si>
    <t>031242414AT</t>
  </si>
  <si>
    <t>031252514AT</t>
  </si>
  <si>
    <t>031241214AT</t>
  </si>
  <si>
    <t>031201514AT</t>
  </si>
  <si>
    <t>031241514AT</t>
  </si>
  <si>
    <t>031181614AT</t>
  </si>
  <si>
    <t>031201614AT</t>
  </si>
  <si>
    <t>031241614AT</t>
  </si>
  <si>
    <t>031251614AT</t>
  </si>
  <si>
    <t>031241814AT</t>
  </si>
  <si>
    <t>031242014AT</t>
  </si>
  <si>
    <t>031252014AT</t>
  </si>
  <si>
    <t>031122415AT</t>
  </si>
  <si>
    <t>031152015AT</t>
  </si>
  <si>
    <t>031152415AT</t>
  </si>
  <si>
    <t>031161615AT</t>
  </si>
  <si>
    <t>031161815AT</t>
  </si>
  <si>
    <t>031162015AT</t>
  </si>
  <si>
    <t>031162415AT</t>
  </si>
  <si>
    <t>031162515AT</t>
  </si>
  <si>
    <t>031182415AT</t>
  </si>
  <si>
    <t>031202015AT</t>
  </si>
  <si>
    <t>031202415AT</t>
  </si>
  <si>
    <t>031202515AT</t>
  </si>
  <si>
    <t>031242415AT</t>
  </si>
  <si>
    <t>031252515AT</t>
  </si>
  <si>
    <t>031241215AT</t>
  </si>
  <si>
    <t>031201515AT</t>
  </si>
  <si>
    <t>031241515AT</t>
  </si>
  <si>
    <t>031181615AT</t>
  </si>
  <si>
    <t>031201615AT</t>
  </si>
  <si>
    <t>031241615AT</t>
  </si>
  <si>
    <t>031251615AT</t>
  </si>
  <si>
    <t>031241815AT</t>
  </si>
  <si>
    <t>031242015AT</t>
  </si>
  <si>
    <t>031252015AT</t>
  </si>
  <si>
    <t>031122416AT</t>
  </si>
  <si>
    <t>031152016AT</t>
  </si>
  <si>
    <t>031152416AT</t>
  </si>
  <si>
    <t>031161616AT</t>
  </si>
  <si>
    <t>031161816AT</t>
  </si>
  <si>
    <t>031162016AT</t>
  </si>
  <si>
    <t>031162416AT</t>
  </si>
  <si>
    <t>031162516AT</t>
  </si>
  <si>
    <t>031182416AT</t>
  </si>
  <si>
    <t>031202016AT</t>
  </si>
  <si>
    <t>031202416AT</t>
  </si>
  <si>
    <t>031202516AT</t>
  </si>
  <si>
    <t>031242416AT</t>
  </si>
  <si>
    <t>031252516AT</t>
  </si>
  <si>
    <t>031241216AT</t>
  </si>
  <si>
    <t>031201516AT</t>
  </si>
  <si>
    <t>031241516AT</t>
  </si>
  <si>
    <t>031181616AT</t>
  </si>
  <si>
    <t>031201616AT</t>
  </si>
  <si>
    <t>031241616AT</t>
  </si>
  <si>
    <t>031251616AT</t>
  </si>
  <si>
    <t>031241816AT</t>
  </si>
  <si>
    <t>031242016AT</t>
  </si>
  <si>
    <t>031252016AT</t>
  </si>
  <si>
    <t>031122417AT</t>
  </si>
  <si>
    <t>031152017AT</t>
  </si>
  <si>
    <t>031152417AT</t>
  </si>
  <si>
    <t>031161617AT</t>
  </si>
  <si>
    <t>031161817AT</t>
  </si>
  <si>
    <t>031162017AT</t>
  </si>
  <si>
    <t>031162417AT</t>
  </si>
  <si>
    <t>031162517AT</t>
  </si>
  <si>
    <t>031182417AT</t>
  </si>
  <si>
    <t>031202017AT</t>
  </si>
  <si>
    <t>031202417AT</t>
  </si>
  <si>
    <t>031202517AT</t>
  </si>
  <si>
    <t>031242417AT</t>
  </si>
  <si>
    <t>031252517AT</t>
  </si>
  <si>
    <t>031241217AT</t>
  </si>
  <si>
    <t>031201517AT</t>
  </si>
  <si>
    <t>031241517AT</t>
  </si>
  <si>
    <t>031181617AT</t>
  </si>
  <si>
    <t>031201617AT</t>
  </si>
  <si>
    <t>031241617AT</t>
  </si>
  <si>
    <t>031251617AT</t>
  </si>
  <si>
    <t>031241817AT</t>
  </si>
  <si>
    <t>031242017AT</t>
  </si>
  <si>
    <t>031252017AT</t>
  </si>
  <si>
    <t>031122418AT</t>
  </si>
  <si>
    <t>031152018AT</t>
  </si>
  <si>
    <t>031152418AT</t>
  </si>
  <si>
    <t>031161618AT</t>
  </si>
  <si>
    <t>031161818AT</t>
  </si>
  <si>
    <t>031162018AT</t>
  </si>
  <si>
    <t>031162418AT</t>
  </si>
  <si>
    <t>031162518AT</t>
  </si>
  <si>
    <t>031182418AT</t>
  </si>
  <si>
    <t>031202018AT</t>
  </si>
  <si>
    <t>031202418AT</t>
  </si>
  <si>
    <t>031202518AT</t>
  </si>
  <si>
    <t>031242418AT</t>
  </si>
  <si>
    <t>031252518AT</t>
  </si>
  <si>
    <t>031241218AT</t>
  </si>
  <si>
    <t>031201518AT</t>
  </si>
  <si>
    <t>031241518AT</t>
  </si>
  <si>
    <t>031181618AT</t>
  </si>
  <si>
    <t>031201618AT</t>
  </si>
  <si>
    <t>031241618AT</t>
  </si>
  <si>
    <t>031251618AT</t>
  </si>
  <si>
    <t>031241818AT</t>
  </si>
  <si>
    <t>031242018AT</t>
  </si>
  <si>
    <t>031252018AT</t>
  </si>
  <si>
    <t>031122419AT</t>
  </si>
  <si>
    <t>031152019AT</t>
  </si>
  <si>
    <t>031152419AT</t>
  </si>
  <si>
    <t>031161619AT</t>
  </si>
  <si>
    <t>031161819AT</t>
  </si>
  <si>
    <t>031162019AT</t>
  </si>
  <si>
    <t>031162419AT</t>
  </si>
  <si>
    <t>031162519AT</t>
  </si>
  <si>
    <t>031182419AT</t>
  </si>
  <si>
    <t>031202019AT</t>
  </si>
  <si>
    <t>031202419AT</t>
  </si>
  <si>
    <t>031202519AT</t>
  </si>
  <si>
    <t>031242419AT</t>
  </si>
  <si>
    <t>031252519AT</t>
  </si>
  <si>
    <t>031241219AT</t>
  </si>
  <si>
    <t>031201519AT</t>
  </si>
  <si>
    <t>031241519AT</t>
  </si>
  <si>
    <t>031181619AT</t>
  </si>
  <si>
    <t>031201619AT</t>
  </si>
  <si>
    <t>031241619AT</t>
  </si>
  <si>
    <t>031251619AT</t>
  </si>
  <si>
    <t>031241819AT</t>
  </si>
  <si>
    <t>031242019AT</t>
  </si>
  <si>
    <t>031252019AT</t>
  </si>
  <si>
    <t>031122420AT</t>
  </si>
  <si>
    <t>031152020AT</t>
  </si>
  <si>
    <t>031152420AT</t>
  </si>
  <si>
    <t>031161620AT</t>
  </si>
  <si>
    <t>031161820AT</t>
  </si>
  <si>
    <t>031162020AT</t>
  </si>
  <si>
    <t>031162420AT</t>
  </si>
  <si>
    <t>031162520AT</t>
  </si>
  <si>
    <t>031182420AT</t>
  </si>
  <si>
    <t>031202020AT</t>
  </si>
  <si>
    <t>031202420AT</t>
  </si>
  <si>
    <t>031202520AT</t>
  </si>
  <si>
    <t>031242420AT</t>
  </si>
  <si>
    <t>031252520AT</t>
  </si>
  <si>
    <t>031241220AT</t>
  </si>
  <si>
    <t>031201520AT</t>
  </si>
  <si>
    <t>031241520AT</t>
  </si>
  <si>
    <t>031181620AT</t>
  </si>
  <si>
    <t>031201620AT</t>
  </si>
  <si>
    <t>031241620AT</t>
  </si>
  <si>
    <t>031251620AT</t>
  </si>
  <si>
    <t>031241820AT</t>
  </si>
  <si>
    <t>031242020AT</t>
  </si>
  <si>
    <t>031252020AT</t>
  </si>
  <si>
    <t>031122421AT</t>
  </si>
  <si>
    <t>031152021AT</t>
  </si>
  <si>
    <t>031152421AT</t>
  </si>
  <si>
    <t>031161621AT</t>
  </si>
  <si>
    <t>031161821AT</t>
  </si>
  <si>
    <t>031162021AT</t>
  </si>
  <si>
    <t>031162421AT</t>
  </si>
  <si>
    <t>031162521AT</t>
  </si>
  <si>
    <t>031182421AT</t>
  </si>
  <si>
    <t>031202021AT</t>
  </si>
  <si>
    <t>031202421AT</t>
  </si>
  <si>
    <t>031202521AT</t>
  </si>
  <si>
    <t>031242421AT</t>
  </si>
  <si>
    <t>031252521AT</t>
  </si>
  <si>
    <t>031241221AT</t>
  </si>
  <si>
    <t>031201521AT</t>
  </si>
  <si>
    <t>031241521AT</t>
  </si>
  <si>
    <t>031181621AT</t>
  </si>
  <si>
    <t>031201621AT</t>
  </si>
  <si>
    <t>031241621AT</t>
  </si>
  <si>
    <t>031251621AT</t>
  </si>
  <si>
    <t>031241821AT</t>
  </si>
  <si>
    <t>031242021AT</t>
  </si>
  <si>
    <t>031252021AT</t>
  </si>
  <si>
    <t>031122422AT</t>
  </si>
  <si>
    <t>031152022AT</t>
  </si>
  <si>
    <t>031152422AT</t>
  </si>
  <si>
    <t>031161622AT</t>
  </si>
  <si>
    <t>031161822AT</t>
  </si>
  <si>
    <t>031162022AT</t>
  </si>
  <si>
    <t>031162422AT</t>
  </si>
  <si>
    <t>031162522AT</t>
  </si>
  <si>
    <t>031182422AT</t>
  </si>
  <si>
    <t>031202022AT</t>
  </si>
  <si>
    <t>031202422AT</t>
  </si>
  <si>
    <t>031202522AT</t>
  </si>
  <si>
    <t>031242422AT</t>
  </si>
  <si>
    <t>031252522AT</t>
  </si>
  <si>
    <t>031241222AT</t>
  </si>
  <si>
    <t>031201522AT</t>
  </si>
  <si>
    <t>031241522AT</t>
  </si>
  <si>
    <t>031181622AT</t>
  </si>
  <si>
    <t>031201622AT</t>
  </si>
  <si>
    <t>031241622AT</t>
  </si>
  <si>
    <t>031251622AT</t>
  </si>
  <si>
    <t>031241822AT</t>
  </si>
  <si>
    <t>031242022AT</t>
  </si>
  <si>
    <t>031252022AT</t>
  </si>
  <si>
    <t>031122423AT</t>
  </si>
  <si>
    <t>031152023AT</t>
  </si>
  <si>
    <t>031152423AT</t>
  </si>
  <si>
    <t>031161623AT</t>
  </si>
  <si>
    <t>031161823AT</t>
  </si>
  <si>
    <t>031162023AT</t>
  </si>
  <si>
    <t>031162423AT</t>
  </si>
  <si>
    <t>031162523AT</t>
  </si>
  <si>
    <t>031182423AT</t>
  </si>
  <si>
    <t>031202023AT</t>
  </si>
  <si>
    <t>031202423AT</t>
  </si>
  <si>
    <t>031202523AT</t>
  </si>
  <si>
    <t>031242423AT</t>
  </si>
  <si>
    <t>031252523AT</t>
  </si>
  <si>
    <t>031241223AT</t>
  </si>
  <si>
    <t>031201523AT</t>
  </si>
  <si>
    <t>031241523AT</t>
  </si>
  <si>
    <t>031181623AT</t>
  </si>
  <si>
    <t>031201623AT</t>
  </si>
  <si>
    <t>031241623AT</t>
  </si>
  <si>
    <t>031251623AT</t>
  </si>
  <si>
    <t>031241823AT</t>
  </si>
  <si>
    <t>031242023AT</t>
  </si>
  <si>
    <t>031252023AT</t>
  </si>
  <si>
    <t>031122424AT</t>
  </si>
  <si>
    <t>031152024AT</t>
  </si>
  <si>
    <t>031152424AT</t>
  </si>
  <si>
    <t>031161624AT</t>
  </si>
  <si>
    <t>031161824AT</t>
  </si>
  <si>
    <t>031162024AT</t>
  </si>
  <si>
    <t>031162424AT</t>
  </si>
  <si>
    <t>031162524AT</t>
  </si>
  <si>
    <t>031182424AT</t>
  </si>
  <si>
    <t>031202024AT</t>
  </si>
  <si>
    <t>031202424AT</t>
  </si>
  <si>
    <t>031202524AT</t>
  </si>
  <si>
    <t>031242424AT</t>
  </si>
  <si>
    <t>031252524AT</t>
  </si>
  <si>
    <t>031241224AT</t>
  </si>
  <si>
    <t>031201524AT</t>
  </si>
  <si>
    <t>031241524AT</t>
  </si>
  <si>
    <t>031181624AT</t>
  </si>
  <si>
    <t>031201624AT</t>
  </si>
  <si>
    <t>031241624AT</t>
  </si>
  <si>
    <t>031251624AT</t>
  </si>
  <si>
    <t>031241824AT</t>
  </si>
  <si>
    <t>031242024AT</t>
  </si>
  <si>
    <t>031252024AT</t>
  </si>
  <si>
    <t>044122401AT</t>
  </si>
  <si>
    <t>044152001AT</t>
  </si>
  <si>
    <t>044152401AT</t>
  </si>
  <si>
    <t>044161601AT</t>
  </si>
  <si>
    <t>044161801AT</t>
  </si>
  <si>
    <t>044162001AT</t>
  </si>
  <si>
    <t>044162401AT</t>
  </si>
  <si>
    <t>044162501AT</t>
  </si>
  <si>
    <t>044182401AT</t>
  </si>
  <si>
    <t>044202001AT</t>
  </si>
  <si>
    <t>044202401AT</t>
  </si>
  <si>
    <t>044202501AT</t>
  </si>
  <si>
    <t>044242401AT</t>
  </si>
  <si>
    <t>044252501AT</t>
  </si>
  <si>
    <t>044241201AT</t>
  </si>
  <si>
    <t>044201501AT</t>
  </si>
  <si>
    <t>044241501AT</t>
  </si>
  <si>
    <t>044181601AT</t>
  </si>
  <si>
    <t>044201601AT</t>
  </si>
  <si>
    <t>044241601AT</t>
  </si>
  <si>
    <t>044251601AT</t>
  </si>
  <si>
    <t>044241801AT</t>
  </si>
  <si>
    <t>044242001AT</t>
  </si>
  <si>
    <t>044252001AT</t>
  </si>
  <si>
    <t>044122402AT</t>
  </si>
  <si>
    <t>044152002AT</t>
  </si>
  <si>
    <t>044152402AT</t>
  </si>
  <si>
    <t>044161602AT</t>
  </si>
  <si>
    <t>044161802AT</t>
  </si>
  <si>
    <t>044162002AT</t>
  </si>
  <si>
    <t>044162402AT</t>
  </si>
  <si>
    <t>044162502AT</t>
  </si>
  <si>
    <t>044182402AT</t>
  </si>
  <si>
    <t>044202002AT</t>
  </si>
  <si>
    <t>044202402AT</t>
  </si>
  <si>
    <t>044202502AT</t>
  </si>
  <si>
    <t>044242402AT</t>
  </si>
  <si>
    <t>044252502AT</t>
  </si>
  <si>
    <t>044241202AT</t>
  </si>
  <si>
    <t>044201502AT</t>
  </si>
  <si>
    <t>044241502AT</t>
  </si>
  <si>
    <t>044181602AT</t>
  </si>
  <si>
    <t>044201602AT</t>
  </si>
  <si>
    <t>044241602AT</t>
  </si>
  <si>
    <t>044251602AT</t>
  </si>
  <si>
    <t>044241802AT</t>
  </si>
  <si>
    <t>044242002AT</t>
  </si>
  <si>
    <t>044252002AT</t>
  </si>
  <si>
    <t>044122403AT</t>
  </si>
  <si>
    <t>044152003AT</t>
  </si>
  <si>
    <t>044152403AT</t>
  </si>
  <si>
    <t>044161603AT</t>
  </si>
  <si>
    <t>044161803AT</t>
  </si>
  <si>
    <t>044162003AT</t>
  </si>
  <si>
    <t>044162403AT</t>
  </si>
  <si>
    <t>044162503AT</t>
  </si>
  <si>
    <t>044182403AT</t>
  </si>
  <si>
    <t>044202003AT</t>
  </si>
  <si>
    <t>044202403AT</t>
  </si>
  <si>
    <t>044202503AT</t>
  </si>
  <si>
    <t>044242403AT</t>
  </si>
  <si>
    <t>044252503AT</t>
  </si>
  <si>
    <t>044241203AT</t>
  </si>
  <si>
    <t>044201503AT</t>
  </si>
  <si>
    <t>044241503AT</t>
  </si>
  <si>
    <t>044181603AT</t>
  </si>
  <si>
    <t>044201603AT</t>
  </si>
  <si>
    <t>044241603AT</t>
  </si>
  <si>
    <t>044251603AT</t>
  </si>
  <si>
    <t>044241803AT</t>
  </si>
  <si>
    <t>044242003AT</t>
  </si>
  <si>
    <t>044252003AT</t>
  </si>
  <si>
    <t>044122404AT</t>
  </si>
  <si>
    <t>044152004AT</t>
  </si>
  <si>
    <t>044152404AT</t>
  </si>
  <si>
    <t>044161604AT</t>
  </si>
  <si>
    <t>044161804AT</t>
  </si>
  <si>
    <t>044162004AT</t>
  </si>
  <si>
    <t>044162404AT</t>
  </si>
  <si>
    <t>044162504AT</t>
  </si>
  <si>
    <t>044182404AT</t>
  </si>
  <si>
    <t>044202004AT</t>
  </si>
  <si>
    <t>044202404AT</t>
  </si>
  <si>
    <t>044202504AT</t>
  </si>
  <si>
    <t>044242404AT</t>
  </si>
  <si>
    <t>044252504AT</t>
  </si>
  <si>
    <t>044241204AT</t>
  </si>
  <si>
    <t>044201504AT</t>
  </si>
  <si>
    <t>044241504AT</t>
  </si>
  <si>
    <t>044181604AT</t>
  </si>
  <si>
    <t>044201604AT</t>
  </si>
  <si>
    <t>044241604AT</t>
  </si>
  <si>
    <t>044251604AT</t>
  </si>
  <si>
    <t>044241804AT</t>
  </si>
  <si>
    <t>044242004AT</t>
  </si>
  <si>
    <t>044252004AT</t>
  </si>
  <si>
    <t>044122405AT</t>
  </si>
  <si>
    <t>044152005AT</t>
  </si>
  <si>
    <t>044152405AT</t>
  </si>
  <si>
    <t>044161605AT</t>
  </si>
  <si>
    <t>044161805AT</t>
  </si>
  <si>
    <t>044162005AT</t>
  </si>
  <si>
    <t>044162405AT</t>
  </si>
  <si>
    <t>044162505AT</t>
  </si>
  <si>
    <t>044182405AT</t>
  </si>
  <si>
    <t>044202005AT</t>
  </si>
  <si>
    <t>044202405AT</t>
  </si>
  <si>
    <t>044202505AT</t>
  </si>
  <si>
    <t>044242405AT</t>
  </si>
  <si>
    <t>044252505AT</t>
  </si>
  <si>
    <t>044241205AT</t>
  </si>
  <si>
    <t>044201505AT</t>
  </si>
  <si>
    <t>044241505AT</t>
  </si>
  <si>
    <t>044181605AT</t>
  </si>
  <si>
    <t>044201605AT</t>
  </si>
  <si>
    <t>044241605AT</t>
  </si>
  <si>
    <t>044251605AT</t>
  </si>
  <si>
    <t>044241805AT</t>
  </si>
  <si>
    <t>044242005AT</t>
  </si>
  <si>
    <t>044252005AT</t>
  </si>
  <si>
    <t>044122406AT</t>
  </si>
  <si>
    <t>044152006AT</t>
  </si>
  <si>
    <t>044152406AT</t>
  </si>
  <si>
    <t>044161606AT</t>
  </si>
  <si>
    <t>044161806AT</t>
  </si>
  <si>
    <t>044162006AT</t>
  </si>
  <si>
    <t>044162406AT</t>
  </si>
  <si>
    <t>044162506AT</t>
  </si>
  <si>
    <t>044182406AT</t>
  </si>
  <si>
    <t>044202006AT</t>
  </si>
  <si>
    <t>044202406AT</t>
  </si>
  <si>
    <t>044202506AT</t>
  </si>
  <si>
    <t>044242406AT</t>
  </si>
  <si>
    <t>044252506AT</t>
  </si>
  <si>
    <t>044241206AT</t>
  </si>
  <si>
    <t>044201506AT</t>
  </si>
  <si>
    <t>044241506AT</t>
  </si>
  <si>
    <t>044181606AT</t>
  </si>
  <si>
    <t>044201606AT</t>
  </si>
  <si>
    <t>044241606AT</t>
  </si>
  <si>
    <t>044251606AT</t>
  </si>
  <si>
    <t>044241806AT</t>
  </si>
  <si>
    <t>044242006AT</t>
  </si>
  <si>
    <t>044252006AT</t>
  </si>
  <si>
    <t>044122407AT</t>
  </si>
  <si>
    <t>044152007AT</t>
  </si>
  <si>
    <t>044152407AT</t>
  </si>
  <si>
    <t>044161607AT</t>
  </si>
  <si>
    <t>044161807AT</t>
  </si>
  <si>
    <t>044162007AT</t>
  </si>
  <si>
    <t>044162407AT</t>
  </si>
  <si>
    <t>044162507AT</t>
  </si>
  <si>
    <t>044182407AT</t>
  </si>
  <si>
    <t>044202007AT</t>
  </si>
  <si>
    <t>044202407AT</t>
  </si>
  <si>
    <t>044202507AT</t>
  </si>
  <si>
    <t>044242407AT</t>
  </si>
  <si>
    <t>044252507AT</t>
  </si>
  <si>
    <t>044241207AT</t>
  </si>
  <si>
    <t>044201507AT</t>
  </si>
  <si>
    <t>044241507AT</t>
  </si>
  <si>
    <t>044181607AT</t>
  </si>
  <si>
    <t>044201607AT</t>
  </si>
  <si>
    <t>044241607AT</t>
  </si>
  <si>
    <t>044251607AT</t>
  </si>
  <si>
    <t>044241807AT</t>
  </si>
  <si>
    <t>044242007AT</t>
  </si>
  <si>
    <t>044252007AT</t>
  </si>
  <si>
    <t>044122408AT</t>
  </si>
  <si>
    <t>044152008AT</t>
  </si>
  <si>
    <t>044152408AT</t>
  </si>
  <si>
    <t>044161608AT</t>
  </si>
  <si>
    <t>044161808AT</t>
  </si>
  <si>
    <t>044162008AT</t>
  </si>
  <si>
    <t>044162408AT</t>
  </si>
  <si>
    <t>044162508AT</t>
  </si>
  <si>
    <t>044182408AT</t>
  </si>
  <si>
    <t>044202008AT</t>
  </si>
  <si>
    <t>044202408AT</t>
  </si>
  <si>
    <t>044202508AT</t>
  </si>
  <si>
    <t>044242408AT</t>
  </si>
  <si>
    <t>044252508AT</t>
  </si>
  <si>
    <t>044241208AT</t>
  </si>
  <si>
    <t>044201508AT</t>
  </si>
  <si>
    <t>044241508AT</t>
  </si>
  <si>
    <t>044181608AT</t>
  </si>
  <si>
    <t>044201608AT</t>
  </si>
  <si>
    <t>044241608AT</t>
  </si>
  <si>
    <t>044251608AT</t>
  </si>
  <si>
    <t>044241808AT</t>
  </si>
  <si>
    <t>044242008AT</t>
  </si>
  <si>
    <t>044252008AT</t>
  </si>
  <si>
    <t>044122409AT</t>
  </si>
  <si>
    <t>044152009AT</t>
  </si>
  <si>
    <t>044152409AT</t>
  </si>
  <si>
    <t>044161609AT</t>
  </si>
  <si>
    <t>044161809AT</t>
  </si>
  <si>
    <t>044162009AT</t>
  </si>
  <si>
    <t>044162409AT</t>
  </si>
  <si>
    <t>044162509AT</t>
  </si>
  <si>
    <t>044182409AT</t>
  </si>
  <si>
    <t>044202009AT</t>
  </si>
  <si>
    <t>044202409AT</t>
  </si>
  <si>
    <t>044202509AT</t>
  </si>
  <si>
    <t>044242409AT</t>
  </si>
  <si>
    <t>044252509AT</t>
  </si>
  <si>
    <t>044241209AT</t>
  </si>
  <si>
    <t>044201509AT</t>
  </si>
  <si>
    <t>044241509AT</t>
  </si>
  <si>
    <t>044181609AT</t>
  </si>
  <si>
    <t>044201609AT</t>
  </si>
  <si>
    <t>044241609AT</t>
  </si>
  <si>
    <t>044251609AT</t>
  </si>
  <si>
    <t>044241809AT</t>
  </si>
  <si>
    <t>044242009AT</t>
  </si>
  <si>
    <t>044252009AT</t>
  </si>
  <si>
    <t>044122410AT</t>
  </si>
  <si>
    <t>044152010AT</t>
  </si>
  <si>
    <t>044152410AT</t>
  </si>
  <si>
    <t>044161610AT</t>
  </si>
  <si>
    <t>044161810AT</t>
  </si>
  <si>
    <t>044162010AT</t>
  </si>
  <si>
    <t>044162410AT</t>
  </si>
  <si>
    <t>044162510AT</t>
  </si>
  <si>
    <t>044182410AT</t>
  </si>
  <si>
    <t>044202010AT</t>
  </si>
  <si>
    <t>044202410AT</t>
  </si>
  <si>
    <t>044202510AT</t>
  </si>
  <si>
    <t>044242410AT</t>
  </si>
  <si>
    <t>044252510AT</t>
  </si>
  <si>
    <t>044241210AT</t>
  </si>
  <si>
    <t>044201510AT</t>
  </si>
  <si>
    <t>044241510AT</t>
  </si>
  <si>
    <t>044181610AT</t>
  </si>
  <si>
    <t>044201610AT</t>
  </si>
  <si>
    <t>044241610AT</t>
  </si>
  <si>
    <t>044251610AT</t>
  </si>
  <si>
    <t>044241810AT</t>
  </si>
  <si>
    <t>044242010AT</t>
  </si>
  <si>
    <t>044252010AT</t>
  </si>
  <si>
    <t>044122411AT</t>
  </si>
  <si>
    <t>044152011AT</t>
  </si>
  <si>
    <t>044152411AT</t>
  </si>
  <si>
    <t>044161611AT</t>
  </si>
  <si>
    <t>044161811AT</t>
  </si>
  <si>
    <t>044162011AT</t>
  </si>
  <si>
    <t>044162411AT</t>
  </si>
  <si>
    <t>044162511AT</t>
  </si>
  <si>
    <t>044182411AT</t>
  </si>
  <si>
    <t>044202011AT</t>
  </si>
  <si>
    <t>044202411AT</t>
  </si>
  <si>
    <t>044202511AT</t>
  </si>
  <si>
    <t>044242411AT</t>
  </si>
  <si>
    <t>044252511AT</t>
  </si>
  <si>
    <t>044241211AT</t>
  </si>
  <si>
    <t>044201511AT</t>
  </si>
  <si>
    <t>044241511AT</t>
  </si>
  <si>
    <t>044181611AT</t>
  </si>
  <si>
    <t>044201611AT</t>
  </si>
  <si>
    <t>044241611AT</t>
  </si>
  <si>
    <t>044251611AT</t>
  </si>
  <si>
    <t>044241811AT</t>
  </si>
  <si>
    <t>044242011AT</t>
  </si>
  <si>
    <t>044252011AT</t>
  </si>
  <si>
    <t>044122412AT</t>
  </si>
  <si>
    <t>044152012AT</t>
  </si>
  <si>
    <t>044152412AT</t>
  </si>
  <si>
    <t>044161612AT</t>
  </si>
  <si>
    <t>044161812AT</t>
  </si>
  <si>
    <t>044162012AT</t>
  </si>
  <si>
    <t>044162412AT</t>
  </si>
  <si>
    <t>044162512AT</t>
  </si>
  <si>
    <t>044182412AT</t>
  </si>
  <si>
    <t>044202012AT</t>
  </si>
  <si>
    <t>044202412AT</t>
  </si>
  <si>
    <t>044202512AT</t>
  </si>
  <si>
    <t>044242412AT</t>
  </si>
  <si>
    <t>044252512AT</t>
  </si>
  <si>
    <t>044241212AT</t>
  </si>
  <si>
    <t>044201512AT</t>
  </si>
  <si>
    <t>044241512AT</t>
  </si>
  <si>
    <t>044181612AT</t>
  </si>
  <si>
    <t>044201612AT</t>
  </si>
  <si>
    <t>044241612AT</t>
  </si>
  <si>
    <t>044251612AT</t>
  </si>
  <si>
    <t>044241812AT</t>
  </si>
  <si>
    <t>044242012AT</t>
  </si>
  <si>
    <t>044252012AT</t>
  </si>
  <si>
    <t>044122413AT</t>
  </si>
  <si>
    <t>044152013AT</t>
  </si>
  <si>
    <t>044152413AT</t>
  </si>
  <si>
    <t>044161613AT</t>
  </si>
  <si>
    <t>044161813AT</t>
  </si>
  <si>
    <t>044162013AT</t>
  </si>
  <si>
    <t>044162413AT</t>
  </si>
  <si>
    <t>044162513AT</t>
  </si>
  <si>
    <t>044182413AT</t>
  </si>
  <si>
    <t>044202013AT</t>
  </si>
  <si>
    <t>044202413AT</t>
  </si>
  <si>
    <t>044202513AT</t>
  </si>
  <si>
    <t>044242413AT</t>
  </si>
  <si>
    <t>044252513AT</t>
  </si>
  <si>
    <t>044241213AT</t>
  </si>
  <si>
    <t>044201513AT</t>
  </si>
  <si>
    <t>044241513AT</t>
  </si>
  <si>
    <t>044181613AT</t>
  </si>
  <si>
    <t>044201613AT</t>
  </si>
  <si>
    <t>044241613AT</t>
  </si>
  <si>
    <t>044251613AT</t>
  </si>
  <si>
    <t>044241813AT</t>
  </si>
  <si>
    <t>044242013AT</t>
  </si>
  <si>
    <t>044252013AT</t>
  </si>
  <si>
    <t>044122414AT</t>
  </si>
  <si>
    <t>044152014AT</t>
  </si>
  <si>
    <t>044152414AT</t>
  </si>
  <si>
    <t>044161614AT</t>
  </si>
  <si>
    <t>044161814AT</t>
  </si>
  <si>
    <t>044162014AT</t>
  </si>
  <si>
    <t>044162414AT</t>
  </si>
  <si>
    <t>044162514AT</t>
  </si>
  <si>
    <t>044182414AT</t>
  </si>
  <si>
    <t>044202014AT</t>
  </si>
  <si>
    <t>044202414AT</t>
  </si>
  <si>
    <t>044202514AT</t>
  </si>
  <si>
    <t>044242414AT</t>
  </si>
  <si>
    <t>044252514AT</t>
  </si>
  <si>
    <t>044241214AT</t>
  </si>
  <si>
    <t>044201514AT</t>
  </si>
  <si>
    <t>044241514AT</t>
  </si>
  <si>
    <t>044181614AT</t>
  </si>
  <si>
    <t>044201614AT</t>
  </si>
  <si>
    <t>044241614AT</t>
  </si>
  <si>
    <t>044251614AT</t>
  </si>
  <si>
    <t>044241814AT</t>
  </si>
  <si>
    <t>044242014AT</t>
  </si>
  <si>
    <t>044252014AT</t>
  </si>
  <si>
    <t>044122415AT</t>
  </si>
  <si>
    <t>044152015AT</t>
  </si>
  <si>
    <t>044152415AT</t>
  </si>
  <si>
    <t>044161615AT</t>
  </si>
  <si>
    <t>044161815AT</t>
  </si>
  <si>
    <t>044162015AT</t>
  </si>
  <si>
    <t>044162415AT</t>
  </si>
  <si>
    <t>044162515AT</t>
  </si>
  <si>
    <t>044182415AT</t>
  </si>
  <si>
    <t>044202015AT</t>
  </si>
  <si>
    <t>044202415AT</t>
  </si>
  <si>
    <t>044202515AT</t>
  </si>
  <si>
    <t>044242415AT</t>
  </si>
  <si>
    <t>044252515AT</t>
  </si>
  <si>
    <t>044241215AT</t>
  </si>
  <si>
    <t>044201515AT</t>
  </si>
  <si>
    <t>044241515AT</t>
  </si>
  <si>
    <t>044181615AT</t>
  </si>
  <si>
    <t>044201615AT</t>
  </si>
  <si>
    <t>044241615AT</t>
  </si>
  <si>
    <t>044251615AT</t>
  </si>
  <si>
    <t>044241815AT</t>
  </si>
  <si>
    <t>044242015AT</t>
  </si>
  <si>
    <t>044252015AT</t>
  </si>
  <si>
    <t>044122416AT</t>
  </si>
  <si>
    <t>044152016AT</t>
  </si>
  <si>
    <t>044152416AT</t>
  </si>
  <si>
    <t>044161616AT</t>
  </si>
  <si>
    <t>044161816AT</t>
  </si>
  <si>
    <t>044162016AT</t>
  </si>
  <si>
    <t>044162416AT</t>
  </si>
  <si>
    <t>044162516AT</t>
  </si>
  <si>
    <t>044182416AT</t>
  </si>
  <si>
    <t>044202016AT</t>
  </si>
  <si>
    <t>044202416AT</t>
  </si>
  <si>
    <t>044202516AT</t>
  </si>
  <si>
    <t>044242416AT</t>
  </si>
  <si>
    <t>044252516AT</t>
  </si>
  <si>
    <t>044241216AT</t>
  </si>
  <si>
    <t>044201516AT</t>
  </si>
  <si>
    <t>044241516AT</t>
  </si>
  <si>
    <t>044181616AT</t>
  </si>
  <si>
    <t>044201616AT</t>
  </si>
  <si>
    <t>044241616AT</t>
  </si>
  <si>
    <t>044251616AT</t>
  </si>
  <si>
    <t>044241816AT</t>
  </si>
  <si>
    <t>044242016AT</t>
  </si>
  <si>
    <t>044252016AT</t>
  </si>
  <si>
    <t>044122417AT</t>
  </si>
  <si>
    <t>044152017AT</t>
  </si>
  <si>
    <t>044152417AT</t>
  </si>
  <si>
    <t>044161617AT</t>
  </si>
  <si>
    <t>044161817AT</t>
  </si>
  <si>
    <t>044162017AT</t>
  </si>
  <si>
    <t>044162417AT</t>
  </si>
  <si>
    <t>044162517AT</t>
  </si>
  <si>
    <t>044182417AT</t>
  </si>
  <si>
    <t>044202017AT</t>
  </si>
  <si>
    <t>044202417AT</t>
  </si>
  <si>
    <t>044202517AT</t>
  </si>
  <si>
    <t>044242417AT</t>
  </si>
  <si>
    <t>044252517AT</t>
  </si>
  <si>
    <t>044241217AT</t>
  </si>
  <si>
    <t>044201517AT</t>
  </si>
  <si>
    <t>044241517AT</t>
  </si>
  <si>
    <t>044181617AT</t>
  </si>
  <si>
    <t>044201617AT</t>
  </si>
  <si>
    <t>044241617AT</t>
  </si>
  <si>
    <t>044251617AT</t>
  </si>
  <si>
    <t>044241817AT</t>
  </si>
  <si>
    <t>044242017AT</t>
  </si>
  <si>
    <t>044252017AT</t>
  </si>
  <si>
    <t>044122418AT</t>
  </si>
  <si>
    <t>044152018AT</t>
  </si>
  <si>
    <t>044152418AT</t>
  </si>
  <si>
    <t>044161618AT</t>
  </si>
  <si>
    <t>044161818AT</t>
  </si>
  <si>
    <t>044162018AT</t>
  </si>
  <si>
    <t>044162418AT</t>
  </si>
  <si>
    <t>044162518AT</t>
  </si>
  <si>
    <t>044182418AT</t>
  </si>
  <si>
    <t>044202018AT</t>
  </si>
  <si>
    <t>044202418AT</t>
  </si>
  <si>
    <t>044202518AT</t>
  </si>
  <si>
    <t>044242418AT</t>
  </si>
  <si>
    <t>044252518AT</t>
  </si>
  <si>
    <t>044241218AT</t>
  </si>
  <si>
    <t>044201518AT</t>
  </si>
  <si>
    <t>044241518AT</t>
  </si>
  <si>
    <t>044181618AT</t>
  </si>
  <si>
    <t>044201618AT</t>
  </si>
  <si>
    <t>044241618AT</t>
  </si>
  <si>
    <t>044251618AT</t>
  </si>
  <si>
    <t>044241818AT</t>
  </si>
  <si>
    <t>044242018AT</t>
  </si>
  <si>
    <t>044252018AT</t>
  </si>
  <si>
    <t>044122419AT</t>
  </si>
  <si>
    <t>044152019AT</t>
  </si>
  <si>
    <t>044152419AT</t>
  </si>
  <si>
    <t>044161619AT</t>
  </si>
  <si>
    <t>044161819AT</t>
  </si>
  <si>
    <t>044162019AT</t>
  </si>
  <si>
    <t>044162419AT</t>
  </si>
  <si>
    <t>044162519AT</t>
  </si>
  <si>
    <t>044182419AT</t>
  </si>
  <si>
    <t>044202019AT</t>
  </si>
  <si>
    <t>044202419AT</t>
  </si>
  <si>
    <t>044202519AT</t>
  </si>
  <si>
    <t>044242419AT</t>
  </si>
  <si>
    <t>044252519AT</t>
  </si>
  <si>
    <t>044241219AT</t>
  </si>
  <si>
    <t>044201519AT</t>
  </si>
  <si>
    <t>044241519AT</t>
  </si>
  <si>
    <t>044181619AT</t>
  </si>
  <si>
    <t>044201619AT</t>
  </si>
  <si>
    <t>044241619AT</t>
  </si>
  <si>
    <t>044251619AT</t>
  </si>
  <si>
    <t>044241819AT</t>
  </si>
  <si>
    <t>044242019AT</t>
  </si>
  <si>
    <t>044252019AT</t>
  </si>
  <si>
    <t>044122420AT</t>
  </si>
  <si>
    <t>044152020AT</t>
  </si>
  <si>
    <t>044152420AT</t>
  </si>
  <si>
    <t>044161620AT</t>
  </si>
  <si>
    <t>044161820AT</t>
  </si>
  <si>
    <t>044162020AT</t>
  </si>
  <si>
    <t>044162420AT</t>
  </si>
  <si>
    <t>044162520AT</t>
  </si>
  <si>
    <t>044182420AT</t>
  </si>
  <si>
    <t>044202020AT</t>
  </si>
  <si>
    <t>044202420AT</t>
  </si>
  <si>
    <t>044202520AT</t>
  </si>
  <si>
    <t>044242420AT</t>
  </si>
  <si>
    <t>044252520AT</t>
  </si>
  <si>
    <t>044241220AT</t>
  </si>
  <si>
    <t>044201520AT</t>
  </si>
  <si>
    <t>044241520AT</t>
  </si>
  <si>
    <t>044181620AT</t>
  </si>
  <si>
    <t>044201620AT</t>
  </si>
  <si>
    <t>044241620AT</t>
  </si>
  <si>
    <t>044251620AT</t>
  </si>
  <si>
    <t>044241820AT</t>
  </si>
  <si>
    <t>044242020AT</t>
  </si>
  <si>
    <t>044252020AT</t>
  </si>
  <si>
    <t>044122421AT</t>
  </si>
  <si>
    <t>044152021AT</t>
  </si>
  <si>
    <t>044152421AT</t>
  </si>
  <si>
    <t>044161621AT</t>
  </si>
  <si>
    <t>044161821AT</t>
  </si>
  <si>
    <t>044162021AT</t>
  </si>
  <si>
    <t>044162421AT</t>
  </si>
  <si>
    <t>044162521AT</t>
  </si>
  <si>
    <t>044182421AT</t>
  </si>
  <si>
    <t>044202021AT</t>
  </si>
  <si>
    <t>044202421AT</t>
  </si>
  <si>
    <t>044202521AT</t>
  </si>
  <si>
    <t>044242421AT</t>
  </si>
  <si>
    <t>044252521AT</t>
  </si>
  <si>
    <t>044241221AT</t>
  </si>
  <si>
    <t>044201521AT</t>
  </si>
  <si>
    <t>044241521AT</t>
  </si>
  <si>
    <t>044181621AT</t>
  </si>
  <si>
    <t>044201621AT</t>
  </si>
  <si>
    <t>044241621AT</t>
  </si>
  <si>
    <t>044251621AT</t>
  </si>
  <si>
    <t>044241821AT</t>
  </si>
  <si>
    <t>044242021AT</t>
  </si>
  <si>
    <t>044252021AT</t>
  </si>
  <si>
    <t>044122422AT</t>
  </si>
  <si>
    <t>044152022AT</t>
  </si>
  <si>
    <t>044152422AT</t>
  </si>
  <si>
    <t>044161622AT</t>
  </si>
  <si>
    <t>044161822AT</t>
  </si>
  <si>
    <t>044162022AT</t>
  </si>
  <si>
    <t>044162422AT</t>
  </si>
  <si>
    <t>044162522AT</t>
  </si>
  <si>
    <t>044182422AT</t>
  </si>
  <si>
    <t>044202022AT</t>
  </si>
  <si>
    <t>044202422AT</t>
  </si>
  <si>
    <t>044202522AT</t>
  </si>
  <si>
    <t>044242422AT</t>
  </si>
  <si>
    <t>044252522AT</t>
  </si>
  <si>
    <t>044241222AT</t>
  </si>
  <si>
    <t>044201522AT</t>
  </si>
  <si>
    <t>044241522AT</t>
  </si>
  <si>
    <t>044181622AT</t>
  </si>
  <si>
    <t>044201622AT</t>
  </si>
  <si>
    <t>044241622AT</t>
  </si>
  <si>
    <t>044251622AT</t>
  </si>
  <si>
    <t>044241822AT</t>
  </si>
  <si>
    <t>044242022AT</t>
  </si>
  <si>
    <t>044252022AT</t>
  </si>
  <si>
    <t>044122423AT</t>
  </si>
  <si>
    <t>044152023AT</t>
  </si>
  <si>
    <t>044152423AT</t>
  </si>
  <si>
    <t>044161623AT</t>
  </si>
  <si>
    <t>044161823AT</t>
  </si>
  <si>
    <t>044162023AT</t>
  </si>
  <si>
    <t>044162423AT</t>
  </si>
  <si>
    <t>044162523AT</t>
  </si>
  <si>
    <t>044182423AT</t>
  </si>
  <si>
    <t>044202023AT</t>
  </si>
  <si>
    <t>044202423AT</t>
  </si>
  <si>
    <t>044202523AT</t>
  </si>
  <si>
    <t>044242423AT</t>
  </si>
  <si>
    <t>044252523AT</t>
  </si>
  <si>
    <t>044241223AT</t>
  </si>
  <si>
    <t>044201523AT</t>
  </si>
  <si>
    <t>044241523AT</t>
  </si>
  <si>
    <t>044181623AT</t>
  </si>
  <si>
    <t>044201623AT</t>
  </si>
  <si>
    <t>044241623AT</t>
  </si>
  <si>
    <t>044251623AT</t>
  </si>
  <si>
    <t>044241823AT</t>
  </si>
  <si>
    <t>044242023AT</t>
  </si>
  <si>
    <t>044252023AT</t>
  </si>
  <si>
    <t>044122424AT</t>
  </si>
  <si>
    <t>044152024AT</t>
  </si>
  <si>
    <t>044152424AT</t>
  </si>
  <si>
    <t>044161624AT</t>
  </si>
  <si>
    <t>044161824AT</t>
  </si>
  <si>
    <t>044162024AT</t>
  </si>
  <si>
    <t>044162424AT</t>
  </si>
  <si>
    <t>044162524AT</t>
  </si>
  <si>
    <t>044182424AT</t>
  </si>
  <si>
    <t>044202024AT</t>
  </si>
  <si>
    <t>044202424AT</t>
  </si>
  <si>
    <t>044202524AT</t>
  </si>
  <si>
    <t>044242424AT</t>
  </si>
  <si>
    <t>044252524AT</t>
  </si>
  <si>
    <t>044241224AT</t>
  </si>
  <si>
    <t>044201524AT</t>
  </si>
  <si>
    <t>044241524AT</t>
  </si>
  <si>
    <t>044181624AT</t>
  </si>
  <si>
    <t>044201624AT</t>
  </si>
  <si>
    <t>044241624AT</t>
  </si>
  <si>
    <t>044251624AT</t>
  </si>
  <si>
    <t>044241824AT</t>
  </si>
  <si>
    <t>044242024AT</t>
  </si>
  <si>
    <t>044252024AT</t>
  </si>
  <si>
    <t>Custom Media Pad Calculator</t>
  </si>
  <si>
    <t>Tri-Dek #3 Media Pad</t>
  </si>
  <si>
    <t>Option:</t>
  </si>
  <si>
    <t>Antimicrobial</t>
  </si>
  <si>
    <r>
      <rPr>
        <b/>
        <u/>
        <sz val="11"/>
        <color rgb="FF000000"/>
        <rFont val="Aptos Narrow"/>
        <family val="2"/>
        <scheme val="minor"/>
      </rPr>
      <t>Terms &amp; Conditions:</t>
    </r>
    <r>
      <rPr>
        <sz val="11"/>
        <color rgb="FF000000"/>
        <rFont val="Aptos Narrow"/>
        <family val="2"/>
        <scheme val="minor"/>
      </rPr>
      <t xml:space="preserve"> 
 PAD TOLERANCES +/- 1/4".
Max Width by Pad:
#3 Pad Max Width = 70"
#5 Pad Max Width = 84"
#7 Pad Max Width = 96"
#8 Pad Max Width = 78"
Prices are subject to change without prior notice.
																																																																						</t>
    </r>
  </si>
  <si>
    <t>Prefix</t>
  </si>
  <si>
    <t>From</t>
  </si>
  <si>
    <t>To</t>
  </si>
  <si>
    <t>AT Price</t>
  </si>
  <si>
    <t>Product Guide - For Sales &amp; Finance</t>
  </si>
  <si>
    <t>#5 Media Pre-Cut Pads</t>
  </si>
  <si>
    <t>16 - 249</t>
  </si>
  <si>
    <t>Brand Name</t>
  </si>
  <si>
    <t>Ply</t>
  </si>
  <si>
    <t>Custom?</t>
  </si>
  <si>
    <t>Notes</t>
  </si>
  <si>
    <t>250 - 299</t>
  </si>
  <si>
    <t>Tri-Dek #3</t>
  </si>
  <si>
    <t>300 - 349</t>
  </si>
  <si>
    <t>Tri-Dek #5</t>
  </si>
  <si>
    <t>Thicker depth than 130</t>
  </si>
  <si>
    <t>Level1</t>
  </si>
  <si>
    <t>Level2</t>
  </si>
  <si>
    <t>Product Name</t>
  </si>
  <si>
    <t>350 - 399</t>
  </si>
  <si>
    <t>Tri-Dek #7</t>
  </si>
  <si>
    <t>Thicker depth than 132</t>
  </si>
  <si>
    <t>400 - 449</t>
  </si>
  <si>
    <t>Tri-Dek #10</t>
  </si>
  <si>
    <t>Thicker depth than 134</t>
  </si>
  <si>
    <t>450 - 499</t>
  </si>
  <si>
    <t>Tri-Dek 2-Ply 15/40</t>
  </si>
  <si>
    <t>500 - 549</t>
  </si>
  <si>
    <t>Tri-Dek 3-Ply 6/15/40</t>
  </si>
  <si>
    <t>550 - 599</t>
  </si>
  <si>
    <t>Tri-Dek 3-Ply 15/40+3</t>
  </si>
  <si>
    <t>600 - 649</t>
  </si>
  <si>
    <t>Tri-Dek 4-Ply 6/40+3</t>
  </si>
  <si>
    <t>650 - 699</t>
  </si>
  <si>
    <t>MERV 8</t>
  </si>
  <si>
    <t>Tri-Dek #8</t>
  </si>
  <si>
    <t>Different product from the 130, 132, 134, 152 etc</t>
  </si>
  <si>
    <t>700 - 749</t>
  </si>
  <si>
    <t>750 - 799</t>
  </si>
  <si>
    <t>800 - 849</t>
  </si>
  <si>
    <t>Cross Reference Table</t>
  </si>
  <si>
    <t>Inputs + Outputs</t>
  </si>
  <si>
    <t>850 - 899</t>
  </si>
  <si>
    <t>Product Series Code</t>
  </si>
  <si>
    <t>Standard Carton QTY</t>
  </si>
  <si>
    <t>Options</t>
  </si>
  <si>
    <t>Exact</t>
  </si>
  <si>
    <t>900 - 949</t>
  </si>
  <si>
    <t>950 - 999</t>
  </si>
  <si>
    <t>Tri-Dek #5 Media Pad</t>
  </si>
  <si>
    <t>1000-1499</t>
  </si>
  <si>
    <t>Tri-Dek #7 Media Pad</t>
  </si>
  <si>
    <t>Option</t>
  </si>
  <si>
    <t>1500-1999</t>
  </si>
  <si>
    <t>Tri-Dek #10 Media Pad</t>
  </si>
  <si>
    <t>2000-2499</t>
  </si>
  <si>
    <t>Tri-Dek 2-Ply 15/40 Media Pad</t>
  </si>
  <si>
    <t>2500-2999</t>
  </si>
  <si>
    <t>Tri-Dek 3-Ply 6/15/40 Media Pad</t>
  </si>
  <si>
    <t>Width / Height</t>
  </si>
  <si>
    <t>3000-3499</t>
  </si>
  <si>
    <t>Tri-Dek 3-Ply 15/40+3 Media Pad</t>
  </si>
  <si>
    <t>3500-3999</t>
  </si>
  <si>
    <t>Tri-Dek 4-Ply 6/40+3 Media Pad</t>
  </si>
  <si>
    <t>4000-4499</t>
  </si>
  <si>
    <t>Tri-Dek #8 MERV 8 Pads</t>
  </si>
  <si>
    <t>4500-4999</t>
  </si>
  <si>
    <t>5000-5499</t>
  </si>
  <si>
    <t>5500-5999</t>
  </si>
  <si>
    <t>Price Lookup</t>
  </si>
  <si>
    <t>Value to Check</t>
  </si>
  <si>
    <t>*check if it's a standard part #</t>
  </si>
  <si>
    <t>6000-6499</t>
  </si>
  <si>
    <t>6500-6999</t>
  </si>
  <si>
    <t>7000-7499</t>
  </si>
  <si>
    <t>Data Validation Formula</t>
  </si>
  <si>
    <t>7500-7999</t>
  </si>
  <si>
    <t>Standards in Price Book</t>
  </si>
  <si>
    <t>8000-8499</t>
  </si>
  <si>
    <t>PART NUMBER</t>
  </si>
  <si>
    <t>Return Value</t>
  </si>
  <si>
    <t>8500-8999</t>
  </si>
  <si>
    <t>9000-9499</t>
  </si>
  <si>
    <t>9500-10000</t>
  </si>
  <si>
    <t>#3 Media Pre-Cut Pads</t>
  </si>
  <si>
    <t>Carton QTY Custom Determination</t>
  </si>
  <si>
    <t>26" and Over</t>
  </si>
  <si>
    <t>Under 26"</t>
  </si>
  <si>
    <t>Carton Count by Size</t>
  </si>
  <si>
    <t>26-50</t>
  </si>
  <si>
    <t>51-75</t>
  </si>
  <si>
    <t>76-100</t>
  </si>
  <si>
    <t>101-180</t>
  </si>
  <si>
    <t>181-250</t>
  </si>
  <si>
    <t>251+</t>
  </si>
  <si>
    <t>#7 Media Pre-Cut Pads</t>
  </si>
  <si>
    <t>2ply 15/40 Media Pre-Cut Pads</t>
  </si>
  <si>
    <t>#10 Media Pre-Cut Pads</t>
  </si>
  <si>
    <t>0961690</t>
  </si>
  <si>
    <t>0962090</t>
  </si>
  <si>
    <t>0962490</t>
  </si>
  <si>
    <t>0962590</t>
  </si>
  <si>
    <t>0964090</t>
  </si>
  <si>
    <t>0964890</t>
  </si>
  <si>
    <t>0965090</t>
  </si>
  <si>
    <t>0966090</t>
  </si>
  <si>
    <t>0967290</t>
  </si>
  <si>
    <t>1145H100</t>
  </si>
  <si>
    <t>1145D100</t>
  </si>
  <si>
    <t>3ply 6/15/40 Media</t>
  </si>
  <si>
    <t>1145L100</t>
  </si>
  <si>
    <t>1146H100</t>
  </si>
  <si>
    <t>1146D100</t>
  </si>
  <si>
    <t>1146L100</t>
  </si>
  <si>
    <t>1147H100</t>
  </si>
  <si>
    <t>1147D100</t>
  </si>
  <si>
    <t>1147L100</t>
  </si>
  <si>
    <t>1148H100</t>
  </si>
  <si>
    <t>1148D100</t>
  </si>
  <si>
    <t>1148L100</t>
  </si>
  <si>
    <t>1149H100</t>
  </si>
  <si>
    <t>1149D100</t>
  </si>
  <si>
    <t>1149L100</t>
  </si>
  <si>
    <t>11410H100</t>
  </si>
  <si>
    <t>11410D100</t>
  </si>
  <si>
    <t>11410L100</t>
  </si>
  <si>
    <t>11411H100</t>
  </si>
  <si>
    <t>11411D100</t>
  </si>
  <si>
    <t>11411L100</t>
  </si>
  <si>
    <t>11412H100</t>
  </si>
  <si>
    <t>11412D100</t>
  </si>
  <si>
    <t>11412L100</t>
  </si>
  <si>
    <t>11413H100</t>
  </si>
  <si>
    <t>11413D100</t>
  </si>
  <si>
    <t>11413L100</t>
  </si>
  <si>
    <t>#8 Media Pre-Cut Pads</t>
  </si>
  <si>
    <t>11414H100</t>
  </si>
  <si>
    <t>11414D100</t>
  </si>
  <si>
    <t>11414L100</t>
  </si>
  <si>
    <t>11415H100</t>
  </si>
  <si>
    <t>11415D100</t>
  </si>
  <si>
    <t>11415L100</t>
  </si>
  <si>
    <t>11416H100</t>
  </si>
  <si>
    <t>11416D100</t>
  </si>
  <si>
    <t>11416L100</t>
  </si>
  <si>
    <t>11417H100</t>
  </si>
  <si>
    <t>11417D100</t>
  </si>
  <si>
    <t>11417L100</t>
  </si>
  <si>
    <t>11418H100</t>
  </si>
  <si>
    <t>11418D100</t>
  </si>
  <si>
    <t>11418L100</t>
  </si>
  <si>
    <t>11419H100</t>
  </si>
  <si>
    <t>11419D100</t>
  </si>
  <si>
    <t>11419L100</t>
  </si>
  <si>
    <t>11420H100</t>
  </si>
  <si>
    <t>11420D100</t>
  </si>
  <si>
    <t>11420L100</t>
  </si>
  <si>
    <t>11421H100</t>
  </si>
  <si>
    <t>11421D100</t>
  </si>
  <si>
    <t>11421L100</t>
  </si>
  <si>
    <t>11422H100</t>
  </si>
  <si>
    <t>11422D100</t>
  </si>
  <si>
    <t>3ply 15/40+3 Media Pre-Cut Pads</t>
  </si>
  <si>
    <t>11422L100</t>
  </si>
  <si>
    <t>11423H100</t>
  </si>
  <si>
    <t>11423D100</t>
  </si>
  <si>
    <t>11423L100</t>
  </si>
  <si>
    <t>11424H100</t>
  </si>
  <si>
    <t>11424D100</t>
  </si>
  <si>
    <t>11424L100</t>
  </si>
  <si>
    <t>1145H100ATS</t>
  </si>
  <si>
    <t>1145D100ATS</t>
  </si>
  <si>
    <t>1145L100ATS</t>
  </si>
  <si>
    <t>1145100ATS</t>
  </si>
  <si>
    <t>1146H100ATS</t>
  </si>
  <si>
    <t>1146D100ATS</t>
  </si>
  <si>
    <t>1146L100ATS</t>
  </si>
  <si>
    <t>1146100ATS</t>
  </si>
  <si>
    <t>1147H100ATS</t>
  </si>
  <si>
    <t>1147D100ATS</t>
  </si>
  <si>
    <t>1147L100ATS</t>
  </si>
  <si>
    <t>1147100ATS</t>
  </si>
  <si>
    <t>1148H100ATS</t>
  </si>
  <si>
    <t>1148D100ATS</t>
  </si>
  <si>
    <t>1148L100ATS</t>
  </si>
  <si>
    <t>1148100ATS</t>
  </si>
  <si>
    <t>1149H100ATS</t>
  </si>
  <si>
    <t>1149D100ATS</t>
  </si>
  <si>
    <t>1149L100ATS</t>
  </si>
  <si>
    <t>1149100ATS</t>
  </si>
  <si>
    <t>11410H100ATS</t>
  </si>
  <si>
    <t>11410D100ATS</t>
  </si>
  <si>
    <t>11410L100ATS</t>
  </si>
  <si>
    <t>4ply 6/15/40+3 Media Pre-Cut Pad</t>
  </si>
  <si>
    <t>11410100ATS</t>
  </si>
  <si>
    <t>11411H100ATS</t>
  </si>
  <si>
    <t>11411D100ATS</t>
  </si>
  <si>
    <t>11411L100ATS</t>
  </si>
  <si>
    <t>11411100ATS</t>
  </si>
  <si>
    <t>11412H100ATS</t>
  </si>
  <si>
    <t>11412D100ATS</t>
  </si>
  <si>
    <t>11412L100ATS</t>
  </si>
  <si>
    <t>11412100ATS</t>
  </si>
  <si>
    <t>11413H100ATS</t>
  </si>
  <si>
    <t>11413D100ATS</t>
  </si>
  <si>
    <t>11413L100ATS</t>
  </si>
  <si>
    <t>11413100ATS</t>
  </si>
  <si>
    <t>11414H100ATS</t>
  </si>
  <si>
    <t>11414D100ATS</t>
  </si>
  <si>
    <t>11414L100ATS</t>
  </si>
  <si>
    <t>11414100ATS</t>
  </si>
  <si>
    <t>11415H100ATS</t>
  </si>
  <si>
    <t>11415D100ATS</t>
  </si>
  <si>
    <t>11415L100ATS</t>
  </si>
  <si>
    <t>11415100ATS</t>
  </si>
  <si>
    <t>11416H100ATS</t>
  </si>
  <si>
    <t>11416D100ATS</t>
  </si>
  <si>
    <t>11416L100ATS</t>
  </si>
  <si>
    <t>11416100ATS</t>
  </si>
  <si>
    <t>11417H100ATS</t>
  </si>
  <si>
    <t>11417D100ATS</t>
  </si>
  <si>
    <t>11417L100ATS</t>
  </si>
  <si>
    <t>11417100ATS</t>
  </si>
  <si>
    <t>11418H100ATS</t>
  </si>
  <si>
    <t>11418D100ATS</t>
  </si>
  <si>
    <t>11418L100ATS</t>
  </si>
  <si>
    <t>11418100ATS</t>
  </si>
  <si>
    <t>11419H100ATS</t>
  </si>
  <si>
    <t>11419D100ATS</t>
  </si>
  <si>
    <t>11419L100ATS</t>
  </si>
  <si>
    <t>11419100ATS</t>
  </si>
  <si>
    <t>11420H100ATS</t>
  </si>
  <si>
    <t>11420D100ATS</t>
  </si>
  <si>
    <t>11420L100ATS</t>
  </si>
  <si>
    <t>11420100ATS</t>
  </si>
  <si>
    <t>11421H100ATS</t>
  </si>
  <si>
    <t>11421D100ATS</t>
  </si>
  <si>
    <t>11421L100ATS</t>
  </si>
  <si>
    <t>11421100ATS</t>
  </si>
  <si>
    <t>11422H100ATS</t>
  </si>
  <si>
    <t>11422D100ATS</t>
  </si>
  <si>
    <t>11422L100ATS</t>
  </si>
  <si>
    <t>11422100ATS</t>
  </si>
  <si>
    <t>11423H100ATS</t>
  </si>
  <si>
    <t>11423D100ATS</t>
  </si>
  <si>
    <t>11423L100ATS</t>
  </si>
  <si>
    <t>11423100ATS</t>
  </si>
  <si>
    <t>11424H100ATS</t>
  </si>
  <si>
    <t>11424D100ATS</t>
  </si>
  <si>
    <t>11424L100ATS</t>
  </si>
  <si>
    <t>11424100ATS</t>
  </si>
  <si>
    <t>11425100ATS</t>
  </si>
  <si>
    <t>08012100-COE</t>
  </si>
  <si>
    <t>08014100-COE</t>
  </si>
  <si>
    <t>08016100-COE</t>
  </si>
  <si>
    <t>08018100-COE</t>
  </si>
  <si>
    <t>08020100-COE</t>
  </si>
  <si>
    <t>08024100-COE</t>
  </si>
  <si>
    <t>08025100-COE</t>
  </si>
  <si>
    <t>Tri-Dek #3 2-Ply Sleeve Roll</t>
  </si>
  <si>
    <t>Custom Sleeves Calculator</t>
  </si>
  <si>
    <t>Wire Ring Frames for Pre-Cut Sleeves</t>
  </si>
  <si>
    <r>
      <rPr>
        <b/>
        <u/>
        <sz val="11"/>
        <color rgb="FF000000"/>
        <rFont val="Aptos Narrow"/>
        <family val="2"/>
        <scheme val="minor"/>
      </rPr>
      <t>Terms &amp; Conditions:</t>
    </r>
    <r>
      <rPr>
        <sz val="11"/>
        <color rgb="FF000000"/>
        <rFont val="Aptos Narrow"/>
        <family val="2"/>
        <scheme val="minor"/>
      </rPr>
      <t xml:space="preserve"> 
For Sleeve Rolls:
Sleeve length is made 2" longer than specified length. Sleeve width must be specified 1/2" more than width of wire ring on which it is used. Sleeve width is distance between each stitch line, smallest dimension will be considered width dimension unless otherwise specified. Wire ring frames will be made to the exact dimensions specified.
For Wire Frames:
    MINIMUM WIRE SIZE ALLOWED IS 4" W X 4" L (EX)								
MAXIMUM WIRE SIZE ALLOWED IS 33-¼ W X 77¼" L (EX)	
Prices are subject to change without prior notice.
																																																																						</t>
    </r>
  </si>
  <si>
    <t xml:space="preserve">Product Guide - for sales &amp; finance </t>
  </si>
  <si>
    <t>070</t>
  </si>
  <si>
    <t>#3 2-ply Pre-Cut Sleeve</t>
  </si>
  <si>
    <t>0-143</t>
  </si>
  <si>
    <t>144-156</t>
  </si>
  <si>
    <t>Roll</t>
  </si>
  <si>
    <t>Sleeve</t>
  </si>
  <si>
    <t>Tri-Dek #3 2-Ply Pre-Cut Sleeves</t>
  </si>
  <si>
    <t>Max Length</t>
  </si>
  <si>
    <t>157-168</t>
  </si>
  <si>
    <t>Accessories</t>
  </si>
  <si>
    <t>Wire Ring Frame</t>
  </si>
  <si>
    <t>072</t>
  </si>
  <si>
    <t>169-180</t>
  </si>
  <si>
    <t>181-192</t>
  </si>
  <si>
    <t>193-204</t>
  </si>
  <si>
    <t>205-216</t>
  </si>
  <si>
    <t>217-228</t>
  </si>
  <si>
    <t>229-240</t>
  </si>
  <si>
    <t>241-252</t>
  </si>
  <si>
    <t>253-264</t>
  </si>
  <si>
    <t>265-276</t>
  </si>
  <si>
    <t>277-288</t>
  </si>
  <si>
    <t>289-300</t>
  </si>
  <si>
    <t>301-312</t>
  </si>
  <si>
    <t>313-324</t>
  </si>
  <si>
    <t>325-336</t>
  </si>
  <si>
    <t>337-348</t>
  </si>
  <si>
    <t>*Checks if value is a standard part #</t>
  </si>
  <si>
    <t>349-360</t>
  </si>
  <si>
    <t>Price Look Up by Prefix</t>
  </si>
  <si>
    <t>361-372</t>
  </si>
  <si>
    <t>373-384</t>
  </si>
  <si>
    <t>385-396</t>
  </si>
  <si>
    <t>397-408</t>
  </si>
  <si>
    <t>409-420</t>
  </si>
  <si>
    <t>421-432</t>
  </si>
  <si>
    <t>433-444</t>
  </si>
  <si>
    <t>Carton QTY Determination</t>
  </si>
  <si>
    <t>445-456</t>
  </si>
  <si>
    <t>Breakdown for 070 Sleeves is </t>
  </si>
  <si>
    <t>Less or equal to</t>
  </si>
  <si>
    <t>457-468</t>
  </si>
  <si>
    <t>Up to 26" length = 50/Ctn</t>
  </si>
  <si>
    <t>469-480</t>
  </si>
  <si>
    <t>27"-60" = 25/Ctn</t>
  </si>
  <si>
    <t>CW Part # Adder</t>
  </si>
  <si>
    <t>481-492</t>
  </si>
  <si>
    <t>61"-90" = 17/Ctn</t>
  </si>
  <si>
    <t>493-504</t>
  </si>
  <si>
    <t>91"-120" = 13/Ctn</t>
  </si>
  <si>
    <t>505-516</t>
  </si>
  <si>
    <t>517-528</t>
  </si>
  <si>
    <t>Cross Wire Rules</t>
  </si>
  <si>
    <t>529-540</t>
  </si>
  <si>
    <t>Larger Dimension</t>
  </si>
  <si>
    <t># of cross wires</t>
  </si>
  <si>
    <t>541-552</t>
  </si>
  <si>
    <t>Less than or equal to</t>
  </si>
  <si>
    <t>553-564</t>
  </si>
  <si>
    <t>565-576</t>
  </si>
  <si>
    <t>Check Min/Max</t>
  </si>
  <si>
    <t>577-588</t>
  </si>
  <si>
    <t>589-600</t>
  </si>
  <si>
    <t>601-612</t>
  </si>
  <si>
    <t>613-624</t>
  </si>
  <si>
    <t>Maximum wire size allowed</t>
  </si>
  <si>
    <t>Minimum wire size allowed</t>
  </si>
  <si>
    <t>Error/Exception Check</t>
  </si>
  <si>
    <t>625-636</t>
  </si>
  <si>
    <t>33.25-77.25"</t>
  </si>
  <si>
    <t>4-4"</t>
  </si>
  <si>
    <t>637-648</t>
  </si>
  <si>
    <t>649-660</t>
  </si>
  <si>
    <t>Wire rings - sell 1 qty</t>
  </si>
  <si>
    <t>661-672</t>
  </si>
  <si>
    <t>673-684</t>
  </si>
  <si>
    <t>685-696</t>
  </si>
  <si>
    <t>070 Length</t>
  </si>
  <si>
    <t>697-708</t>
  </si>
  <si>
    <t>072 Length</t>
  </si>
  <si>
    <t>709-720</t>
  </si>
  <si>
    <t>070 Height</t>
  </si>
  <si>
    <t>721-732</t>
  </si>
  <si>
    <t>072 Height</t>
  </si>
  <si>
    <t>733-744</t>
  </si>
  <si>
    <t>745-756</t>
  </si>
  <si>
    <t>757-768</t>
  </si>
  <si>
    <t>769-780</t>
  </si>
  <si>
    <t>781-792</t>
  </si>
  <si>
    <t>793-804</t>
  </si>
  <si>
    <t>805-816</t>
  </si>
  <si>
    <t>817-828</t>
  </si>
  <si>
    <t>829-840</t>
  </si>
  <si>
    <t>841-852</t>
  </si>
  <si>
    <t>853-864</t>
  </si>
  <si>
    <t>865-876</t>
  </si>
  <si>
    <t>877-888</t>
  </si>
  <si>
    <t>889-900</t>
  </si>
  <si>
    <t>901-912</t>
  </si>
  <si>
    <t>913-924</t>
  </si>
  <si>
    <t>925-936</t>
  </si>
  <si>
    <t>937-948</t>
  </si>
  <si>
    <t>949-960</t>
  </si>
  <si>
    <t>961-972</t>
  </si>
  <si>
    <t>973-984</t>
  </si>
  <si>
    <t>985-996</t>
  </si>
  <si>
    <t>996 - OVER</t>
  </si>
  <si>
    <t>Max Width/ Height</t>
  </si>
  <si>
    <t>&gt;4</t>
  </si>
  <si>
    <t>&lt;8.88</t>
  </si>
  <si>
    <t>&gt;8.88</t>
  </si>
  <si>
    <t>&lt;16.875</t>
  </si>
  <si>
    <t>&gt;16.875</t>
  </si>
  <si>
    <t>&lt;33.25</t>
  </si>
  <si>
    <t>Tri-Dek 4-Ply 6/15/40+3 Media Pad</t>
  </si>
  <si>
    <t>Pads Calc</t>
  </si>
  <si>
    <t>Sleeves Cal</t>
  </si>
  <si>
    <t>Panels-Links</t>
  </si>
  <si>
    <t>Pleats - Throwaways</t>
  </si>
  <si>
    <t>NAT Prices</t>
  </si>
  <si>
    <t>NAT Price</t>
  </si>
  <si>
    <t>NAT AT Price</t>
  </si>
  <si>
    <t>Logic</t>
  </si>
  <si>
    <t>AT Upcharge</t>
  </si>
  <si>
    <t>30% Upcharge</t>
  </si>
  <si>
    <t>15% Upcharge on AT</t>
  </si>
  <si>
    <t>Product Guide</t>
  </si>
  <si>
    <t>Tri-Dek PBP</t>
  </si>
  <si>
    <t>Tri-Dek POP</t>
  </si>
  <si>
    <t xml:space="preserve">#3 </t>
  </si>
  <si>
    <t>Different product, treat separately</t>
  </si>
  <si>
    <t>130, 132, 134, 152</t>
  </si>
  <si>
    <t>136, 176, 140, 143</t>
  </si>
  <si>
    <t>Comparison</t>
  </si>
  <si>
    <t>TRI-DEK #8  MERV 8 SPECIAL SIZE PADS</t>
  </si>
  <si>
    <t>SINGLE PLY MEDIAS</t>
  </si>
  <si>
    <t>MULTIPLE PLY MEDIAS</t>
  </si>
  <si>
    <t>Sleeve Rolls</t>
  </si>
  <si>
    <t>20x20 size</t>
  </si>
  <si>
    <t>List Price</t>
  </si>
  <si>
    <t>with 4%</t>
  </si>
  <si>
    <t>.38 multiplier</t>
  </si>
  <si>
    <t>SIZE</t>
  </si>
  <si>
    <t>Ranges</t>
  </si>
  <si>
    <t>Not sure why this would be cheaper than the 1/4"</t>
  </si>
  <si>
    <t>114AT</t>
  </si>
  <si>
    <t>1000 - OVER</t>
  </si>
  <si>
    <t>*</t>
  </si>
  <si>
    <t>SQ. IN. =</t>
  </si>
  <si>
    <t>over 996</t>
  </si>
  <si>
    <r>
      <rPr>
        <sz val="13.5"/>
        <rFont val="Arial"/>
        <family val="2"/>
      </rPr>
      <t>SINGLE PLY MEDIAS</t>
    </r>
  </si>
  <si>
    <r>
      <rPr>
        <sz val="11.5"/>
        <rFont val="Arial"/>
        <family val="2"/>
      </rPr>
      <t>#3 MEDIA 1/4"</t>
    </r>
  </si>
  <si>
    <r>
      <rPr>
        <sz val="11.5"/>
        <rFont val="Arial"/>
        <family val="2"/>
      </rPr>
      <t>#5 MEDIA 1/2"</t>
    </r>
  </si>
  <si>
    <r>
      <rPr>
        <sz val="11.5"/>
        <rFont val="Arial"/>
        <family val="2"/>
      </rPr>
      <t>#7 MEDIA 1"</t>
    </r>
  </si>
  <si>
    <r>
      <rPr>
        <sz val="11.5"/>
        <rFont val="Arial"/>
        <family val="2"/>
      </rPr>
      <t>#10 MEDIA 2"</t>
    </r>
  </si>
  <si>
    <r>
      <rPr>
        <b/>
        <sz val="9"/>
        <rFont val="Arial"/>
        <family val="2"/>
      </rPr>
      <t>SIZE</t>
    </r>
  </si>
  <si>
    <r>
      <rPr>
        <sz val="9"/>
        <rFont val="Arial"/>
        <family val="2"/>
      </rPr>
      <t>PART</t>
    </r>
  </si>
  <si>
    <r>
      <rPr>
        <sz val="9"/>
        <rFont val="Arial"/>
        <family val="2"/>
      </rPr>
      <t>LIST</t>
    </r>
  </si>
  <si>
    <r>
      <rPr>
        <sz val="8"/>
        <rFont val="Arial"/>
        <family val="2"/>
      </rPr>
      <t>SIZE</t>
    </r>
  </si>
  <si>
    <r>
      <rPr>
        <sz val="8"/>
        <rFont val="Arial"/>
        <family val="2"/>
      </rPr>
      <t>PART</t>
    </r>
  </si>
  <si>
    <r>
      <rPr>
        <sz val="8"/>
        <rFont val="Arial"/>
        <family val="2"/>
      </rPr>
      <t>LIST</t>
    </r>
  </si>
  <si>
    <r>
      <rPr>
        <b/>
        <sz val="9"/>
        <rFont val="Arial"/>
        <family val="2"/>
      </rPr>
      <t>RANGE</t>
    </r>
  </si>
  <si>
    <r>
      <rPr>
        <sz val="9"/>
        <rFont val="Arial"/>
        <family val="2"/>
      </rPr>
      <t>NUMBER</t>
    </r>
  </si>
  <si>
    <r>
      <rPr>
        <sz val="9"/>
        <rFont val="Arial"/>
        <family val="2"/>
      </rPr>
      <t>PRICE</t>
    </r>
  </si>
  <si>
    <r>
      <rPr>
        <sz val="8"/>
        <rFont val="Arial"/>
        <family val="2"/>
      </rPr>
      <t>RANGE</t>
    </r>
  </si>
  <si>
    <r>
      <rPr>
        <sz val="8"/>
        <rFont val="Arial"/>
        <family val="2"/>
      </rPr>
      <t>NUMBER</t>
    </r>
  </si>
  <si>
    <r>
      <rPr>
        <sz val="8"/>
        <rFont val="Arial"/>
        <family val="2"/>
      </rPr>
      <t>PRICE</t>
    </r>
  </si>
  <si>
    <r>
      <rPr>
        <sz val="9"/>
        <rFont val="Arial"/>
        <family val="2"/>
      </rPr>
      <t>-</t>
    </r>
  </si>
  <si>
    <r>
      <rPr>
        <sz val="9"/>
        <rFont val="Arial"/>
        <family val="2"/>
      </rPr>
      <t>*</t>
    </r>
  </si>
  <si>
    <r>
      <rPr>
        <sz val="8"/>
        <rFont val="Arial"/>
        <family val="2"/>
      </rPr>
      <t>16 - 249</t>
    </r>
  </si>
  <si>
    <r>
      <rPr>
        <sz val="10"/>
        <rFont val="Arial"/>
        <family val="2"/>
      </rPr>
      <t>*</t>
    </r>
  </si>
  <si>
    <r>
      <rPr>
        <sz val="8"/>
        <rFont val="Arial"/>
        <family val="2"/>
      </rPr>
      <t>250 - 299</t>
    </r>
  </si>
  <si>
    <r>
      <rPr>
        <sz val="8"/>
        <rFont val="Arial"/>
        <family val="2"/>
      </rPr>
      <t>300 - 349</t>
    </r>
  </si>
  <si>
    <r>
      <rPr>
        <sz val="8"/>
        <rFont val="Arial"/>
        <family val="2"/>
      </rPr>
      <t>350 - 399</t>
    </r>
  </si>
  <si>
    <r>
      <rPr>
        <sz val="8"/>
        <rFont val="Arial"/>
        <family val="2"/>
      </rPr>
      <t>400 - 449</t>
    </r>
  </si>
  <si>
    <r>
      <rPr>
        <sz val="8"/>
        <rFont val="Arial"/>
        <family val="2"/>
      </rPr>
      <t>450 - 499</t>
    </r>
  </si>
  <si>
    <r>
      <rPr>
        <sz val="8"/>
        <rFont val="Arial"/>
        <family val="2"/>
      </rPr>
      <t>500 - 549</t>
    </r>
  </si>
  <si>
    <r>
      <rPr>
        <sz val="8"/>
        <rFont val="Arial"/>
        <family val="2"/>
      </rPr>
      <t>550 - 599</t>
    </r>
  </si>
  <si>
    <r>
      <rPr>
        <sz val="8"/>
        <rFont val="Arial"/>
        <family val="2"/>
      </rPr>
      <t>600 - 649</t>
    </r>
  </si>
  <si>
    <r>
      <rPr>
        <sz val="8"/>
        <rFont val="Arial"/>
        <family val="2"/>
      </rPr>
      <t>650 - 699</t>
    </r>
  </si>
  <si>
    <r>
      <rPr>
        <sz val="8"/>
        <rFont val="Arial"/>
        <family val="2"/>
      </rPr>
      <t>700 - 749</t>
    </r>
  </si>
  <si>
    <r>
      <rPr>
        <sz val="8"/>
        <rFont val="Arial"/>
        <family val="2"/>
      </rPr>
      <t>750 - 799</t>
    </r>
  </si>
  <si>
    <r>
      <rPr>
        <sz val="8"/>
        <rFont val="Arial"/>
        <family val="2"/>
      </rPr>
      <t>800 - 849</t>
    </r>
  </si>
  <si>
    <r>
      <rPr>
        <sz val="8"/>
        <rFont val="Arial"/>
        <family val="2"/>
      </rPr>
      <t>850 - 899</t>
    </r>
  </si>
  <si>
    <r>
      <rPr>
        <sz val="8"/>
        <rFont val="Arial"/>
        <family val="2"/>
      </rPr>
      <t>900 - 949</t>
    </r>
  </si>
  <si>
    <r>
      <rPr>
        <sz val="8"/>
        <rFont val="Arial"/>
        <family val="2"/>
      </rPr>
      <t>950 - 999</t>
    </r>
  </si>
  <si>
    <r>
      <rPr>
        <sz val="7.5"/>
        <rFont val="Arial"/>
        <family val="2"/>
      </rPr>
      <t>1000 - OVER</t>
    </r>
  </si>
  <si>
    <r>
      <rPr>
        <sz val="8"/>
        <rFont val="Arial"/>
        <family val="2"/>
      </rPr>
      <t>SQ. IN. =</t>
    </r>
  </si>
  <si>
    <r>
      <rPr>
        <sz val="13.5"/>
        <rFont val="Arial"/>
        <family val="2"/>
      </rPr>
      <t>MULTIPLE PLY MEDIAS</t>
    </r>
  </si>
  <si>
    <r>
      <rPr>
        <sz val="11"/>
        <rFont val="Arial"/>
        <family val="2"/>
      </rPr>
      <t>2 PLY #15/40</t>
    </r>
  </si>
  <si>
    <r>
      <rPr>
        <sz val="11"/>
        <rFont val="Arial"/>
        <family val="2"/>
      </rPr>
      <t>3 PLY #6/15/40</t>
    </r>
  </si>
  <si>
    <r>
      <rPr>
        <sz val="11"/>
        <rFont val="Arial"/>
        <family val="2"/>
      </rPr>
      <t>3 PLY 15/40 (+3)</t>
    </r>
  </si>
  <si>
    <r>
      <rPr>
        <sz val="11"/>
        <rFont val="Arial"/>
        <family val="2"/>
      </rPr>
      <t>4 PLY 6/15/40+3</t>
    </r>
  </si>
  <si>
    <r>
      <rPr>
        <sz val="9"/>
        <rFont val="Arial"/>
        <family val="2"/>
      </rPr>
      <t>over 996</t>
    </r>
  </si>
  <si>
    <r>
      <rPr>
        <sz val="9"/>
        <rFont val="Arial"/>
        <family val="2"/>
      </rPr>
      <t>contact</t>
    </r>
  </si>
  <si>
    <r>
      <rPr>
        <sz val="9"/>
        <rFont val="Arial"/>
        <family val="2"/>
      </rPr>
      <t>square</t>
    </r>
  </si>
  <si>
    <r>
      <rPr>
        <sz val="9"/>
        <rFont val="Arial"/>
        <family val="2"/>
      </rPr>
      <t>factory</t>
    </r>
  </si>
  <si>
    <r>
      <rPr>
        <sz val="9"/>
        <rFont val="Arial"/>
        <family val="2"/>
      </rPr>
      <t>inches</t>
    </r>
  </si>
  <si>
    <r>
      <rPr>
        <sz val="9"/>
        <rFont val="Arial"/>
        <family val="2"/>
      </rPr>
      <t>for pricing</t>
    </r>
  </si>
  <si>
    <r>
      <rPr>
        <b/>
        <sz val="16"/>
        <rFont val="Arial"/>
        <family val="2"/>
      </rPr>
      <t>TRI-DEK #8  MERV 8 SPECIAL SIZE PADS</t>
    </r>
  </si>
  <si>
    <r>
      <rPr>
        <sz val="8"/>
        <rFont val="Arial"/>
        <family val="2"/>
      </rPr>
      <t>1000 - OVER</t>
    </r>
  </si>
  <si>
    <t>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</si>
</sst>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7" formatCode="&quot;$&quot;#,##0.00_);\(&quot;$&quot;#,##0.00\)"/>
    <numFmt numFmtId="8" formatCode="&quot;$&quot;#,##0.00_);[Red]\(&quot;$&quot;#,##0.00\)"/>
    <numFmt numFmtId="44" formatCode="_(&quot;$&quot;* #,##0.00_);_(&quot;$&quot;* \(#,##0.00\);_(&quot;$&quot;* &quot;-&quot;??_);_(@_)"/>
    <numFmt numFmtId="43" formatCode="_(* #,##0.00_);_(* \(#,##0.00\);_(* &quot;-&quot;??_);_(@_)"/>
    <numFmt numFmtId="164" formatCode="&quot;$&quot;#,##0.00"/>
    <numFmt numFmtId="165" formatCode="\$0.00"/>
    <numFmt numFmtId="166" formatCode="_([$$-409]* #,##0.00_);_([$$-409]* \(#,##0.00\);_([$$-409]* &quot;-&quot;??_);_(@_)"/>
    <numFmt numFmtId="167" formatCode="0.0"/>
    <numFmt numFmtId="168" formatCode="0.000"/>
    <numFmt numFmtId="169" formatCode="0.0%"/>
    <numFmt numFmtId="170" formatCode="[$-409]d\-mmm\-yy;@"/>
  </numFmts>
  <fonts count="65">
    <font>
      <sz val="11"/>
      <color theme="1"/>
      <name val="Aptos Narrow"/>
      <family val="2"/>
      <scheme val="minor"/>
    </font>
    <font>
      <sz val="14"/>
      <color theme="1"/>
      <name val="Aptos Narrow"/>
      <family val="2"/>
      <scheme val="minor"/>
    </font>
    <font>
      <b/>
      <u/>
      <sz val="22"/>
      <color theme="1"/>
      <name val="Aptos Narrow"/>
      <family val="2"/>
      <scheme val="minor"/>
    </font>
    <font>
      <b/>
      <sz val="14"/>
      <color theme="1"/>
      <name val="Aptos Narrow"/>
      <family val="2"/>
      <scheme val="minor"/>
    </font>
    <font>
      <b/>
      <sz val="10"/>
      <color rgb="FFFFFFFF"/>
      <name val="Arial"/>
      <family val="2"/>
    </font>
    <font>
      <sz val="11"/>
      <color rgb="FF000000"/>
      <name val="Aptos Narrow"/>
      <family val="2"/>
    </font>
    <font>
      <b/>
      <sz val="12"/>
      <color theme="1"/>
      <name val="Aptos Narrow"/>
      <family val="2"/>
      <scheme val="minor"/>
    </font>
    <font>
      <b/>
      <sz val="11"/>
      <color theme="1"/>
      <name val="Aptos Narrow"/>
      <family val="2"/>
      <scheme val="minor"/>
    </font>
    <font>
      <b/>
      <sz val="11"/>
      <color theme="0"/>
      <name val="Aptos Narrow"/>
      <family val="2"/>
      <scheme val="minor"/>
    </font>
    <font>
      <sz val="13.5"/>
      <name val="Arial"/>
      <family val="2"/>
    </font>
    <font>
      <sz val="11.5"/>
      <name val="Arial"/>
      <family val="2"/>
    </font>
    <font>
      <sz val="8"/>
      <name val="Arial"/>
      <family val="2"/>
    </font>
    <font>
      <sz val="10"/>
      <name val="Arial"/>
      <family val="2"/>
    </font>
    <font>
      <sz val="10"/>
      <name val="Arial"/>
      <family val="2"/>
    </font>
    <font>
      <sz val="8"/>
      <color rgb="FF000000"/>
      <name val="Arial"/>
      <family val="2"/>
    </font>
    <font>
      <sz val="7.5"/>
      <name val="Arial"/>
      <family val="2"/>
    </font>
    <font>
      <sz val="11"/>
      <name val="Arial"/>
      <family val="2"/>
    </font>
    <font>
      <b/>
      <sz val="9"/>
      <name val="Arial"/>
      <family val="2"/>
    </font>
    <font>
      <sz val="9"/>
      <name val="Arial"/>
      <family val="2"/>
    </font>
    <font>
      <sz val="9"/>
      <color rgb="FF000000"/>
      <name val="Arial"/>
      <family val="2"/>
    </font>
    <font>
      <b/>
      <sz val="16"/>
      <name val="Arial"/>
      <family val="2"/>
    </font>
    <font>
      <sz val="11"/>
      <color theme="1"/>
      <name val="Aptos Narrow"/>
      <family val="2"/>
      <scheme val="minor"/>
    </font>
    <font>
      <b/>
      <sz val="10"/>
      <color theme="0"/>
      <name val="Arial"/>
      <family val="2"/>
    </font>
    <font>
      <sz val="10"/>
      <color rgb="FF000000"/>
      <name val="Aptos Narrow"/>
      <family val="2"/>
      <scheme val="minor"/>
    </font>
    <font>
      <b/>
      <u/>
      <sz val="11"/>
      <color rgb="FF000000"/>
      <name val="Aptos Narrow"/>
      <family val="2"/>
      <scheme val="minor"/>
    </font>
    <font>
      <sz val="11"/>
      <color rgb="FF000000"/>
      <name val="Aptos Narrow"/>
      <family val="2"/>
      <scheme val="minor"/>
    </font>
    <font>
      <sz val="11"/>
      <color rgb="FF000000"/>
      <name val="Aptos"/>
      <family val="2"/>
    </font>
    <font>
      <b/>
      <sz val="10"/>
      <name val="Arial"/>
      <family val="2"/>
    </font>
    <font>
      <b/>
      <sz val="12"/>
      <color theme="0"/>
      <name val="Arial"/>
      <family val="2"/>
    </font>
    <font>
      <i/>
      <sz val="11"/>
      <color theme="1"/>
      <name val="Aptos Narrow"/>
      <family val="2"/>
      <scheme val="minor"/>
    </font>
    <font>
      <sz val="10"/>
      <color rgb="FF000000"/>
      <name val="Arial"/>
      <family val="2"/>
    </font>
    <font>
      <sz val="11"/>
      <name val="Aptos Narrow"/>
      <family val="2"/>
      <scheme val="minor"/>
    </font>
    <font>
      <b/>
      <sz val="11"/>
      <name val="Aptos Narrow"/>
      <family val="2"/>
      <scheme val="minor"/>
    </font>
    <font>
      <sz val="10"/>
      <color theme="1"/>
      <name val="Aptos Narrow"/>
      <family val="2"/>
      <scheme val="minor"/>
    </font>
    <font>
      <b/>
      <sz val="10"/>
      <color rgb="FF000000"/>
      <name val="Arial"/>
      <family val="2"/>
    </font>
    <font>
      <u/>
      <sz val="11"/>
      <color theme="1"/>
      <name val="Aptos Narrow"/>
      <family val="2"/>
      <scheme val="minor"/>
    </font>
    <font>
      <b/>
      <sz val="10"/>
      <color rgb="FF000000"/>
      <name val="Times New Roman"/>
      <family val="1"/>
    </font>
    <font>
      <sz val="11"/>
      <color rgb="FF242424"/>
      <name val="Consolas"/>
      <family val="2"/>
    </font>
    <font>
      <i/>
      <sz val="9"/>
      <color theme="1"/>
      <name val="Aptos Narrow"/>
      <family val="2"/>
      <scheme val="minor"/>
    </font>
    <font>
      <b/>
      <sz val="12"/>
      <color rgb="FFFFFFFF"/>
      <name val="Arial"/>
      <family val="2"/>
    </font>
    <font>
      <b/>
      <sz val="12"/>
      <name val="Arial"/>
      <family val="2"/>
    </font>
    <font>
      <sz val="11"/>
      <color theme="1"/>
      <name val="Calibri"/>
      <family val="2"/>
    </font>
    <font>
      <b/>
      <i/>
      <sz val="11"/>
      <color theme="1"/>
      <name val="Aptos Narrow"/>
      <family val="2"/>
      <scheme val="minor"/>
    </font>
    <font>
      <sz val="11"/>
      <color rgb="FF000000"/>
      <name val="Calibri"/>
      <family val="2"/>
    </font>
    <font>
      <sz val="11"/>
      <color rgb="FF242424"/>
      <name val="Inherit"/>
      <charset val="1"/>
    </font>
    <font>
      <b/>
      <sz val="11"/>
      <color rgb="FF000000"/>
      <name val="Aptos Narrow"/>
      <family val="2"/>
    </font>
    <font>
      <b/>
      <sz val="8"/>
      <name val="Arial"/>
      <family val="2"/>
    </font>
    <font>
      <sz val="14"/>
      <color theme="1"/>
      <name val="Aptos Narrow"/>
      <family val="2"/>
    </font>
    <font>
      <b/>
      <u/>
      <sz val="22"/>
      <color theme="1"/>
      <name val="Aptos Narrow"/>
      <family val="2"/>
    </font>
    <font>
      <b/>
      <i/>
      <sz val="11"/>
      <color rgb="FFFF0000"/>
      <name val="Aptos Narrow"/>
      <family val="2"/>
      <scheme val="minor"/>
    </font>
    <font>
      <b/>
      <sz val="14"/>
      <color theme="1"/>
      <name val="Aptos Narrow"/>
      <family val="2"/>
    </font>
    <font>
      <b/>
      <sz val="12"/>
      <color rgb="FF000000"/>
      <name val="Arial"/>
      <family val="2"/>
    </font>
    <font>
      <sz val="12"/>
      <color rgb="FF000000"/>
      <name val="Arial"/>
      <family val="2"/>
    </font>
    <font>
      <b/>
      <u/>
      <sz val="11"/>
      <color rgb="FF000000"/>
      <name val="Calibri"/>
      <family val="2"/>
    </font>
    <font>
      <sz val="8.5"/>
      <color rgb="FF000000"/>
      <name val="Arial"/>
      <family val="2"/>
    </font>
    <font>
      <i/>
      <sz val="9"/>
      <color rgb="FF000000"/>
      <name val="Aptos Narrow"/>
      <family val="2"/>
      <scheme val="minor"/>
    </font>
    <font>
      <b/>
      <sz val="14"/>
      <color rgb="FF000000"/>
      <name val="Aptos Narrow"/>
      <family val="2"/>
      <scheme val="minor"/>
    </font>
    <font>
      <u/>
      <sz val="11"/>
      <color theme="10"/>
      <name val="Aptos Narrow"/>
      <family val="2"/>
      <scheme val="minor"/>
    </font>
    <font>
      <sz val="26"/>
      <color rgb="FF009A49"/>
      <name val="Arial"/>
      <family val="2"/>
    </font>
    <font>
      <sz val="14"/>
      <color rgb="FF000000"/>
      <name val="Aptos Narrow"/>
      <family val="2"/>
      <scheme val="minor"/>
    </font>
    <font>
      <u/>
      <sz val="20"/>
      <color rgb="FF00B050"/>
      <name val="Aptos Narrow"/>
      <family val="2"/>
      <scheme val="minor"/>
    </font>
    <font>
      <b/>
      <sz val="10"/>
      <color rgb="FF000000"/>
      <name val="Calibri"/>
      <family val="2"/>
    </font>
    <font>
      <b/>
      <sz val="10"/>
      <name val="Calibri"/>
      <family val="2"/>
    </font>
    <font>
      <b/>
      <u/>
      <sz val="11"/>
      <color theme="1"/>
      <name val="Aptos Narrow"/>
      <family val="2"/>
      <scheme val="minor"/>
    </font>
    <font>
      <b/>
      <sz val="11"/>
      <color rgb="FFFFFFFF"/>
      <name val="Aptos Narrow"/>
      <family val="2"/>
      <scheme val="minor"/>
    </font>
  </fonts>
  <fills count="51">
    <fill>
      <patternFill patternType="none"/>
    </fill>
    <fill>
      <patternFill patternType="gray125"/>
    </fill>
    <fill>
      <patternFill patternType="solid">
        <fgColor theme="0" tint="-0.14999847407452621"/>
        <bgColor indexed="64"/>
      </patternFill>
    </fill>
    <fill>
      <patternFill patternType="solid">
        <fgColor theme="9" tint="0.59999389629810485"/>
        <bgColor indexed="64"/>
      </patternFill>
    </fill>
    <fill>
      <patternFill patternType="solid">
        <fgColor rgb="FF00B050"/>
        <bgColor rgb="FF000000"/>
      </patternFill>
    </fill>
    <fill>
      <patternFill patternType="solid">
        <fgColor rgb="FF00B050"/>
        <bgColor indexed="64"/>
      </patternFill>
    </fill>
    <fill>
      <patternFill patternType="solid">
        <fgColor theme="5"/>
        <bgColor indexed="64"/>
      </patternFill>
    </fill>
    <fill>
      <patternFill patternType="solid">
        <fgColor rgb="FFB8DFAB"/>
        <bgColor indexed="64"/>
      </patternFill>
    </fill>
    <fill>
      <patternFill patternType="solid">
        <fgColor rgb="FFFFFF00"/>
        <bgColor indexed="64"/>
      </patternFill>
    </fill>
    <fill>
      <patternFill patternType="solid">
        <fgColor theme="5" tint="-0.249977111117893"/>
        <bgColor indexed="64"/>
      </patternFill>
    </fill>
    <fill>
      <patternFill patternType="solid">
        <fgColor rgb="FF46AF28"/>
        <bgColor rgb="FF000000"/>
      </patternFill>
    </fill>
    <fill>
      <patternFill patternType="solid">
        <fgColor rgb="FFD9D9D9"/>
        <bgColor rgb="FF000000"/>
      </patternFill>
    </fill>
    <fill>
      <patternFill patternType="solid">
        <fgColor theme="1"/>
        <bgColor indexed="64"/>
      </patternFill>
    </fill>
    <fill>
      <patternFill patternType="solid">
        <fgColor rgb="FFFFFF99"/>
        <bgColor indexed="64"/>
      </patternFill>
    </fill>
    <fill>
      <patternFill patternType="solid">
        <fgColor theme="5" tint="0.59999389629810485"/>
        <bgColor indexed="64"/>
      </patternFill>
    </fill>
    <fill>
      <patternFill patternType="solid">
        <fgColor rgb="FFBBE6EB"/>
        <bgColor indexed="64"/>
      </patternFill>
    </fill>
    <fill>
      <patternFill patternType="solid">
        <fgColor theme="2" tint="-9.9978637043366805E-2"/>
        <bgColor indexed="64"/>
      </patternFill>
    </fill>
    <fill>
      <patternFill patternType="solid">
        <fgColor theme="7" tint="0.39997558519241921"/>
        <bgColor indexed="64"/>
      </patternFill>
    </fill>
    <fill>
      <patternFill patternType="solid">
        <fgColor theme="2" tint="-0.249977111117893"/>
        <bgColor indexed="64"/>
      </patternFill>
    </fill>
    <fill>
      <patternFill patternType="solid">
        <fgColor theme="0" tint="-0.34998626667073579"/>
        <bgColor indexed="64"/>
      </patternFill>
    </fill>
    <fill>
      <patternFill patternType="solid">
        <fgColor rgb="FF00B0F0"/>
        <bgColor indexed="64"/>
      </patternFill>
    </fill>
    <fill>
      <patternFill patternType="solid">
        <fgColor rgb="FFB8E08C"/>
        <bgColor indexed="64"/>
      </patternFill>
    </fill>
    <fill>
      <patternFill patternType="solid">
        <fgColor rgb="FFFFFF00"/>
        <bgColor rgb="FF000000"/>
      </patternFill>
    </fill>
    <fill>
      <patternFill patternType="solid">
        <fgColor rgb="FFB3FFD5"/>
        <bgColor rgb="FF000000"/>
      </patternFill>
    </fill>
    <fill>
      <patternFill patternType="solid">
        <fgColor rgb="FFF4F4F4"/>
        <bgColor rgb="FF000000"/>
      </patternFill>
    </fill>
    <fill>
      <patternFill patternType="solid">
        <fgColor rgb="FFE0E0E0"/>
        <bgColor rgb="FF000000"/>
      </patternFill>
    </fill>
    <fill>
      <patternFill patternType="solid">
        <fgColor rgb="FFFFFFFF"/>
        <bgColor indexed="64"/>
      </patternFill>
    </fill>
    <fill>
      <patternFill patternType="solid">
        <fgColor theme="2"/>
        <bgColor indexed="64"/>
      </patternFill>
    </fill>
    <fill>
      <patternFill patternType="solid">
        <fgColor rgb="FFE7E6E6"/>
        <bgColor rgb="FF000000"/>
      </patternFill>
    </fill>
    <fill>
      <patternFill patternType="solid">
        <fgColor theme="8" tint="0.79998168889431442"/>
        <bgColor indexed="64"/>
      </patternFill>
    </fill>
    <fill>
      <patternFill patternType="solid">
        <fgColor rgb="FF000000"/>
        <bgColor rgb="FF000000"/>
      </patternFill>
    </fill>
    <fill>
      <patternFill patternType="solid">
        <fgColor rgb="FFC9C9C9"/>
        <bgColor rgb="FF000000"/>
      </patternFill>
    </fill>
    <fill>
      <patternFill patternType="solid">
        <fgColor rgb="FFA8A8A8"/>
        <bgColor rgb="FF000000"/>
      </patternFill>
    </fill>
    <fill>
      <patternFill patternType="solid">
        <fgColor rgb="FF87DE6D"/>
        <bgColor rgb="FF000000"/>
      </patternFill>
    </fill>
    <fill>
      <patternFill patternType="solid">
        <fgColor theme="5" tint="0.59999389629810485"/>
        <bgColor rgb="FF000000"/>
      </patternFill>
    </fill>
    <fill>
      <patternFill patternType="solid">
        <fgColor theme="9" tint="0.79998168889431442"/>
        <bgColor rgb="FF000000"/>
      </patternFill>
    </fill>
    <fill>
      <patternFill patternType="solid">
        <fgColor theme="4" tint="0.79998168889431442"/>
        <bgColor rgb="FF000000"/>
      </patternFill>
    </fill>
    <fill>
      <patternFill patternType="solid">
        <fgColor theme="9" tint="0.59999389629810485"/>
        <bgColor theme="9" tint="0.59999389629810485"/>
      </patternFill>
    </fill>
    <fill>
      <patternFill patternType="solid">
        <fgColor theme="9" tint="0.79998168889431442"/>
        <bgColor theme="9" tint="0.79998168889431442"/>
      </patternFill>
    </fill>
    <fill>
      <patternFill patternType="solid">
        <fgColor theme="9"/>
        <bgColor theme="9"/>
      </patternFill>
    </fill>
    <fill>
      <patternFill patternType="solid">
        <fgColor rgb="FFFFE3CC"/>
        <bgColor rgb="FF000000"/>
      </patternFill>
    </fill>
    <fill>
      <patternFill patternType="solid">
        <fgColor theme="1" tint="0.249977111117893"/>
        <bgColor indexed="64"/>
      </patternFill>
    </fill>
    <fill>
      <patternFill patternType="solid">
        <fgColor theme="8" tint="0.39997558519241921"/>
        <bgColor rgb="FF000000"/>
      </patternFill>
    </fill>
    <fill>
      <patternFill patternType="solid">
        <fgColor theme="8" tint="0.39997558519241921"/>
        <bgColor indexed="64"/>
      </patternFill>
    </fill>
    <fill>
      <patternFill patternType="solid">
        <fgColor theme="1" tint="0.249977111117893"/>
        <bgColor rgb="FF000000"/>
      </patternFill>
    </fill>
    <fill>
      <patternFill patternType="solid">
        <fgColor rgb="FFBD5015"/>
        <bgColor rgb="FF000000"/>
      </patternFill>
    </fill>
    <fill>
      <patternFill patternType="solid">
        <fgColor rgb="FFE87331"/>
        <bgColor rgb="FF000000"/>
      </patternFill>
    </fill>
    <fill>
      <patternFill patternType="solid">
        <fgColor rgb="FFFFC000"/>
        <bgColor indexed="64"/>
      </patternFill>
    </fill>
    <fill>
      <patternFill patternType="solid">
        <fgColor theme="9" tint="0.59999389629810485"/>
        <bgColor rgb="FF000000"/>
      </patternFill>
    </fill>
    <fill>
      <patternFill patternType="solid">
        <fgColor theme="7" tint="0.59999389629810485"/>
        <bgColor indexed="64"/>
      </patternFill>
    </fill>
    <fill>
      <patternFill patternType="solid">
        <fgColor theme="7" tint="0.59999389629810485"/>
        <bgColor rgb="FF000000"/>
      </patternFill>
    </fill>
  </fills>
  <borders count="48">
    <border>
      <left/>
      <right/>
      <top/>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right style="thin">
        <color rgb="FF000000"/>
      </right>
      <top/>
      <bottom/>
      <diagonal/>
    </border>
    <border>
      <left style="medium">
        <color rgb="FF000000"/>
      </left>
      <right/>
      <top style="medium">
        <color rgb="FF000000"/>
      </top>
      <bottom style="medium">
        <color rgb="FF000000"/>
      </bottom>
      <diagonal/>
    </border>
    <border>
      <left/>
      <right/>
      <top style="medium">
        <color rgb="FF000000"/>
      </top>
      <bottom style="medium">
        <color rgb="FF000000"/>
      </bottom>
      <diagonal/>
    </border>
    <border>
      <left/>
      <right style="medium">
        <color rgb="FF000000"/>
      </right>
      <top style="medium">
        <color rgb="FF000000"/>
      </top>
      <bottom style="medium">
        <color rgb="FF000000"/>
      </bottom>
      <diagonal/>
    </border>
    <border>
      <left style="medium">
        <color rgb="FF000000"/>
      </left>
      <right/>
      <top style="medium">
        <color rgb="FF000000"/>
      </top>
      <bottom/>
      <diagonal/>
    </border>
    <border>
      <left/>
      <right/>
      <top style="medium">
        <color rgb="FF000000"/>
      </top>
      <bottom/>
      <diagonal/>
    </border>
    <border>
      <left/>
      <right style="medium">
        <color rgb="FF000000"/>
      </right>
      <top style="medium">
        <color rgb="FF000000"/>
      </top>
      <bottom/>
      <diagonal/>
    </border>
    <border>
      <left style="medium">
        <color rgb="FF000000"/>
      </left>
      <right/>
      <top/>
      <bottom/>
      <diagonal/>
    </border>
    <border>
      <left/>
      <right style="medium">
        <color rgb="FF000000"/>
      </right>
      <top/>
      <bottom/>
      <diagonal/>
    </border>
    <border>
      <left style="medium">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right/>
      <top/>
      <bottom style="thin">
        <color rgb="FF000000"/>
      </bottom>
      <diagonal/>
    </border>
    <border>
      <left/>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style="thin">
        <color rgb="FF000000"/>
      </bottom>
      <diagonal/>
    </border>
    <border>
      <left/>
      <right style="thin">
        <color rgb="FF000000"/>
      </right>
      <top/>
      <bottom style="thin">
        <color rgb="FF000000"/>
      </bottom>
      <diagonal/>
    </border>
    <border>
      <left style="thin">
        <color rgb="FF000000"/>
      </left>
      <right/>
      <top/>
      <bottom/>
      <diagonal/>
    </border>
    <border>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bottom style="medium">
        <color indexed="64"/>
      </bottom>
      <diagonal/>
    </border>
    <border>
      <left/>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rgb="FF000000"/>
      </left>
      <right style="thin">
        <color rgb="FF000000"/>
      </right>
      <top style="thin">
        <color rgb="FF000000"/>
      </top>
      <bottom/>
      <diagonal/>
    </border>
    <border>
      <left/>
      <right/>
      <top/>
      <bottom style="thin">
        <color rgb="FF00B050"/>
      </bottom>
      <diagonal/>
    </border>
    <border>
      <left/>
      <right style="thin">
        <color theme="0"/>
      </right>
      <top style="thin">
        <color theme="0"/>
      </top>
      <bottom style="thin">
        <color theme="0"/>
      </bottom>
      <diagonal/>
    </border>
    <border>
      <left style="thin">
        <color theme="0"/>
      </left>
      <right/>
      <top style="thin">
        <color theme="0"/>
      </top>
      <bottom style="thin">
        <color theme="0"/>
      </bottom>
      <diagonal/>
    </border>
    <border>
      <left/>
      <right style="thin">
        <color theme="0"/>
      </right>
      <top/>
      <bottom style="thick">
        <color theme="0"/>
      </bottom>
      <diagonal/>
    </border>
    <border>
      <left style="thin">
        <color theme="0"/>
      </left>
      <right/>
      <top/>
      <bottom style="thick">
        <color theme="0"/>
      </bottom>
      <diagonal/>
    </border>
    <border>
      <left style="thin">
        <color indexed="64"/>
      </left>
      <right style="thin">
        <color indexed="64"/>
      </right>
      <top style="thin">
        <color indexed="64"/>
      </top>
      <bottom style="thin">
        <color theme="0"/>
      </bottom>
      <diagonal/>
    </border>
    <border>
      <left style="thin">
        <color theme="0"/>
      </left>
      <right/>
      <top style="thin">
        <color theme="0"/>
      </top>
      <bottom/>
      <diagonal/>
    </border>
  </borders>
  <cellStyleXfs count="9">
    <xf numFmtId="0" fontId="0" fillId="0" borderId="0"/>
    <xf numFmtId="44" fontId="21" fillId="0" borderId="0" applyFont="0" applyFill="0" applyBorder="0" applyAlignment="0" applyProtection="0"/>
    <xf numFmtId="0" fontId="21" fillId="0" borderId="0"/>
    <xf numFmtId="0" fontId="13" fillId="0" borderId="0"/>
    <xf numFmtId="44" fontId="13" fillId="0" borderId="0" applyFont="0" applyFill="0" applyBorder="0" applyAlignment="0" applyProtection="0"/>
    <xf numFmtId="0" fontId="21" fillId="0" borderId="0"/>
    <xf numFmtId="9" fontId="21" fillId="0" borderId="0" applyFont="0" applyFill="0" applyBorder="0" applyAlignment="0" applyProtection="0"/>
    <xf numFmtId="0" fontId="57" fillId="0" borderId="0" applyNumberFormat="0" applyFill="0" applyBorder="0" applyAlignment="0" applyProtection="0"/>
    <xf numFmtId="9" fontId="21" fillId="0" borderId="0" applyFont="0" applyFill="0" applyBorder="0" applyAlignment="0" applyProtection="0"/>
  </cellStyleXfs>
  <cellXfs count="556">
    <xf numFmtId="0" fontId="0" fillId="0" borderId="0" xfId="0"/>
    <xf numFmtId="1" fontId="1" fillId="2" borderId="3" xfId="0" applyNumberFormat="1" applyFont="1" applyFill="1" applyBorder="1" applyAlignment="1">
      <alignment horizontal="center"/>
    </xf>
    <xf numFmtId="0" fontId="0" fillId="0" borderId="8" xfId="0" applyBorder="1"/>
    <xf numFmtId="0" fontId="0" fillId="0" borderId="9" xfId="0" applyBorder="1"/>
    <xf numFmtId="0" fontId="0" fillId="0" borderId="10" xfId="0" applyBorder="1"/>
    <xf numFmtId="0" fontId="0" fillId="0" borderId="11" xfId="0" applyBorder="1"/>
    <xf numFmtId="0" fontId="1" fillId="0" borderId="0" xfId="0" applyFont="1"/>
    <xf numFmtId="0" fontId="1" fillId="0" borderId="12" xfId="0" applyFont="1" applyBorder="1"/>
    <xf numFmtId="0" fontId="3" fillId="0" borderId="0" xfId="0" applyFont="1" applyAlignment="1">
      <alignment horizontal="right"/>
    </xf>
    <xf numFmtId="0" fontId="3" fillId="0" borderId="0" xfId="0" applyFont="1" applyAlignment="1">
      <alignment horizontal="center"/>
    </xf>
    <xf numFmtId="0" fontId="0" fillId="0" borderId="12" xfId="0" applyBorder="1"/>
    <xf numFmtId="0" fontId="0" fillId="0" borderId="13" xfId="0" applyBorder="1"/>
    <xf numFmtId="0" fontId="0" fillId="0" borderId="14" xfId="0" applyBorder="1"/>
    <xf numFmtId="0" fontId="0" fillId="0" borderId="15" xfId="0" applyBorder="1"/>
    <xf numFmtId="0" fontId="4" fillId="4" borderId="0" xfId="0" applyFont="1" applyFill="1"/>
    <xf numFmtId="0" fontId="5" fillId="0" borderId="0" xfId="0" applyFont="1"/>
    <xf numFmtId="0" fontId="7" fillId="0" borderId="0" xfId="0" applyFont="1"/>
    <xf numFmtId="0" fontId="8" fillId="5" borderId="14" xfId="0" applyFont="1" applyFill="1" applyBorder="1" applyAlignment="1">
      <alignment horizontal="center"/>
    </xf>
    <xf numFmtId="0" fontId="7" fillId="0" borderId="0" xfId="0" applyFont="1" applyAlignment="1">
      <alignment horizontal="center" vertical="center"/>
    </xf>
    <xf numFmtId="0" fontId="9" fillId="0" borderId="16" xfId="0" applyFont="1" applyBorder="1" applyAlignment="1">
      <alignment vertical="top" wrapText="1"/>
    </xf>
    <xf numFmtId="0" fontId="0" fillId="0" borderId="1" xfId="0" applyBorder="1" applyAlignment="1">
      <alignment wrapText="1"/>
    </xf>
    <xf numFmtId="0" fontId="11" fillId="0" borderId="18" xfId="0" applyFont="1" applyBorder="1" applyAlignment="1">
      <alignment vertical="top" wrapText="1" indent="2"/>
    </xf>
    <xf numFmtId="0" fontId="11" fillId="0" borderId="18" xfId="0" applyFont="1" applyBorder="1" applyAlignment="1">
      <alignment vertical="top" wrapText="1"/>
    </xf>
    <xf numFmtId="0" fontId="11" fillId="0" borderId="19" xfId="0" applyFont="1" applyBorder="1" applyAlignment="1">
      <alignment vertical="top" wrapText="1"/>
    </xf>
    <xf numFmtId="0" fontId="11" fillId="0" borderId="20" xfId="0" applyFont="1" applyBorder="1" applyAlignment="1">
      <alignment vertical="top" wrapText="1"/>
    </xf>
    <xf numFmtId="0" fontId="11" fillId="0" borderId="21" xfId="0" applyFont="1" applyBorder="1" applyAlignment="1">
      <alignment vertical="top" wrapText="1" indent="1"/>
    </xf>
    <xf numFmtId="0" fontId="11" fillId="0" borderId="21" xfId="0" applyFont="1" applyBorder="1" applyAlignment="1">
      <alignment vertical="top" wrapText="1"/>
    </xf>
    <xf numFmtId="0" fontId="11" fillId="0" borderId="16" xfId="0" applyFont="1" applyBorder="1" applyAlignment="1">
      <alignment vertical="top" wrapText="1"/>
    </xf>
    <xf numFmtId="0" fontId="11" fillId="0" borderId="22" xfId="0" applyFont="1" applyBorder="1" applyAlignment="1">
      <alignment vertical="top" wrapText="1"/>
    </xf>
    <xf numFmtId="0" fontId="11" fillId="0" borderId="1" xfId="0" applyFont="1" applyBorder="1" applyAlignment="1">
      <alignment vertical="top" wrapText="1"/>
    </xf>
    <xf numFmtId="0" fontId="11" fillId="0" borderId="17" xfId="0" applyFont="1" applyBorder="1" applyAlignment="1">
      <alignment vertical="top" wrapText="1"/>
    </xf>
    <xf numFmtId="0" fontId="11" fillId="0" borderId="2" xfId="0" applyFont="1" applyBorder="1" applyAlignment="1">
      <alignment vertical="top" wrapText="1"/>
    </xf>
    <xf numFmtId="0" fontId="12" fillId="0" borderId="1" xfId="0" applyFont="1" applyBorder="1" applyAlignment="1">
      <alignment vertical="top" wrapText="1"/>
    </xf>
    <xf numFmtId="0" fontId="12" fillId="0" borderId="17" xfId="0" applyFont="1" applyBorder="1" applyAlignment="1">
      <alignment vertical="top" wrapText="1"/>
    </xf>
    <xf numFmtId="0" fontId="12" fillId="0" borderId="2" xfId="0" applyFont="1" applyBorder="1" applyAlignment="1">
      <alignment vertical="top" wrapText="1"/>
    </xf>
    <xf numFmtId="165" fontId="14" fillId="0" borderId="1" xfId="0" applyNumberFormat="1" applyFont="1" applyBorder="1" applyAlignment="1">
      <alignment vertical="top" shrinkToFit="1"/>
    </xf>
    <xf numFmtId="165" fontId="14" fillId="0" borderId="17" xfId="0" applyNumberFormat="1" applyFont="1" applyBorder="1" applyAlignment="1">
      <alignment vertical="top" shrinkToFit="1"/>
    </xf>
    <xf numFmtId="165" fontId="14" fillId="0" borderId="2" xfId="0" applyNumberFormat="1" applyFont="1" applyBorder="1" applyAlignment="1">
      <alignment vertical="top" shrinkToFit="1"/>
    </xf>
    <xf numFmtId="0" fontId="15" fillId="0" borderId="1" xfId="0" applyFont="1" applyBorder="1" applyAlignment="1">
      <alignment vertical="top" wrapText="1"/>
    </xf>
    <xf numFmtId="0" fontId="9" fillId="0" borderId="17" xfId="0" applyFont="1" applyBorder="1" applyAlignment="1">
      <alignment vertical="top" wrapText="1"/>
    </xf>
    <xf numFmtId="0" fontId="18" fillId="0" borderId="17" xfId="0" applyFont="1" applyBorder="1" applyAlignment="1">
      <alignment vertical="top" wrapText="1"/>
    </xf>
    <xf numFmtId="0" fontId="17" fillId="0" borderId="18" xfId="0" applyFont="1" applyBorder="1" applyAlignment="1">
      <alignment vertical="top" wrapText="1" indent="2"/>
    </xf>
    <xf numFmtId="0" fontId="17" fillId="0" borderId="19" xfId="0" applyFont="1" applyBorder="1" applyAlignment="1">
      <alignment vertical="top" wrapText="1" indent="2"/>
    </xf>
    <xf numFmtId="0" fontId="17" fillId="0" borderId="20" xfId="0" applyFont="1" applyBorder="1" applyAlignment="1">
      <alignment vertical="top" wrapText="1" indent="2"/>
    </xf>
    <xf numFmtId="0" fontId="18" fillId="0" borderId="18" xfId="0" applyFont="1" applyBorder="1" applyAlignment="1">
      <alignment vertical="top" wrapText="1"/>
    </xf>
    <xf numFmtId="0" fontId="18" fillId="0" borderId="19" xfId="0" applyFont="1" applyBorder="1" applyAlignment="1">
      <alignment vertical="top" wrapText="1"/>
    </xf>
    <xf numFmtId="0" fontId="18" fillId="0" borderId="20" xfId="0" applyFont="1" applyBorder="1" applyAlignment="1">
      <alignment vertical="top" wrapText="1"/>
    </xf>
    <xf numFmtId="0" fontId="18" fillId="0" borderId="18" xfId="0" applyFont="1" applyBorder="1" applyAlignment="1">
      <alignment vertical="top" wrapText="1" indent="2"/>
    </xf>
    <xf numFmtId="0" fontId="18" fillId="0" borderId="19" xfId="0" applyFont="1" applyBorder="1" applyAlignment="1">
      <alignment vertical="top" wrapText="1" indent="2"/>
    </xf>
    <xf numFmtId="0" fontId="18" fillId="0" borderId="20" xfId="0" applyFont="1" applyBorder="1" applyAlignment="1">
      <alignment vertical="top" wrapText="1" indent="2"/>
    </xf>
    <xf numFmtId="0" fontId="17" fillId="0" borderId="21" xfId="0" applyFont="1" applyBorder="1" applyAlignment="1">
      <alignment vertical="top" wrapText="1" indent="1"/>
    </xf>
    <xf numFmtId="0" fontId="17" fillId="0" borderId="16" xfId="0" applyFont="1" applyBorder="1" applyAlignment="1">
      <alignment vertical="top" wrapText="1" indent="1"/>
    </xf>
    <xf numFmtId="0" fontId="17" fillId="0" borderId="22" xfId="0" applyFont="1" applyBorder="1" applyAlignment="1">
      <alignment vertical="top" wrapText="1" indent="1"/>
    </xf>
    <xf numFmtId="0" fontId="18" fillId="0" borderId="21" xfId="0" applyFont="1" applyBorder="1" applyAlignment="1">
      <alignment vertical="top" wrapText="1"/>
    </xf>
    <xf numFmtId="0" fontId="18" fillId="0" borderId="16" xfId="0" applyFont="1" applyBorder="1" applyAlignment="1">
      <alignment vertical="top" wrapText="1"/>
    </xf>
    <xf numFmtId="0" fontId="18" fillId="0" borderId="22" xfId="0" applyFont="1" applyBorder="1" applyAlignment="1">
      <alignment vertical="top" wrapText="1"/>
    </xf>
    <xf numFmtId="0" fontId="18" fillId="0" borderId="21" xfId="0" applyFont="1" applyBorder="1" applyAlignment="1">
      <alignment vertical="top" wrapText="1" indent="1"/>
    </xf>
    <xf numFmtId="0" fontId="18" fillId="0" borderId="16" xfId="0" applyFont="1" applyBorder="1" applyAlignment="1">
      <alignment vertical="top" wrapText="1" indent="1"/>
    </xf>
    <xf numFmtId="0" fontId="18" fillId="0" borderId="22" xfId="0" applyFont="1" applyBorder="1" applyAlignment="1">
      <alignment vertical="top" wrapText="1" indent="1"/>
    </xf>
    <xf numFmtId="1" fontId="19" fillId="0" borderId="1" xfId="0" applyNumberFormat="1" applyFont="1" applyBorder="1" applyAlignment="1">
      <alignment vertical="top" shrinkToFit="1"/>
    </xf>
    <xf numFmtId="1" fontId="19" fillId="0" borderId="17" xfId="0" applyNumberFormat="1" applyFont="1" applyBorder="1" applyAlignment="1">
      <alignment vertical="top" shrinkToFit="1"/>
    </xf>
    <xf numFmtId="1" fontId="19" fillId="0" borderId="2" xfId="0" applyNumberFormat="1" applyFont="1" applyBorder="1" applyAlignment="1">
      <alignment vertical="top" shrinkToFit="1"/>
    </xf>
    <xf numFmtId="0" fontId="18" fillId="0" borderId="1" xfId="0" applyFont="1" applyBorder="1" applyAlignment="1">
      <alignment vertical="top" wrapText="1"/>
    </xf>
    <xf numFmtId="0" fontId="18" fillId="0" borderId="2" xfId="0" applyFont="1" applyBorder="1" applyAlignment="1">
      <alignment vertical="top" wrapText="1"/>
    </xf>
    <xf numFmtId="165" fontId="19" fillId="0" borderId="1" xfId="0" applyNumberFormat="1" applyFont="1" applyBorder="1" applyAlignment="1">
      <alignment vertical="top" indent="2" shrinkToFit="1"/>
    </xf>
    <xf numFmtId="165" fontId="19" fillId="0" borderId="1" xfId="0" applyNumberFormat="1" applyFont="1" applyBorder="1" applyAlignment="1">
      <alignment vertical="top" shrinkToFit="1"/>
    </xf>
    <xf numFmtId="165" fontId="19" fillId="0" borderId="1" xfId="0" applyNumberFormat="1" applyFont="1" applyBorder="1" applyAlignment="1">
      <alignment vertical="top" indent="1" shrinkToFit="1"/>
    </xf>
    <xf numFmtId="165" fontId="19" fillId="0" borderId="17" xfId="0" applyNumberFormat="1" applyFont="1" applyBorder="1" applyAlignment="1">
      <alignment vertical="top" indent="1" shrinkToFit="1"/>
    </xf>
    <xf numFmtId="165" fontId="19" fillId="0" borderId="2" xfId="0" applyNumberFormat="1" applyFont="1" applyBorder="1" applyAlignment="1">
      <alignment vertical="top" indent="1" shrinkToFit="1"/>
    </xf>
    <xf numFmtId="0" fontId="18" fillId="0" borderId="1" xfId="0" applyFont="1" applyBorder="1" applyAlignment="1">
      <alignment vertical="top" wrapText="1" indent="1"/>
    </xf>
    <xf numFmtId="0" fontId="18" fillId="0" borderId="17" xfId="0" applyFont="1" applyBorder="1" applyAlignment="1">
      <alignment vertical="top" wrapText="1" indent="1"/>
    </xf>
    <xf numFmtId="0" fontId="18" fillId="0" borderId="2" xfId="0" applyFont="1" applyBorder="1" applyAlignment="1">
      <alignment vertical="top" wrapText="1" indent="1"/>
    </xf>
    <xf numFmtId="166" fontId="0" fillId="0" borderId="0" xfId="0" applyNumberFormat="1"/>
    <xf numFmtId="0" fontId="0" fillId="0" borderId="0" xfId="0" applyAlignment="1">
      <alignment horizontal="right"/>
    </xf>
    <xf numFmtId="0" fontId="20" fillId="0" borderId="0" xfId="0" applyFont="1" applyAlignment="1">
      <alignment vertical="top" wrapText="1"/>
    </xf>
    <xf numFmtId="0" fontId="0" fillId="0" borderId="23" xfId="0" applyBorder="1" applyAlignment="1">
      <alignment vertical="top" wrapText="1"/>
    </xf>
    <xf numFmtId="0" fontId="0" fillId="0" borderId="0" xfId="0" applyAlignment="1">
      <alignment vertical="top" wrapText="1"/>
    </xf>
    <xf numFmtId="0" fontId="0" fillId="0" borderId="4" xfId="0" applyBorder="1" applyAlignment="1">
      <alignment vertical="top" wrapText="1"/>
    </xf>
    <xf numFmtId="0" fontId="11" fillId="0" borderId="21" xfId="0" applyFont="1" applyBorder="1" applyAlignment="1">
      <alignment vertical="top" wrapText="1" indent="3"/>
    </xf>
    <xf numFmtId="0" fontId="11" fillId="0" borderId="16" xfId="0" applyFont="1" applyBorder="1" applyAlignment="1">
      <alignment vertical="top" wrapText="1" indent="3"/>
    </xf>
    <xf numFmtId="0" fontId="11" fillId="0" borderId="22" xfId="0" applyFont="1" applyBorder="1" applyAlignment="1">
      <alignment vertical="top" wrapText="1" indent="3"/>
    </xf>
    <xf numFmtId="0" fontId="11" fillId="0" borderId="1" xfId="0" applyFont="1" applyBorder="1" applyAlignment="1">
      <alignment vertical="top" wrapText="1" indent="2"/>
    </xf>
    <xf numFmtId="0" fontId="11" fillId="0" borderId="17" xfId="0" applyFont="1" applyBorder="1" applyAlignment="1">
      <alignment vertical="top" wrapText="1" indent="2"/>
    </xf>
    <xf numFmtId="0" fontId="11" fillId="0" borderId="2" xfId="0" applyFont="1" applyBorder="1" applyAlignment="1">
      <alignment vertical="top" wrapText="1" indent="2"/>
    </xf>
    <xf numFmtId="0" fontId="0" fillId="0" borderId="23" xfId="0" applyBorder="1" applyAlignment="1">
      <alignment wrapText="1"/>
    </xf>
    <xf numFmtId="0" fontId="0" fillId="0" borderId="0" xfId="0" applyAlignment="1">
      <alignment wrapText="1"/>
    </xf>
    <xf numFmtId="0" fontId="0" fillId="0" borderId="16" xfId="0" applyBorder="1"/>
    <xf numFmtId="44" fontId="22" fillId="6" borderId="0" xfId="1" applyFont="1" applyFill="1" applyAlignment="1">
      <alignment horizontal="center" vertical="center" wrapText="1"/>
    </xf>
    <xf numFmtId="0" fontId="5" fillId="0" borderId="0" xfId="0" applyFont="1" applyAlignment="1">
      <alignment horizontal="center"/>
    </xf>
    <xf numFmtId="44" fontId="0" fillId="2" borderId="0" xfId="1" applyFont="1" applyFill="1" applyBorder="1"/>
    <xf numFmtId="0" fontId="0" fillId="0" borderId="24" xfId="0" applyBorder="1"/>
    <xf numFmtId="44" fontId="0" fillId="2" borderId="24" xfId="1" applyFont="1" applyFill="1" applyBorder="1"/>
    <xf numFmtId="0" fontId="0" fillId="0" borderId="0" xfId="0" quotePrefix="1" applyAlignment="1">
      <alignment horizontal="right"/>
    </xf>
    <xf numFmtId="0" fontId="0" fillId="0" borderId="0" xfId="0" quotePrefix="1" applyAlignment="1">
      <alignment horizontal="center"/>
    </xf>
    <xf numFmtId="0" fontId="23" fillId="0" borderId="28" xfId="2" applyFont="1" applyBorder="1" applyAlignment="1">
      <alignment horizontal="center" vertical="center"/>
    </xf>
    <xf numFmtId="12" fontId="23" fillId="0" borderId="28" xfId="2" applyNumberFormat="1" applyFont="1" applyBorder="1" applyAlignment="1">
      <alignment horizontal="center" vertical="center"/>
    </xf>
    <xf numFmtId="0" fontId="23" fillId="0" borderId="28" xfId="2" applyFont="1" applyBorder="1" applyAlignment="1">
      <alignment horizontal="center"/>
    </xf>
    <xf numFmtId="12" fontId="23" fillId="0" borderId="28" xfId="2" applyNumberFormat="1" applyFont="1" applyBorder="1" applyAlignment="1">
      <alignment horizontal="center"/>
    </xf>
    <xf numFmtId="0" fontId="23" fillId="0" borderId="0" xfId="2" applyFont="1" applyAlignment="1">
      <alignment horizontal="center" vertical="center"/>
    </xf>
    <xf numFmtId="0" fontId="23" fillId="0" borderId="0" xfId="2" applyFont="1" applyAlignment="1">
      <alignment horizontal="center"/>
    </xf>
    <xf numFmtId="164" fontId="3" fillId="0" borderId="0" xfId="0" applyNumberFormat="1" applyFont="1" applyAlignment="1">
      <alignment horizontal="center"/>
    </xf>
    <xf numFmtId="0" fontId="0" fillId="0" borderId="0" xfId="0" applyAlignment="1">
      <alignment horizontal="center"/>
    </xf>
    <xf numFmtId="0" fontId="27" fillId="0" borderId="29" xfId="3" applyFont="1" applyBorder="1"/>
    <xf numFmtId="0" fontId="3" fillId="3" borderId="1" xfId="0" applyFont="1" applyFill="1" applyBorder="1" applyAlignment="1">
      <alignment horizontal="right"/>
    </xf>
    <xf numFmtId="0" fontId="3" fillId="3" borderId="2" xfId="0" applyFont="1" applyFill="1" applyBorder="1" applyAlignment="1">
      <alignment horizontal="right"/>
    </xf>
    <xf numFmtId="164" fontId="3" fillId="3" borderId="1" xfId="0" applyNumberFormat="1" applyFont="1" applyFill="1" applyBorder="1"/>
    <xf numFmtId="164" fontId="3" fillId="3" borderId="2" xfId="0" applyNumberFormat="1" applyFont="1" applyFill="1" applyBorder="1"/>
    <xf numFmtId="1" fontId="3" fillId="3" borderId="1" xfId="0" applyNumberFormat="1" applyFont="1" applyFill="1" applyBorder="1"/>
    <xf numFmtId="1" fontId="3" fillId="3" borderId="2" xfId="0" applyNumberFormat="1" applyFont="1" applyFill="1" applyBorder="1"/>
    <xf numFmtId="168" fontId="1" fillId="2" borderId="3" xfId="0" applyNumberFormat="1" applyFont="1" applyFill="1" applyBorder="1" applyAlignment="1">
      <alignment horizontal="center"/>
    </xf>
    <xf numFmtId="0" fontId="7" fillId="0" borderId="0" xfId="0" applyFont="1" applyAlignment="1">
      <alignment horizontal="center"/>
    </xf>
    <xf numFmtId="0" fontId="28" fillId="6" borderId="28" xfId="0" applyFont="1" applyFill="1" applyBorder="1" applyAlignment="1">
      <alignment horizontal="center" vertical="center" wrapText="1"/>
    </xf>
    <xf numFmtId="166" fontId="0" fillId="2" borderId="0" xfId="1" applyNumberFormat="1" applyFont="1" applyFill="1" applyBorder="1"/>
    <xf numFmtId="0" fontId="7" fillId="8" borderId="28" xfId="0" applyFont="1" applyFill="1" applyBorder="1"/>
    <xf numFmtId="0" fontId="7" fillId="0" borderId="28" xfId="0" applyFont="1" applyBorder="1"/>
    <xf numFmtId="0" fontId="0" fillId="8" borderId="28" xfId="0" applyFill="1" applyBorder="1" applyAlignment="1">
      <alignment horizontal="center"/>
    </xf>
    <xf numFmtId="0" fontId="0" fillId="0" borderId="28" xfId="0" applyBorder="1"/>
    <xf numFmtId="0" fontId="0" fillId="0" borderId="28" xfId="0" applyBorder="1" applyAlignment="1">
      <alignment horizontal="center"/>
    </xf>
    <xf numFmtId="166" fontId="0" fillId="0" borderId="28" xfId="0" applyNumberFormat="1" applyBorder="1"/>
    <xf numFmtId="0" fontId="29" fillId="0" borderId="0" xfId="0" applyFont="1"/>
    <xf numFmtId="0" fontId="7" fillId="0" borderId="28" xfId="0" applyFont="1" applyBorder="1" applyAlignment="1">
      <alignment horizontal="center"/>
    </xf>
    <xf numFmtId="1" fontId="0" fillId="0" borderId="28" xfId="0" applyNumberFormat="1" applyBorder="1" applyAlignment="1">
      <alignment horizontal="center"/>
    </xf>
    <xf numFmtId="0" fontId="7" fillId="0" borderId="28" xfId="2" applyFont="1" applyBorder="1" applyAlignment="1">
      <alignment horizontal="center"/>
    </xf>
    <xf numFmtId="2" fontId="0" fillId="0" borderId="28" xfId="0" applyNumberFormat="1" applyBorder="1" applyAlignment="1">
      <alignment horizontal="center"/>
    </xf>
    <xf numFmtId="166" fontId="0" fillId="0" borderId="28" xfId="0" applyNumberFormat="1" applyBorder="1" applyAlignment="1">
      <alignment horizontal="center"/>
    </xf>
    <xf numFmtId="0" fontId="0" fillId="0" borderId="28" xfId="0" quotePrefix="1" applyBorder="1"/>
    <xf numFmtId="166" fontId="0" fillId="0" borderId="28" xfId="1" applyNumberFormat="1" applyFont="1" applyBorder="1"/>
    <xf numFmtId="0" fontId="0" fillId="0" borderId="28" xfId="0" applyBorder="1" applyAlignment="1">
      <alignment horizontal="left"/>
    </xf>
    <xf numFmtId="166" fontId="0" fillId="0" borderId="0" xfId="1" applyNumberFormat="1" applyFont="1" applyFill="1" applyBorder="1"/>
    <xf numFmtId="166" fontId="0" fillId="0" borderId="0" xfId="1" applyNumberFormat="1" applyFont="1" applyFill="1"/>
    <xf numFmtId="0" fontId="4" fillId="4" borderId="28" xfId="0" applyFont="1" applyFill="1" applyBorder="1"/>
    <xf numFmtId="0" fontId="5" fillId="0" borderId="28" xfId="0" applyFont="1" applyBorder="1"/>
    <xf numFmtId="0" fontId="21" fillId="0" borderId="28" xfId="2" applyBorder="1" applyAlignment="1">
      <alignment horizontal="center"/>
    </xf>
    <xf numFmtId="0" fontId="26" fillId="0" borderId="28" xfId="0" applyFont="1" applyBorder="1" applyAlignment="1">
      <alignment horizontal="center" vertical="center" wrapText="1"/>
    </xf>
    <xf numFmtId="0" fontId="27" fillId="0" borderId="0" xfId="3" applyFont="1"/>
    <xf numFmtId="1" fontId="3" fillId="3" borderId="1" xfId="0" applyNumberFormat="1" applyFont="1" applyFill="1" applyBorder="1" applyAlignment="1">
      <alignment horizontal="right"/>
    </xf>
    <xf numFmtId="49" fontId="17" fillId="0" borderId="28" xfId="3" applyNumberFormat="1" applyFont="1" applyBorder="1" applyAlignment="1">
      <alignment horizontal="center" vertical="center" wrapText="1" shrinkToFit="1"/>
    </xf>
    <xf numFmtId="49" fontId="17" fillId="0" borderId="25" xfId="3" applyNumberFormat="1" applyFont="1" applyBorder="1" applyAlignment="1">
      <alignment horizontal="center" vertical="center" wrapText="1" shrinkToFit="1"/>
    </xf>
    <xf numFmtId="0" fontId="17" fillId="0" borderId="0" xfId="3" applyFont="1" applyAlignment="1">
      <alignment horizontal="center" vertical="center" wrapText="1"/>
    </xf>
    <xf numFmtId="0" fontId="18" fillId="0" borderId="28" xfId="3" applyFont="1" applyBorder="1" applyAlignment="1">
      <alignment horizontal="center"/>
    </xf>
    <xf numFmtId="167" fontId="18" fillId="0" borderId="25" xfId="3" applyNumberFormat="1" applyFont="1" applyBorder="1" applyAlignment="1">
      <alignment horizontal="center" vertical="center"/>
    </xf>
    <xf numFmtId="7" fontId="18" fillId="0" borderId="0" xfId="4" applyNumberFormat="1" applyFont="1" applyFill="1" applyBorder="1" applyAlignment="1">
      <alignment horizontal="center" vertical="center"/>
    </xf>
    <xf numFmtId="49" fontId="18" fillId="0" borderId="28" xfId="3" applyNumberFormat="1" applyFont="1" applyBorder="1" applyAlignment="1">
      <alignment horizontal="center"/>
    </xf>
    <xf numFmtId="2" fontId="18" fillId="0" borderId="28" xfId="3" quotePrefix="1" applyNumberFormat="1" applyFont="1" applyBorder="1" applyAlignment="1">
      <alignment horizontal="center"/>
    </xf>
    <xf numFmtId="49" fontId="18" fillId="0" borderId="26" xfId="3" applyNumberFormat="1" applyFont="1" applyBorder="1" applyAlignment="1">
      <alignment horizontal="center"/>
    </xf>
    <xf numFmtId="167" fontId="18" fillId="0" borderId="26" xfId="3" applyNumberFormat="1" applyFont="1" applyBorder="1" applyAlignment="1">
      <alignment horizontal="center" vertical="center"/>
    </xf>
    <xf numFmtId="0" fontId="17" fillId="7" borderId="30" xfId="3" applyFont="1" applyFill="1" applyBorder="1" applyAlignment="1">
      <alignment horizontal="center" vertical="center" wrapText="1"/>
    </xf>
    <xf numFmtId="7" fontId="18" fillId="7" borderId="26" xfId="4" applyNumberFormat="1" applyFont="1" applyFill="1" applyBorder="1" applyAlignment="1">
      <alignment horizontal="center" vertical="center"/>
    </xf>
    <xf numFmtId="0" fontId="26" fillId="0" borderId="0" xfId="0" applyFont="1" applyAlignment="1">
      <alignment horizontal="center" vertical="center" wrapText="1"/>
    </xf>
    <xf numFmtId="0" fontId="18" fillId="0" borderId="26" xfId="3" applyFont="1" applyBorder="1" applyAlignment="1">
      <alignment horizontal="center"/>
    </xf>
    <xf numFmtId="166" fontId="22" fillId="6" borderId="28" xfId="1" applyNumberFormat="1" applyFont="1" applyFill="1" applyBorder="1" applyAlignment="1">
      <alignment horizontal="center" vertical="center" wrapText="1"/>
    </xf>
    <xf numFmtId="0" fontId="5" fillId="0" borderId="37" xfId="0" applyFont="1" applyBorder="1" applyAlignment="1">
      <alignment horizontal="center"/>
    </xf>
    <xf numFmtId="0" fontId="0" fillId="0" borderId="28" xfId="0" applyBorder="1" applyAlignment="1">
      <alignment horizontal="center" wrapText="1"/>
    </xf>
    <xf numFmtId="9" fontId="0" fillId="0" borderId="0" xfId="0" applyNumberFormat="1"/>
    <xf numFmtId="164" fontId="3" fillId="0" borderId="0" xfId="0" applyNumberFormat="1" applyFont="1"/>
    <xf numFmtId="0" fontId="4" fillId="10" borderId="0" xfId="0" applyFont="1" applyFill="1" applyAlignment="1">
      <alignment horizontal="center" vertical="center" wrapText="1"/>
    </xf>
    <xf numFmtId="0" fontId="25" fillId="0" borderId="0" xfId="0" applyFont="1" applyAlignment="1">
      <alignment horizontal="center"/>
    </xf>
    <xf numFmtId="0" fontId="30" fillId="0" borderId="0" xfId="0" applyFont="1"/>
    <xf numFmtId="8" fontId="30" fillId="11" borderId="0" xfId="0" applyNumberFormat="1" applyFont="1" applyFill="1"/>
    <xf numFmtId="0" fontId="25" fillId="0" borderId="24" xfId="0" applyFont="1" applyBorder="1" applyAlignment="1">
      <alignment horizontal="center"/>
    </xf>
    <xf numFmtId="0" fontId="30" fillId="0" borderId="24" xfId="0" applyFont="1" applyBorder="1"/>
    <xf numFmtId="8" fontId="30" fillId="11" borderId="24" xfId="0" applyNumberFormat="1" applyFont="1" applyFill="1" applyBorder="1"/>
    <xf numFmtId="0" fontId="31" fillId="12" borderId="28" xfId="0" applyFont="1" applyFill="1" applyBorder="1" applyAlignment="1">
      <alignment vertical="center"/>
    </xf>
    <xf numFmtId="164" fontId="32" fillId="8" borderId="28" xfId="0" applyNumberFormat="1" applyFont="1" applyFill="1" applyBorder="1" applyAlignment="1">
      <alignment horizontal="center" vertical="center"/>
    </xf>
    <xf numFmtId="164" fontId="31" fillId="12" borderId="28" xfId="0" applyNumberFormat="1" applyFont="1" applyFill="1" applyBorder="1" applyAlignment="1">
      <alignment horizontal="right" vertical="center"/>
    </xf>
    <xf numFmtId="2" fontId="32" fillId="12" borderId="28" xfId="0" applyNumberFormat="1" applyFont="1" applyFill="1" applyBorder="1" applyAlignment="1">
      <alignment vertical="center"/>
    </xf>
    <xf numFmtId="164" fontId="32" fillId="12" borderId="28" xfId="0" applyNumberFormat="1" applyFont="1" applyFill="1" applyBorder="1" applyAlignment="1">
      <alignment horizontal="right" vertical="center"/>
    </xf>
    <xf numFmtId="0" fontId="7" fillId="13" borderId="28" xfId="0" applyFont="1" applyFill="1" applyBorder="1" applyAlignment="1">
      <alignment horizontal="center"/>
    </xf>
    <xf numFmtId="164" fontId="7" fillId="13" borderId="28" xfId="0" applyNumberFormat="1" applyFont="1" applyFill="1" applyBorder="1" applyAlignment="1">
      <alignment horizontal="center" vertical="center"/>
    </xf>
    <xf numFmtId="164" fontId="32" fillId="13" borderId="28" xfId="0" applyNumberFormat="1" applyFont="1" applyFill="1" applyBorder="1" applyAlignment="1">
      <alignment horizontal="center" vertical="center"/>
    </xf>
    <xf numFmtId="0" fontId="34" fillId="11" borderId="28" xfId="0" applyFont="1" applyFill="1" applyBorder="1"/>
    <xf numFmtId="2" fontId="0" fillId="0" borderId="0" xfId="0" applyNumberFormat="1"/>
    <xf numFmtId="2" fontId="0" fillId="0" borderId="0" xfId="0" applyNumberFormat="1" applyAlignment="1">
      <alignment horizontal="center"/>
    </xf>
    <xf numFmtId="1" fontId="0" fillId="0" borderId="0" xfId="0" applyNumberFormat="1"/>
    <xf numFmtId="0" fontId="7" fillId="14" borderId="28" xfId="0" applyFont="1" applyFill="1" applyBorder="1" applyAlignment="1">
      <alignment horizontal="center"/>
    </xf>
    <xf numFmtId="164" fontId="32" fillId="14" borderId="28" xfId="0" applyNumberFormat="1" applyFont="1" applyFill="1" applyBorder="1" applyAlignment="1">
      <alignment horizontal="center" vertical="center"/>
    </xf>
    <xf numFmtId="0" fontId="35" fillId="0" borderId="0" xfId="0" applyFont="1"/>
    <xf numFmtId="0" fontId="36" fillId="0" borderId="0" xfId="0" applyFont="1" applyAlignment="1">
      <alignment horizontal="center" vertical="center" readingOrder="1"/>
    </xf>
    <xf numFmtId="0" fontId="37" fillId="0" borderId="0" xfId="0" applyFont="1"/>
    <xf numFmtId="2" fontId="36" fillId="0" borderId="0" xfId="0" applyNumberFormat="1" applyFont="1" applyAlignment="1">
      <alignment horizontal="center" vertical="center" readingOrder="1"/>
    </xf>
    <xf numFmtId="164" fontId="0" fillId="0" borderId="0" xfId="0" applyNumberFormat="1"/>
    <xf numFmtId="0" fontId="7" fillId="15" borderId="28" xfId="0" applyFont="1" applyFill="1" applyBorder="1" applyAlignment="1">
      <alignment horizontal="center"/>
    </xf>
    <xf numFmtId="164" fontId="32" fillId="15" borderId="28" xfId="0" applyNumberFormat="1" applyFont="1" applyFill="1" applyBorder="1" applyAlignment="1">
      <alignment horizontal="center" vertical="center"/>
    </xf>
    <xf numFmtId="43" fontId="32" fillId="0" borderId="0" xfId="0" applyNumberFormat="1" applyFont="1" applyAlignment="1">
      <alignment horizontal="center" vertical="center"/>
    </xf>
    <xf numFmtId="0" fontId="7" fillId="3" borderId="28" xfId="0" applyFont="1" applyFill="1" applyBorder="1" applyAlignment="1">
      <alignment horizontal="center"/>
    </xf>
    <xf numFmtId="49" fontId="7" fillId="3" borderId="28" xfId="0" applyNumberFormat="1" applyFont="1" applyFill="1" applyBorder="1" applyAlignment="1">
      <alignment horizontal="center"/>
    </xf>
    <xf numFmtId="164" fontId="32" fillId="3" borderId="28" xfId="0" applyNumberFormat="1" applyFont="1" applyFill="1" applyBorder="1" applyAlignment="1">
      <alignment horizontal="center" vertical="center"/>
    </xf>
    <xf numFmtId="0" fontId="7" fillId="16" borderId="28" xfId="0" applyFont="1" applyFill="1" applyBorder="1" applyAlignment="1">
      <alignment horizontal="center"/>
    </xf>
    <xf numFmtId="164" fontId="32" fillId="16" borderId="28" xfId="0" applyNumberFormat="1" applyFont="1" applyFill="1" applyBorder="1" applyAlignment="1">
      <alignment horizontal="center" vertical="center"/>
    </xf>
    <xf numFmtId="0" fontId="7" fillId="17" borderId="28" xfId="0" applyFont="1" applyFill="1" applyBorder="1" applyAlignment="1">
      <alignment horizontal="center"/>
    </xf>
    <xf numFmtId="0" fontId="32" fillId="12" borderId="28" xfId="0" applyFont="1" applyFill="1" applyBorder="1" applyAlignment="1">
      <alignment vertical="center"/>
    </xf>
    <xf numFmtId="164" fontId="32" fillId="17" borderId="28" xfId="0" applyNumberFormat="1" applyFont="1" applyFill="1" applyBorder="1" applyAlignment="1">
      <alignment horizontal="center" vertical="center"/>
    </xf>
    <xf numFmtId="0" fontId="7" fillId="18" borderId="28" xfId="5" applyFont="1" applyFill="1" applyBorder="1" applyAlignment="1">
      <alignment horizontal="center"/>
    </xf>
    <xf numFmtId="0" fontId="32" fillId="12" borderId="28" xfId="5" applyFont="1" applyFill="1" applyBorder="1" applyAlignment="1">
      <alignment vertical="center"/>
    </xf>
    <xf numFmtId="164" fontId="32" fillId="19" borderId="28" xfId="0" applyNumberFormat="1" applyFont="1" applyFill="1" applyBorder="1" applyAlignment="1">
      <alignment horizontal="center" vertical="center"/>
    </xf>
    <xf numFmtId="0" fontId="7" fillId="20" borderId="28" xfId="5" applyFont="1" applyFill="1" applyBorder="1" applyAlignment="1">
      <alignment horizontal="center"/>
    </xf>
    <xf numFmtId="44" fontId="32" fillId="20" borderId="28" xfId="1" applyFont="1" applyFill="1" applyBorder="1" applyAlignment="1">
      <alignment horizontal="center" vertical="center"/>
    </xf>
    <xf numFmtId="44" fontId="32" fillId="12" borderId="28" xfId="1" applyFont="1" applyFill="1" applyBorder="1" applyAlignment="1">
      <alignment horizontal="right" vertical="center"/>
    </xf>
    <xf numFmtId="44" fontId="21" fillId="12" borderId="0" xfId="1" applyFont="1" applyFill="1" applyAlignment="1">
      <alignment horizontal="center"/>
    </xf>
    <xf numFmtId="0" fontId="31" fillId="0" borderId="0" xfId="0" applyFont="1" applyAlignment="1">
      <alignment vertical="center"/>
    </xf>
    <xf numFmtId="164" fontId="0" fillId="0" borderId="0" xfId="0" applyNumberFormat="1" applyAlignment="1">
      <alignment horizontal="center" vertical="center"/>
    </xf>
    <xf numFmtId="164" fontId="31" fillId="0" borderId="0" xfId="0" applyNumberFormat="1" applyFont="1" applyAlignment="1">
      <alignment horizontal="center" vertical="center"/>
    </xf>
    <xf numFmtId="164" fontId="31" fillId="0" borderId="0" xfId="0" applyNumberFormat="1" applyFont="1" applyAlignment="1">
      <alignment horizontal="right" vertical="center"/>
    </xf>
    <xf numFmtId="0" fontId="0" fillId="0" borderId="31" xfId="0" applyBorder="1"/>
    <xf numFmtId="0" fontId="0" fillId="0" borderId="30" xfId="0" applyBorder="1"/>
    <xf numFmtId="0" fontId="0" fillId="0" borderId="32" xfId="0" applyBorder="1"/>
    <xf numFmtId="0" fontId="0" fillId="0" borderId="33" xfId="0" applyBorder="1"/>
    <xf numFmtId="0" fontId="1" fillId="0" borderId="34" xfId="0" applyFont="1" applyBorder="1"/>
    <xf numFmtId="2" fontId="1" fillId="2" borderId="3" xfId="0" applyNumberFormat="1" applyFont="1" applyFill="1" applyBorder="1" applyAlignment="1">
      <alignment horizontal="center"/>
    </xf>
    <xf numFmtId="0" fontId="1" fillId="2" borderId="3" xfId="0" applyFont="1" applyFill="1" applyBorder="1"/>
    <xf numFmtId="0" fontId="0" fillId="0" borderId="34" xfId="0" applyBorder="1"/>
    <xf numFmtId="0" fontId="0" fillId="0" borderId="35" xfId="0" applyBorder="1"/>
    <xf numFmtId="0" fontId="0" fillId="0" borderId="29" xfId="0" applyBorder="1"/>
    <xf numFmtId="0" fontId="0" fillId="0" borderId="36" xfId="0" applyBorder="1"/>
    <xf numFmtId="0" fontId="30" fillId="0" borderId="0" xfId="2" applyFont="1"/>
    <xf numFmtId="9" fontId="30" fillId="0" borderId="0" xfId="6" applyFont="1"/>
    <xf numFmtId="169" fontId="30" fillId="0" borderId="0" xfId="6" applyNumberFormat="1" applyFont="1"/>
    <xf numFmtId="0" fontId="21" fillId="0" borderId="0" xfId="2"/>
    <xf numFmtId="0" fontId="39" fillId="10" borderId="28" xfId="2" applyFont="1" applyFill="1" applyBorder="1" applyAlignment="1">
      <alignment horizontal="center" vertical="center" wrapText="1"/>
    </xf>
    <xf numFmtId="0" fontId="40" fillId="22" borderId="28" xfId="2" applyFont="1" applyFill="1" applyBorder="1" applyAlignment="1">
      <alignment horizontal="center" vertical="center" wrapText="1"/>
    </xf>
    <xf numFmtId="0" fontId="40" fillId="23" borderId="28" xfId="2" applyFont="1" applyFill="1" applyBorder="1" applyAlignment="1">
      <alignment horizontal="center" vertical="center" wrapText="1"/>
    </xf>
    <xf numFmtId="0" fontId="40" fillId="24" borderId="28" xfId="2" applyFont="1" applyFill="1" applyBorder="1" applyAlignment="1">
      <alignment horizontal="center" vertical="center" wrapText="1"/>
    </xf>
    <xf numFmtId="0" fontId="7" fillId="0" borderId="0" xfId="2" applyFont="1"/>
    <xf numFmtId="0" fontId="30" fillId="25" borderId="28" xfId="2" applyFont="1" applyFill="1" applyBorder="1"/>
    <xf numFmtId="8" fontId="30" fillId="25" borderId="28" xfId="2" applyNumberFormat="1" applyFont="1" applyFill="1" applyBorder="1"/>
    <xf numFmtId="0" fontId="21" fillId="0" borderId="0" xfId="2" quotePrefix="1"/>
    <xf numFmtId="0" fontId="21" fillId="0" borderId="0" xfId="2" quotePrefix="1" applyAlignment="1">
      <alignment horizontal="center"/>
    </xf>
    <xf numFmtId="0" fontId="30" fillId="0" borderId="28" xfId="2" applyFont="1" applyBorder="1"/>
    <xf numFmtId="8" fontId="30" fillId="0" borderId="28" xfId="2" applyNumberFormat="1" applyFont="1" applyBorder="1"/>
    <xf numFmtId="0" fontId="21" fillId="0" borderId="0" xfId="2" applyAlignment="1">
      <alignment horizontal="center"/>
    </xf>
    <xf numFmtId="0" fontId="0" fillId="0" borderId="0" xfId="2" applyFont="1"/>
    <xf numFmtId="49" fontId="41" fillId="0" borderId="28" xfId="0" applyNumberFormat="1" applyFont="1" applyBorder="1" applyAlignment="1">
      <alignment horizontal="center"/>
    </xf>
    <xf numFmtId="0" fontId="42" fillId="0" borderId="0" xfId="2" applyFont="1"/>
    <xf numFmtId="49" fontId="43" fillId="0" borderId="28" xfId="0" applyNumberFormat="1" applyFont="1" applyBorder="1" applyAlignment="1">
      <alignment horizontal="center"/>
    </xf>
    <xf numFmtId="1" fontId="21" fillId="0" borderId="0" xfId="2" applyNumberFormat="1"/>
    <xf numFmtId="2" fontId="21" fillId="0" borderId="0" xfId="2" applyNumberFormat="1"/>
    <xf numFmtId="0" fontId="30" fillId="8" borderId="28" xfId="2" applyFont="1" applyFill="1" applyBorder="1"/>
    <xf numFmtId="8" fontId="30" fillId="8" borderId="28" xfId="2" applyNumberFormat="1" applyFont="1" applyFill="1" applyBorder="1"/>
    <xf numFmtId="0" fontId="30" fillId="2" borderId="28" xfId="2" applyFont="1" applyFill="1" applyBorder="1"/>
    <xf numFmtId="8" fontId="30" fillId="2" borderId="28" xfId="2" applyNumberFormat="1" applyFont="1" applyFill="1" applyBorder="1"/>
    <xf numFmtId="166" fontId="21" fillId="0" borderId="0" xfId="2" applyNumberFormat="1"/>
    <xf numFmtId="0" fontId="7" fillId="0" borderId="0" xfId="2" quotePrefix="1" applyFont="1"/>
    <xf numFmtId="0" fontId="44" fillId="26" borderId="0" xfId="2" applyFont="1" applyFill="1" applyAlignment="1">
      <alignment wrapText="1"/>
    </xf>
    <xf numFmtId="0" fontId="45" fillId="0" borderId="0" xfId="2" applyFont="1" applyAlignment="1">
      <alignment horizontal="center"/>
    </xf>
    <xf numFmtId="0" fontId="45" fillId="0" borderId="24" xfId="2" applyFont="1" applyBorder="1" applyAlignment="1">
      <alignment horizontal="center"/>
    </xf>
    <xf numFmtId="0" fontId="46" fillId="0" borderId="28" xfId="2" applyFont="1" applyBorder="1" applyAlignment="1">
      <alignment horizontal="center" vertical="top"/>
    </xf>
    <xf numFmtId="0" fontId="46" fillId="0" borderId="28" xfId="2" applyFont="1" applyBorder="1" applyAlignment="1">
      <alignment vertical="top"/>
    </xf>
    <xf numFmtId="0" fontId="46" fillId="0" borderId="0" xfId="2" applyFont="1" applyAlignment="1">
      <alignment vertical="top"/>
    </xf>
    <xf numFmtId="0" fontId="46" fillId="0" borderId="38" xfId="2" applyFont="1" applyBorder="1" applyAlignment="1">
      <alignment horizontal="center" vertical="top"/>
    </xf>
    <xf numFmtId="0" fontId="12" fillId="0" borderId="28" xfId="2" applyFont="1" applyBorder="1" applyAlignment="1">
      <alignment horizontal="center" vertical="top"/>
    </xf>
    <xf numFmtId="0" fontId="30" fillId="0" borderId="28" xfId="2" applyFont="1" applyBorder="1" applyAlignment="1">
      <alignment vertical="top"/>
    </xf>
    <xf numFmtId="0" fontId="30" fillId="0" borderId="0" xfId="2" applyFont="1" applyAlignment="1">
      <alignment vertical="top"/>
    </xf>
    <xf numFmtId="0" fontId="21" fillId="27" borderId="28" xfId="2" applyFill="1" applyBorder="1"/>
    <xf numFmtId="1" fontId="21" fillId="27" borderId="28" xfId="2" applyNumberFormat="1" applyFill="1" applyBorder="1"/>
    <xf numFmtId="9" fontId="21" fillId="0" borderId="0" xfId="2" applyNumberFormat="1"/>
    <xf numFmtId="0" fontId="21" fillId="0" borderId="28" xfId="2" applyBorder="1"/>
    <xf numFmtId="1" fontId="21" fillId="0" borderId="28" xfId="2" applyNumberFormat="1" applyBorder="1"/>
    <xf numFmtId="0" fontId="43" fillId="28" borderId="28" xfId="2" applyFont="1" applyFill="1" applyBorder="1"/>
    <xf numFmtId="0" fontId="43" fillId="28" borderId="27" xfId="2" applyFont="1" applyFill="1" applyBorder="1"/>
    <xf numFmtId="0" fontId="43" fillId="0" borderId="38" xfId="2" applyFont="1" applyBorder="1"/>
    <xf numFmtId="0" fontId="43" fillId="0" borderId="39" xfId="2" applyFont="1" applyBorder="1"/>
    <xf numFmtId="0" fontId="43" fillId="8" borderId="38" xfId="2" applyFont="1" applyFill="1" applyBorder="1"/>
    <xf numFmtId="0" fontId="43" fillId="8" borderId="39" xfId="2" applyFont="1" applyFill="1" applyBorder="1"/>
    <xf numFmtId="0" fontId="21" fillId="8" borderId="28" xfId="2" applyFill="1" applyBorder="1"/>
    <xf numFmtId="1" fontId="21" fillId="8" borderId="28" xfId="2" applyNumberFormat="1" applyFill="1" applyBorder="1"/>
    <xf numFmtId="0" fontId="21" fillId="2" borderId="28" xfId="2" applyFill="1" applyBorder="1"/>
    <xf numFmtId="1" fontId="21" fillId="2" borderId="28" xfId="2" applyNumberFormat="1" applyFill="1" applyBorder="1"/>
    <xf numFmtId="0" fontId="21" fillId="0" borderId="8" xfId="2" applyBorder="1"/>
    <xf numFmtId="0" fontId="21" fillId="0" borderId="9" xfId="2" applyBorder="1"/>
    <xf numFmtId="0" fontId="21" fillId="0" borderId="10" xfId="2" applyBorder="1"/>
    <xf numFmtId="0" fontId="21" fillId="0" borderId="11" xfId="2" applyBorder="1"/>
    <xf numFmtId="0" fontId="47" fillId="0" borderId="0" xfId="2" applyFont="1"/>
    <xf numFmtId="0" fontId="48" fillId="0" borderId="12" xfId="2" applyFont="1" applyBorder="1" applyAlignment="1">
      <alignment vertical="center"/>
    </xf>
    <xf numFmtId="0" fontId="47" fillId="0" borderId="12" xfId="2" applyFont="1" applyBorder="1"/>
    <xf numFmtId="0" fontId="50" fillId="0" borderId="0" xfId="2" applyFont="1" applyAlignment="1">
      <alignment horizontal="right"/>
    </xf>
    <xf numFmtId="0" fontId="50" fillId="0" borderId="0" xfId="2" applyFont="1" applyAlignment="1">
      <alignment horizontal="center"/>
    </xf>
    <xf numFmtId="1" fontId="47" fillId="2" borderId="3" xfId="2" applyNumberFormat="1" applyFont="1" applyFill="1" applyBorder="1" applyAlignment="1">
      <alignment horizontal="center"/>
    </xf>
    <xf numFmtId="2" fontId="47" fillId="2" borderId="3" xfId="2" applyNumberFormat="1" applyFont="1" applyFill="1" applyBorder="1" applyAlignment="1">
      <alignment horizontal="center"/>
    </xf>
    <xf numFmtId="1" fontId="47" fillId="2" borderId="40" xfId="2" applyNumberFormat="1" applyFont="1" applyFill="1" applyBorder="1" applyAlignment="1">
      <alignment horizontal="center"/>
    </xf>
    <xf numFmtId="2" fontId="47" fillId="2" borderId="40" xfId="2" applyNumberFormat="1" applyFont="1" applyFill="1" applyBorder="1" applyAlignment="1">
      <alignment horizontal="center"/>
    </xf>
    <xf numFmtId="0" fontId="40" fillId="0" borderId="0" xfId="2" applyFont="1" applyAlignment="1">
      <alignment vertical="center" wrapText="1"/>
    </xf>
    <xf numFmtId="0" fontId="50" fillId="3" borderId="1" xfId="2" applyFont="1" applyFill="1" applyBorder="1" applyAlignment="1">
      <alignment horizontal="right" vertical="center"/>
    </xf>
    <xf numFmtId="0" fontId="50" fillId="3" borderId="2" xfId="2" applyFont="1" applyFill="1" applyBorder="1" applyAlignment="1">
      <alignment vertical="center"/>
    </xf>
    <xf numFmtId="0" fontId="21" fillId="0" borderId="12" xfId="2" applyBorder="1"/>
    <xf numFmtId="164" fontId="50" fillId="3" borderId="1" xfId="2" applyNumberFormat="1" applyFont="1" applyFill="1" applyBorder="1" applyAlignment="1">
      <alignment vertical="center"/>
    </xf>
    <xf numFmtId="164" fontId="50" fillId="3" borderId="2" xfId="2" applyNumberFormat="1" applyFont="1" applyFill="1" applyBorder="1" applyAlignment="1">
      <alignment vertical="center"/>
    </xf>
    <xf numFmtId="170" fontId="40" fillId="0" borderId="0" xfId="2" applyNumberFormat="1" applyFont="1" applyAlignment="1">
      <alignment vertical="center" wrapText="1"/>
    </xf>
    <xf numFmtId="164" fontId="50" fillId="0" borderId="0" xfId="2" applyNumberFormat="1" applyFont="1" applyAlignment="1">
      <alignment horizontal="center" vertical="center"/>
    </xf>
    <xf numFmtId="164" fontId="40" fillId="0" borderId="0" xfId="2" applyNumberFormat="1" applyFont="1" applyAlignment="1">
      <alignment vertical="center" wrapText="1"/>
    </xf>
    <xf numFmtId="4" fontId="50" fillId="3" borderId="18" xfId="2" applyNumberFormat="1" applyFont="1" applyFill="1" applyBorder="1" applyAlignment="1">
      <alignment vertical="center"/>
    </xf>
    <xf numFmtId="4" fontId="50" fillId="3" borderId="20" xfId="2" applyNumberFormat="1" applyFont="1" applyFill="1" applyBorder="1" applyAlignment="1">
      <alignment vertical="center"/>
    </xf>
    <xf numFmtId="0" fontId="21" fillId="0" borderId="13" xfId="2" applyBorder="1"/>
    <xf numFmtId="0" fontId="21" fillId="0" borderId="14" xfId="2" applyBorder="1"/>
    <xf numFmtId="0" fontId="21" fillId="0" borderId="15" xfId="2" applyBorder="1"/>
    <xf numFmtId="0" fontId="54" fillId="26" borderId="0" xfId="2" applyFont="1" applyFill="1"/>
    <xf numFmtId="8" fontId="0" fillId="0" borderId="24" xfId="0" applyNumberFormat="1" applyBorder="1"/>
    <xf numFmtId="44" fontId="0" fillId="0" borderId="0" xfId="1" applyFont="1" applyFill="1" applyBorder="1"/>
    <xf numFmtId="44" fontId="0" fillId="0" borderId="0" xfId="1" applyFont="1" applyFill="1"/>
    <xf numFmtId="44" fontId="0" fillId="0" borderId="24" xfId="1" applyFont="1" applyFill="1" applyBorder="1"/>
    <xf numFmtId="164" fontId="3" fillId="0" borderId="0" xfId="0" applyNumberFormat="1" applyFont="1" applyAlignment="1">
      <alignment horizontal="center" vertical="center" wrapText="1"/>
    </xf>
    <xf numFmtId="0" fontId="25" fillId="0" borderId="0" xfId="0" applyFont="1"/>
    <xf numFmtId="0" fontId="55" fillId="0" borderId="0" xfId="0" applyFont="1" applyAlignment="1">
      <alignment vertical="center"/>
    </xf>
    <xf numFmtId="0" fontId="56" fillId="0" borderId="0" xfId="0" applyFont="1"/>
    <xf numFmtId="0" fontId="16" fillId="0" borderId="0" xfId="0" applyFont="1" applyAlignment="1">
      <alignment horizontal="right"/>
    </xf>
    <xf numFmtId="0" fontId="0" fillId="0" borderId="41" xfId="0" applyBorder="1"/>
    <xf numFmtId="0" fontId="59" fillId="0" borderId="0" xfId="0" applyFont="1" applyAlignment="1">
      <alignment horizontal="right" vertical="center"/>
    </xf>
    <xf numFmtId="0" fontId="60" fillId="0" borderId="0" xfId="7" applyFont="1"/>
    <xf numFmtId="49" fontId="41" fillId="0" borderId="28" xfId="0" quotePrefix="1" applyNumberFormat="1" applyFont="1" applyBorder="1" applyAlignment="1">
      <alignment horizontal="center"/>
    </xf>
    <xf numFmtId="2" fontId="21" fillId="0" borderId="0" xfId="2" applyNumberFormat="1" applyAlignment="1">
      <alignment horizontal="center"/>
    </xf>
    <xf numFmtId="0" fontId="43" fillId="0" borderId="0" xfId="0" applyFont="1" applyAlignment="1">
      <alignment vertical="center"/>
    </xf>
    <xf numFmtId="7" fontId="0" fillId="0" borderId="0" xfId="0" applyNumberFormat="1" applyAlignment="1">
      <alignment horizontal="center"/>
    </xf>
    <xf numFmtId="0" fontId="7" fillId="29" borderId="28" xfId="0" applyFont="1" applyFill="1" applyBorder="1" applyAlignment="1">
      <alignment horizontal="center"/>
    </xf>
    <xf numFmtId="164" fontId="32" fillId="29" borderId="28" xfId="0" applyNumberFormat="1" applyFont="1" applyFill="1" applyBorder="1" applyAlignment="1">
      <alignment horizontal="center" vertical="center"/>
    </xf>
    <xf numFmtId="164" fontId="32" fillId="0" borderId="28" xfId="0" applyNumberFormat="1" applyFont="1" applyBorder="1" applyAlignment="1">
      <alignment horizontal="center" vertical="center"/>
    </xf>
    <xf numFmtId="0" fontId="61" fillId="23" borderId="28" xfId="5" applyFont="1" applyFill="1" applyBorder="1" applyAlignment="1">
      <alignment horizontal="center"/>
    </xf>
    <xf numFmtId="44" fontId="61" fillId="23" borderId="28" xfId="1" applyFont="1" applyFill="1" applyBorder="1" applyAlignment="1">
      <alignment horizontal="center"/>
    </xf>
    <xf numFmtId="44" fontId="62" fillId="30" borderId="0" xfId="1" applyFont="1" applyFill="1" applyBorder="1" applyAlignment="1">
      <alignment horizontal="right" vertical="center"/>
    </xf>
    <xf numFmtId="44" fontId="62" fillId="30" borderId="28" xfId="1" applyFont="1" applyFill="1" applyBorder="1" applyAlignment="1">
      <alignment horizontal="right" vertical="center"/>
    </xf>
    <xf numFmtId="0" fontId="61" fillId="31" borderId="28" xfId="5" applyFont="1" applyFill="1" applyBorder="1" applyAlignment="1">
      <alignment horizontal="center"/>
    </xf>
    <xf numFmtId="44" fontId="61" fillId="31" borderId="28" xfId="1" applyFont="1" applyFill="1" applyBorder="1" applyAlignment="1">
      <alignment horizontal="center"/>
    </xf>
    <xf numFmtId="0" fontId="61" fillId="32" borderId="28" xfId="5" applyFont="1" applyFill="1" applyBorder="1" applyAlignment="1">
      <alignment horizontal="center"/>
    </xf>
    <xf numFmtId="44" fontId="61" fillId="32" borderId="28" xfId="1" applyFont="1" applyFill="1" applyBorder="1" applyAlignment="1">
      <alignment horizontal="center"/>
    </xf>
    <xf numFmtId="0" fontId="61" fillId="33" borderId="28" xfId="5" applyFont="1" applyFill="1" applyBorder="1" applyAlignment="1">
      <alignment horizontal="center"/>
    </xf>
    <xf numFmtId="44" fontId="61" fillId="33" borderId="28" xfId="1" applyFont="1" applyFill="1" applyBorder="1" applyAlignment="1">
      <alignment horizontal="center"/>
    </xf>
    <xf numFmtId="0" fontId="61" fillId="34" borderId="28" xfId="5" applyFont="1" applyFill="1" applyBorder="1" applyAlignment="1">
      <alignment horizontal="center"/>
    </xf>
    <xf numFmtId="44" fontId="61" fillId="34" borderId="28" xfId="1" applyFont="1" applyFill="1" applyBorder="1" applyAlignment="1">
      <alignment horizontal="center"/>
    </xf>
    <xf numFmtId="44" fontId="61" fillId="34" borderId="28" xfId="5" applyNumberFormat="1" applyFont="1" applyFill="1" applyBorder="1" applyAlignment="1">
      <alignment horizontal="center"/>
    </xf>
    <xf numFmtId="0" fontId="61" fillId="35" borderId="28" xfId="5" applyFont="1" applyFill="1" applyBorder="1" applyAlignment="1">
      <alignment horizontal="center"/>
    </xf>
    <xf numFmtId="44" fontId="61" fillId="35" borderId="28" xfId="1" applyFont="1" applyFill="1" applyBorder="1" applyAlignment="1">
      <alignment horizontal="center"/>
    </xf>
    <xf numFmtId="0" fontId="61" fillId="36" borderId="28" xfId="5" applyFont="1" applyFill="1" applyBorder="1" applyAlignment="1">
      <alignment horizontal="center"/>
    </xf>
    <xf numFmtId="44" fontId="61" fillId="36" borderId="28" xfId="1" applyFont="1" applyFill="1" applyBorder="1" applyAlignment="1">
      <alignment horizontal="center"/>
    </xf>
    <xf numFmtId="164" fontId="32" fillId="0" borderId="0" xfId="0" applyNumberFormat="1" applyFont="1" applyAlignment="1">
      <alignment horizontal="center" vertical="center"/>
    </xf>
    <xf numFmtId="44" fontId="32" fillId="0" borderId="0" xfId="1" applyFont="1" applyFill="1" applyBorder="1" applyAlignment="1">
      <alignment horizontal="center" vertical="center"/>
    </xf>
    <xf numFmtId="44" fontId="61" fillId="0" borderId="0" xfId="1" applyFont="1" applyFill="1" applyBorder="1" applyAlignment="1">
      <alignment horizontal="center"/>
    </xf>
    <xf numFmtId="0" fontId="0" fillId="37" borderId="42" xfId="0" applyFill="1" applyBorder="1"/>
    <xf numFmtId="0" fontId="63" fillId="0" borderId="0" xfId="0" applyFont="1"/>
    <xf numFmtId="0" fontId="0" fillId="38" borderId="43" xfId="0" applyFill="1" applyBorder="1"/>
    <xf numFmtId="0" fontId="0" fillId="37" borderId="43" xfId="0" applyFill="1" applyBorder="1"/>
    <xf numFmtId="0" fontId="8" fillId="39" borderId="44" xfId="0" applyFont="1" applyFill="1" applyBorder="1"/>
    <xf numFmtId="0" fontId="8" fillId="39" borderId="45" xfId="0" applyFont="1" applyFill="1" applyBorder="1"/>
    <xf numFmtId="0" fontId="0" fillId="37" borderId="47" xfId="0" applyFill="1" applyBorder="1"/>
    <xf numFmtId="0" fontId="0" fillId="37" borderId="28" xfId="0" applyFill="1" applyBorder="1" applyAlignment="1">
      <alignment horizontal="center"/>
    </xf>
    <xf numFmtId="0" fontId="0" fillId="38" borderId="28" xfId="0" applyFill="1" applyBorder="1" applyAlignment="1">
      <alignment horizontal="center"/>
    </xf>
    <xf numFmtId="0" fontId="5" fillId="37" borderId="46" xfId="0" applyFont="1" applyFill="1" applyBorder="1" applyAlignment="1">
      <alignment horizontal="center"/>
    </xf>
    <xf numFmtId="0" fontId="5" fillId="38" borderId="46" xfId="0" applyFont="1" applyFill="1" applyBorder="1" applyAlignment="1">
      <alignment horizontal="center"/>
    </xf>
    <xf numFmtId="0" fontId="5" fillId="37" borderId="37" xfId="0" applyFont="1" applyFill="1" applyBorder="1" applyAlignment="1">
      <alignment horizontal="center"/>
    </xf>
    <xf numFmtId="0" fontId="61" fillId="40" borderId="28" xfId="0" applyFont="1" applyFill="1" applyBorder="1" applyAlignment="1">
      <alignment horizontal="center"/>
    </xf>
    <xf numFmtId="44" fontId="62" fillId="40" borderId="28" xfId="0" applyNumberFormat="1" applyFont="1" applyFill="1" applyBorder="1" applyAlignment="1">
      <alignment horizontal="center" vertical="center"/>
    </xf>
    <xf numFmtId="44" fontId="62" fillId="30" borderId="28" xfId="0" applyNumberFormat="1" applyFont="1" applyFill="1" applyBorder="1" applyAlignment="1">
      <alignment horizontal="right" vertical="center"/>
    </xf>
    <xf numFmtId="0" fontId="42" fillId="0" borderId="0" xfId="0" applyFont="1"/>
    <xf numFmtId="0" fontId="7" fillId="41" borderId="24" xfId="0" applyFont="1" applyFill="1" applyBorder="1" applyAlignment="1">
      <alignment horizontal="center"/>
    </xf>
    <xf numFmtId="0" fontId="4" fillId="42" borderId="0" xfId="0" applyFont="1" applyFill="1" applyAlignment="1">
      <alignment horizontal="center" vertical="center" wrapText="1"/>
    </xf>
    <xf numFmtId="0" fontId="42" fillId="0" borderId="0" xfId="0" applyFont="1" applyAlignment="1">
      <alignment horizontal="center" vertical="center"/>
    </xf>
    <xf numFmtId="0" fontId="0" fillId="0" borderId="0" xfId="0" applyAlignment="1">
      <alignment vertical="center"/>
    </xf>
    <xf numFmtId="0" fontId="8" fillId="9" borderId="28" xfId="0" applyFont="1" applyFill="1" applyBorder="1" applyAlignment="1">
      <alignment vertical="center"/>
    </xf>
    <xf numFmtId="166" fontId="8" fillId="9" borderId="28" xfId="0" applyNumberFormat="1" applyFont="1" applyFill="1" applyBorder="1" applyAlignment="1">
      <alignment vertical="center"/>
    </xf>
    <xf numFmtId="0" fontId="42" fillId="0" borderId="0" xfId="0" applyFont="1" applyAlignment="1">
      <alignment horizontal="center" vertical="center" wrapText="1"/>
    </xf>
    <xf numFmtId="164" fontId="32" fillId="41" borderId="28" xfId="0" applyNumberFormat="1" applyFont="1" applyFill="1" applyBorder="1" applyAlignment="1">
      <alignment horizontal="center" vertical="center"/>
    </xf>
    <xf numFmtId="164" fontId="32" fillId="43" borderId="28" xfId="0" applyNumberFormat="1" applyFont="1" applyFill="1" applyBorder="1" applyAlignment="1">
      <alignment horizontal="center" vertical="center"/>
    </xf>
    <xf numFmtId="8" fontId="30" fillId="0" borderId="0" xfId="0" applyNumberFormat="1" applyFont="1"/>
    <xf numFmtId="8" fontId="0" fillId="0" borderId="0" xfId="0" applyNumberFormat="1"/>
    <xf numFmtId="0" fontId="42" fillId="0" borderId="0" xfId="0" applyFont="1" applyAlignment="1">
      <alignment horizontal="center"/>
    </xf>
    <xf numFmtId="9" fontId="42" fillId="0" borderId="0" xfId="8" applyFont="1"/>
    <xf numFmtId="44" fontId="32" fillId="41" borderId="28" xfId="1" applyFont="1" applyFill="1" applyBorder="1" applyAlignment="1">
      <alignment horizontal="center" vertical="center"/>
    </xf>
    <xf numFmtId="8" fontId="32" fillId="20" borderId="28" xfId="1" applyNumberFormat="1" applyFont="1" applyFill="1" applyBorder="1" applyAlignment="1">
      <alignment horizontal="center" vertical="center"/>
    </xf>
    <xf numFmtId="44" fontId="61" fillId="44" borderId="28" xfId="1" applyFont="1" applyFill="1" applyBorder="1" applyAlignment="1">
      <alignment horizontal="center"/>
    </xf>
    <xf numFmtId="8" fontId="61" fillId="23" borderId="28" xfId="1" applyNumberFormat="1" applyFont="1" applyFill="1" applyBorder="1" applyAlignment="1">
      <alignment horizontal="center"/>
    </xf>
    <xf numFmtId="8" fontId="30" fillId="0" borderId="24" xfId="0" applyNumberFormat="1" applyFont="1" applyBorder="1"/>
    <xf numFmtId="0" fontId="0" fillId="41" borderId="0" xfId="0" applyFill="1"/>
    <xf numFmtId="0" fontId="64" fillId="45" borderId="28" xfId="0" applyFont="1" applyFill="1" applyBorder="1"/>
    <xf numFmtId="0" fontId="4" fillId="46" borderId="0" xfId="0" applyFont="1" applyFill="1" applyAlignment="1">
      <alignment horizontal="center" vertical="center" wrapText="1"/>
    </xf>
    <xf numFmtId="0" fontId="25" fillId="0" borderId="28" xfId="0" applyFont="1" applyBorder="1"/>
    <xf numFmtId="8" fontId="25" fillId="0" borderId="28" xfId="0" applyNumberFormat="1" applyFont="1" applyBorder="1"/>
    <xf numFmtId="8" fontId="25" fillId="0" borderId="0" xfId="0" applyNumberFormat="1" applyFont="1"/>
    <xf numFmtId="0" fontId="39" fillId="46" borderId="28" xfId="0" applyFont="1" applyFill="1" applyBorder="1" applyAlignment="1">
      <alignment horizontal="center" vertical="center" wrapText="1"/>
    </xf>
    <xf numFmtId="0" fontId="4" fillId="46" borderId="28" xfId="0" applyFont="1" applyFill="1" applyBorder="1" applyAlignment="1">
      <alignment horizontal="center" vertical="center" wrapText="1"/>
    </xf>
    <xf numFmtId="0" fontId="25" fillId="0" borderId="28" xfId="0" applyFont="1" applyBorder="1" applyAlignment="1">
      <alignment horizontal="left"/>
    </xf>
    <xf numFmtId="8" fontId="0" fillId="0" borderId="28" xfId="0" applyNumberFormat="1" applyBorder="1"/>
    <xf numFmtId="8" fontId="21" fillId="0" borderId="0" xfId="2" applyNumberFormat="1"/>
    <xf numFmtId="16" fontId="0" fillId="0" borderId="0" xfId="0" applyNumberFormat="1"/>
    <xf numFmtId="0" fontId="0" fillId="3" borderId="0" xfId="0" applyFill="1"/>
    <xf numFmtId="2" fontId="0" fillId="3" borderId="0" xfId="0" applyNumberFormat="1" applyFill="1" applyAlignment="1">
      <alignment wrapText="1"/>
    </xf>
    <xf numFmtId="0" fontId="37" fillId="3" borderId="0" xfId="0" applyFont="1" applyFill="1"/>
    <xf numFmtId="2" fontId="32" fillId="3" borderId="28" xfId="0" applyNumberFormat="1" applyFont="1" applyFill="1" applyBorder="1" applyAlignment="1">
      <alignment vertical="center"/>
    </xf>
    <xf numFmtId="164" fontId="32" fillId="3" borderId="28" xfId="0" applyNumberFormat="1" applyFont="1" applyFill="1" applyBorder="1" applyAlignment="1">
      <alignment horizontal="right" vertical="center"/>
    </xf>
    <xf numFmtId="0" fontId="36" fillId="3" borderId="0" xfId="0" applyFont="1" applyFill="1" applyAlignment="1">
      <alignment horizontal="center" vertical="center" readingOrder="1"/>
    </xf>
    <xf numFmtId="0" fontId="0" fillId="3" borderId="0" xfId="0" applyFill="1" applyAlignment="1">
      <alignment wrapText="1"/>
    </xf>
    <xf numFmtId="0" fontId="0" fillId="3" borderId="0" xfId="0" applyFill="1" applyAlignment="1">
      <alignment horizontal="center"/>
    </xf>
    <xf numFmtId="0" fontId="30" fillId="3" borderId="28" xfId="0" applyFont="1" applyFill="1" applyBorder="1"/>
    <xf numFmtId="167" fontId="18" fillId="3" borderId="26" xfId="3" applyNumberFormat="1" applyFont="1" applyFill="1" applyBorder="1" applyAlignment="1">
      <alignment horizontal="center" vertical="center"/>
    </xf>
    <xf numFmtId="2" fontId="36" fillId="3" borderId="0" xfId="0" applyNumberFormat="1" applyFont="1" applyFill="1" applyAlignment="1">
      <alignment horizontal="center" vertical="center" readingOrder="1"/>
    </xf>
    <xf numFmtId="2" fontId="0" fillId="3" borderId="0" xfId="0" applyNumberFormat="1" applyFill="1"/>
    <xf numFmtId="43" fontId="32" fillId="3" borderId="0" xfId="0" applyNumberFormat="1" applyFont="1" applyFill="1" applyAlignment="1">
      <alignment horizontal="center" vertical="center"/>
    </xf>
    <xf numFmtId="44" fontId="7" fillId="3" borderId="28" xfId="0" applyNumberFormat="1" applyFont="1" applyFill="1" applyBorder="1" applyAlignment="1">
      <alignment horizontal="center"/>
    </xf>
    <xf numFmtId="0" fontId="32" fillId="3" borderId="28" xfId="0" applyFont="1" applyFill="1" applyBorder="1" applyAlignment="1">
      <alignment vertical="center"/>
    </xf>
    <xf numFmtId="0" fontId="7" fillId="3" borderId="28" xfId="5" applyFont="1" applyFill="1" applyBorder="1" applyAlignment="1">
      <alignment horizontal="center"/>
    </xf>
    <xf numFmtId="0" fontId="21" fillId="3" borderId="0" xfId="5" applyFill="1" applyAlignment="1">
      <alignment horizontal="center"/>
    </xf>
    <xf numFmtId="0" fontId="32" fillId="3" borderId="28" xfId="5" applyFont="1" applyFill="1" applyBorder="1" applyAlignment="1">
      <alignment vertical="center"/>
    </xf>
    <xf numFmtId="8" fontId="32" fillId="3" borderId="28" xfId="1" applyNumberFormat="1" applyFont="1" applyFill="1" applyBorder="1" applyAlignment="1">
      <alignment horizontal="center" vertical="center"/>
    </xf>
    <xf numFmtId="44" fontId="32" fillId="3" borderId="28" xfId="1" applyFont="1" applyFill="1" applyBorder="1" applyAlignment="1">
      <alignment horizontal="right" vertical="center"/>
    </xf>
    <xf numFmtId="44" fontId="21" fillId="3" borderId="0" xfId="1" applyFont="1" applyFill="1" applyAlignment="1">
      <alignment horizontal="center"/>
    </xf>
    <xf numFmtId="164" fontId="0" fillId="3" borderId="0" xfId="0" applyNumberFormat="1" applyFill="1"/>
    <xf numFmtId="164" fontId="0" fillId="3" borderId="0" xfId="1" applyNumberFormat="1" applyFont="1" applyFill="1"/>
    <xf numFmtId="0" fontId="34" fillId="22" borderId="28" xfId="0" applyFont="1" applyFill="1" applyBorder="1"/>
    <xf numFmtId="0" fontId="0" fillId="8" borderId="0" xfId="0" applyFill="1"/>
    <xf numFmtId="0" fontId="30" fillId="8" borderId="28" xfId="0" applyFont="1" applyFill="1" applyBorder="1"/>
    <xf numFmtId="2" fontId="0" fillId="47" borderId="0" xfId="0" applyNumberFormat="1" applyFill="1"/>
    <xf numFmtId="0" fontId="33" fillId="3" borderId="28" xfId="0" applyFont="1" applyFill="1" applyBorder="1" applyAlignment="1">
      <alignment horizontal="center" vertical="center"/>
    </xf>
    <xf numFmtId="12" fontId="33" fillId="3" borderId="28" xfId="0" applyNumberFormat="1" applyFont="1" applyFill="1" applyBorder="1" applyAlignment="1">
      <alignment horizontal="center" vertical="center"/>
    </xf>
    <xf numFmtId="0" fontId="33" fillId="3" borderId="28" xfId="0" applyFont="1" applyFill="1" applyBorder="1" applyAlignment="1">
      <alignment horizontal="center"/>
    </xf>
    <xf numFmtId="12" fontId="33" fillId="3" borderId="28" xfId="0" applyNumberFormat="1" applyFont="1" applyFill="1" applyBorder="1" applyAlignment="1">
      <alignment horizontal="center"/>
    </xf>
    <xf numFmtId="0" fontId="33" fillId="3" borderId="28" xfId="0" quotePrefix="1" applyFont="1" applyFill="1" applyBorder="1" applyAlignment="1">
      <alignment horizontal="center"/>
    </xf>
    <xf numFmtId="1" fontId="0" fillId="3" borderId="0" xfId="0" applyNumberFormat="1" applyFill="1"/>
    <xf numFmtId="167" fontId="0" fillId="3" borderId="0" xfId="0" applyNumberFormat="1" applyFill="1"/>
    <xf numFmtId="0" fontId="31" fillId="3" borderId="28" xfId="0" applyFont="1" applyFill="1" applyBorder="1" applyAlignment="1">
      <alignment vertical="center"/>
    </xf>
    <xf numFmtId="164" fontId="31" fillId="3" borderId="28" xfId="0" applyNumberFormat="1" applyFont="1" applyFill="1" applyBorder="1" applyAlignment="1">
      <alignment horizontal="right" vertical="center"/>
    </xf>
    <xf numFmtId="2" fontId="7" fillId="3" borderId="28" xfId="0" applyNumberFormat="1" applyFont="1" applyFill="1" applyBorder="1" applyAlignment="1">
      <alignment horizontal="center"/>
    </xf>
    <xf numFmtId="164" fontId="7" fillId="3" borderId="28" xfId="0" applyNumberFormat="1" applyFont="1" applyFill="1" applyBorder="1" applyAlignment="1">
      <alignment horizontal="center" vertical="center"/>
    </xf>
    <xf numFmtId="0" fontId="61" fillId="48" borderId="28" xfId="5" applyFont="1" applyFill="1" applyBorder="1" applyAlignment="1">
      <alignment horizontal="center"/>
    </xf>
    <xf numFmtId="44" fontId="61" fillId="48" borderId="28" xfId="1" applyFont="1" applyFill="1" applyBorder="1" applyAlignment="1">
      <alignment horizontal="center"/>
    </xf>
    <xf numFmtId="44" fontId="62" fillId="48" borderId="0" xfId="1" applyFont="1" applyFill="1" applyBorder="1" applyAlignment="1">
      <alignment horizontal="right" vertical="center"/>
    </xf>
    <xf numFmtId="8" fontId="61" fillId="48" borderId="28" xfId="1" applyNumberFormat="1" applyFont="1" applyFill="1" applyBorder="1" applyAlignment="1">
      <alignment horizontal="center"/>
    </xf>
    <xf numFmtId="44" fontId="62" fillId="48" borderId="28" xfId="1" applyFont="1" applyFill="1" applyBorder="1" applyAlignment="1">
      <alignment horizontal="right" vertical="center"/>
    </xf>
    <xf numFmtId="0" fontId="61" fillId="48" borderId="28" xfId="0" applyFont="1" applyFill="1" applyBorder="1" applyAlignment="1">
      <alignment horizontal="center"/>
    </xf>
    <xf numFmtId="8" fontId="62" fillId="48" borderId="28" xfId="0" applyNumberFormat="1" applyFont="1" applyFill="1" applyBorder="1" applyAlignment="1">
      <alignment horizontal="center" vertical="center"/>
    </xf>
    <xf numFmtId="44" fontId="62" fillId="48" borderId="28" xfId="0" applyNumberFormat="1" applyFont="1" applyFill="1" applyBorder="1" applyAlignment="1">
      <alignment horizontal="center" vertical="center"/>
    </xf>
    <xf numFmtId="44" fontId="62" fillId="48" borderId="28" xfId="0" applyNumberFormat="1" applyFont="1" applyFill="1" applyBorder="1" applyAlignment="1">
      <alignment horizontal="right" vertical="center"/>
    </xf>
    <xf numFmtId="49" fontId="0" fillId="0" borderId="0" xfId="0" applyNumberFormat="1"/>
    <xf numFmtId="49" fontId="0" fillId="47" borderId="0" xfId="0" applyNumberFormat="1" applyFill="1" applyAlignment="1">
      <alignment horizontal="right"/>
    </xf>
    <xf numFmtId="0" fontId="1" fillId="2" borderId="1" xfId="0" applyFont="1" applyFill="1" applyBorder="1"/>
    <xf numFmtId="0" fontId="1" fillId="2" borderId="2" xfId="0" applyFont="1" applyFill="1" applyBorder="1"/>
    <xf numFmtId="0" fontId="58" fillId="0" borderId="0" xfId="0" applyFont="1" applyAlignment="1">
      <alignment horizontal="left" vertical="center"/>
    </xf>
    <xf numFmtId="0" fontId="6" fillId="0" borderId="0" xfId="0" applyFont="1" applyAlignment="1">
      <alignment horizontal="center"/>
    </xf>
    <xf numFmtId="0" fontId="29" fillId="0" borderId="0" xfId="0" applyFont="1" applyAlignment="1">
      <alignment horizontal="center" vertical="center" wrapText="1"/>
    </xf>
    <xf numFmtId="0" fontId="1" fillId="2" borderId="1" xfId="0" applyFont="1" applyFill="1" applyBorder="1" applyAlignment="1">
      <alignment horizontal="center"/>
    </xf>
    <xf numFmtId="0" fontId="1" fillId="2" borderId="2" xfId="0" applyFont="1" applyFill="1" applyBorder="1" applyAlignment="1">
      <alignment horizontal="center"/>
    </xf>
    <xf numFmtId="0" fontId="3" fillId="0" borderId="0" xfId="0" applyFont="1" applyAlignment="1">
      <alignment horizontal="center"/>
    </xf>
    <xf numFmtId="0" fontId="3" fillId="0" borderId="4" xfId="0" applyFont="1" applyBorder="1" applyAlignment="1">
      <alignment horizontal="center"/>
    </xf>
    <xf numFmtId="0" fontId="38" fillId="0" borderId="0" xfId="0" applyFont="1" applyAlignment="1">
      <alignment horizontal="center" vertical="top" wrapText="1"/>
    </xf>
    <xf numFmtId="0" fontId="3" fillId="21" borderId="1" xfId="0" applyFont="1" applyFill="1" applyBorder="1" applyAlignment="1">
      <alignment horizontal="center"/>
    </xf>
    <xf numFmtId="0" fontId="3" fillId="21" borderId="2" xfId="0" applyFont="1" applyFill="1" applyBorder="1" applyAlignment="1">
      <alignment horizontal="center"/>
    </xf>
    <xf numFmtId="164" fontId="3" fillId="21" borderId="1" xfId="0" applyNumberFormat="1" applyFont="1" applyFill="1" applyBorder="1" applyAlignment="1">
      <alignment horizontal="center" vertical="center" wrapText="1"/>
    </xf>
    <xf numFmtId="164" fontId="3" fillId="21" borderId="2" xfId="0" applyNumberFormat="1" applyFont="1" applyFill="1" applyBorder="1" applyAlignment="1">
      <alignment horizontal="center" vertical="center" wrapText="1"/>
    </xf>
    <xf numFmtId="0" fontId="25" fillId="0" borderId="5" xfId="0" applyFont="1" applyBorder="1" applyAlignment="1">
      <alignment horizontal="center" vertical="center" wrapText="1"/>
    </xf>
    <xf numFmtId="0" fontId="0" fillId="0" borderId="6" xfId="0" applyBorder="1" applyAlignment="1">
      <alignment horizontal="center" vertical="center" wrapText="1"/>
    </xf>
    <xf numFmtId="0" fontId="0" fillId="0" borderId="7" xfId="0" applyBorder="1" applyAlignment="1">
      <alignment horizontal="center" vertical="center" wrapText="1"/>
    </xf>
    <xf numFmtId="0" fontId="2" fillId="0" borderId="0" xfId="0" applyFont="1" applyAlignment="1">
      <alignment horizontal="center" vertical="center"/>
    </xf>
    <xf numFmtId="0" fontId="2" fillId="0" borderId="34" xfId="0" applyFont="1" applyBorder="1" applyAlignment="1">
      <alignment horizontal="center" vertical="center"/>
    </xf>
    <xf numFmtId="1" fontId="3" fillId="21" borderId="1" xfId="0" applyNumberFormat="1" applyFont="1" applyFill="1" applyBorder="1" applyAlignment="1">
      <alignment horizontal="center" vertical="center" wrapText="1"/>
    </xf>
    <xf numFmtId="1" fontId="3" fillId="21" borderId="2" xfId="0" applyNumberFormat="1" applyFont="1" applyFill="1" applyBorder="1" applyAlignment="1">
      <alignment horizontal="center" vertical="center" wrapText="1"/>
    </xf>
    <xf numFmtId="44" fontId="7" fillId="0" borderId="0" xfId="1" applyFont="1" applyAlignment="1">
      <alignment horizontal="center"/>
    </xf>
    <xf numFmtId="0" fontId="33" fillId="0" borderId="28" xfId="0" applyFont="1" applyBorder="1" applyAlignment="1">
      <alignment horizontal="center" vertical="center"/>
    </xf>
    <xf numFmtId="0" fontId="7" fillId="0" borderId="0" xfId="0" applyFont="1" applyAlignment="1">
      <alignment horizontal="center"/>
    </xf>
    <xf numFmtId="1" fontId="47" fillId="3" borderId="1" xfId="2" applyNumberFormat="1" applyFont="1" applyFill="1" applyBorder="1" applyAlignment="1">
      <alignment horizontal="center"/>
    </xf>
    <xf numFmtId="1" fontId="47" fillId="3" borderId="2" xfId="2" applyNumberFormat="1" applyFont="1" applyFill="1" applyBorder="1" applyAlignment="1">
      <alignment horizontal="center"/>
    </xf>
    <xf numFmtId="0" fontId="43" fillId="26" borderId="5" xfId="2" applyFont="1" applyFill="1" applyBorder="1" applyAlignment="1">
      <alignment horizontal="center" wrapText="1"/>
    </xf>
    <xf numFmtId="0" fontId="43" fillId="26" borderId="6" xfId="2" applyFont="1" applyFill="1" applyBorder="1" applyAlignment="1">
      <alignment horizontal="center" wrapText="1"/>
    </xf>
    <xf numFmtId="0" fontId="43" fillId="26" borderId="7" xfId="2" applyFont="1" applyFill="1" applyBorder="1" applyAlignment="1">
      <alignment horizontal="center" wrapText="1"/>
    </xf>
    <xf numFmtId="0" fontId="7" fillId="0" borderId="8" xfId="2" applyFont="1" applyBorder="1" applyAlignment="1">
      <alignment horizontal="center"/>
    </xf>
    <xf numFmtId="0" fontId="7" fillId="0" borderId="9" xfId="2" applyFont="1" applyBorder="1" applyAlignment="1">
      <alignment horizontal="center"/>
    </xf>
    <xf numFmtId="0" fontId="7" fillId="0" borderId="10" xfId="2" applyFont="1" applyBorder="1" applyAlignment="1">
      <alignment horizontal="center"/>
    </xf>
    <xf numFmtId="0" fontId="48" fillId="0" borderId="0" xfId="2" applyFont="1" applyAlignment="1">
      <alignment horizontal="center" vertical="center" wrapText="1"/>
    </xf>
    <xf numFmtId="0" fontId="42" fillId="0" borderId="31" xfId="2" applyFont="1" applyBorder="1" applyAlignment="1">
      <alignment horizontal="center" vertical="center" wrapText="1"/>
    </xf>
    <xf numFmtId="0" fontId="42" fillId="0" borderId="30" xfId="2" applyFont="1" applyBorder="1" applyAlignment="1">
      <alignment horizontal="center" vertical="center" wrapText="1"/>
    </xf>
    <xf numFmtId="0" fontId="42" fillId="0" borderId="32" xfId="2" applyFont="1" applyBorder="1" applyAlignment="1">
      <alignment horizontal="center" vertical="center" wrapText="1"/>
    </xf>
    <xf numFmtId="0" fontId="42" fillId="0" borderId="33" xfId="2" applyFont="1" applyBorder="1" applyAlignment="1">
      <alignment horizontal="center" vertical="center" wrapText="1"/>
    </xf>
    <xf numFmtId="0" fontId="42" fillId="0" borderId="0" xfId="2" applyFont="1" applyAlignment="1">
      <alignment horizontal="center" vertical="center" wrapText="1"/>
    </xf>
    <xf numFmtId="0" fontId="42" fillId="0" borderId="34" xfId="2" applyFont="1" applyBorder="1" applyAlignment="1">
      <alignment horizontal="center" vertical="center" wrapText="1"/>
    </xf>
    <xf numFmtId="0" fontId="42" fillId="0" borderId="35" xfId="2" applyFont="1" applyBorder="1" applyAlignment="1">
      <alignment horizontal="center" vertical="center" wrapText="1"/>
    </xf>
    <xf numFmtId="0" fontId="42" fillId="0" borderId="29" xfId="2" applyFont="1" applyBorder="1" applyAlignment="1">
      <alignment horizontal="center" vertical="center" wrapText="1"/>
    </xf>
    <xf numFmtId="0" fontId="42" fillId="0" borderId="36" xfId="2" applyFont="1" applyBorder="1" applyAlignment="1">
      <alignment horizontal="center" vertical="center" wrapText="1"/>
    </xf>
    <xf numFmtId="0" fontId="45" fillId="0" borderId="0" xfId="2" applyFont="1" applyAlignment="1">
      <alignment horizontal="center"/>
    </xf>
    <xf numFmtId="0" fontId="47" fillId="2" borderId="1" xfId="2" applyFont="1" applyFill="1" applyBorder="1" applyAlignment="1">
      <alignment horizontal="center"/>
    </xf>
    <xf numFmtId="0" fontId="47" fillId="2" borderId="2" xfId="2" applyFont="1" applyFill="1" applyBorder="1" applyAlignment="1">
      <alignment horizontal="center"/>
    </xf>
    <xf numFmtId="0" fontId="51" fillId="0" borderId="8" xfId="2" applyFont="1" applyBorder="1" applyAlignment="1">
      <alignment horizontal="center" vertical="center" wrapText="1"/>
    </xf>
    <xf numFmtId="0" fontId="51" fillId="0" borderId="9" xfId="2" applyFont="1" applyBorder="1" applyAlignment="1">
      <alignment horizontal="center" vertical="center" wrapText="1"/>
    </xf>
    <xf numFmtId="0" fontId="51" fillId="0" borderId="10" xfId="2" applyFont="1" applyBorder="1" applyAlignment="1">
      <alignment horizontal="center" vertical="center" wrapText="1"/>
    </xf>
    <xf numFmtId="0" fontId="51" fillId="0" borderId="11" xfId="2" applyFont="1" applyBorder="1" applyAlignment="1">
      <alignment horizontal="center" vertical="center" wrapText="1"/>
    </xf>
    <xf numFmtId="0" fontId="51" fillId="0" borderId="0" xfId="2" applyFont="1" applyAlignment="1">
      <alignment horizontal="center" vertical="center" wrapText="1"/>
    </xf>
    <xf numFmtId="0" fontId="51" fillId="0" borderId="12" xfId="2" applyFont="1" applyBorder="1" applyAlignment="1">
      <alignment horizontal="center" vertical="center" wrapText="1"/>
    </xf>
    <xf numFmtId="0" fontId="51" fillId="0" borderId="13" xfId="2" applyFont="1" applyBorder="1" applyAlignment="1">
      <alignment horizontal="center" vertical="center" wrapText="1"/>
    </xf>
    <xf numFmtId="0" fontId="51" fillId="0" borderId="14" xfId="2" applyFont="1" applyBorder="1" applyAlignment="1">
      <alignment horizontal="center" vertical="center" wrapText="1"/>
    </xf>
    <xf numFmtId="0" fontId="51" fillId="0" borderId="15" xfId="2" applyFont="1" applyBorder="1" applyAlignment="1">
      <alignment horizontal="center" vertical="center" wrapText="1"/>
    </xf>
    <xf numFmtId="0" fontId="47" fillId="2" borderId="25" xfId="2" applyFont="1" applyFill="1" applyBorder="1" applyAlignment="1">
      <alignment horizontal="center"/>
    </xf>
    <xf numFmtId="0" fontId="47" fillId="2" borderId="27" xfId="2" applyFont="1" applyFill="1" applyBorder="1" applyAlignment="1">
      <alignment horizontal="center"/>
    </xf>
    <xf numFmtId="1" fontId="47" fillId="2" borderId="1" xfId="2" applyNumberFormat="1" applyFont="1" applyFill="1" applyBorder="1" applyAlignment="1">
      <alignment horizontal="center"/>
    </xf>
    <xf numFmtId="1" fontId="47" fillId="2" borderId="2" xfId="2" applyNumberFormat="1" applyFont="1" applyFill="1" applyBorder="1" applyAlignment="1">
      <alignment horizontal="center"/>
    </xf>
    <xf numFmtId="0" fontId="23" fillId="0" borderId="25" xfId="2" applyFont="1" applyBorder="1" applyAlignment="1">
      <alignment horizontal="center" vertical="center"/>
    </xf>
    <xf numFmtId="0" fontId="23" fillId="0" borderId="26" xfId="2" applyFont="1" applyBorder="1" applyAlignment="1">
      <alignment horizontal="center" vertical="center"/>
    </xf>
    <xf numFmtId="0" fontId="23" fillId="0" borderId="27" xfId="2" applyFont="1" applyBorder="1" applyAlignment="1">
      <alignment horizontal="center" vertical="center"/>
    </xf>
    <xf numFmtId="0" fontId="7" fillId="0" borderId="0" xfId="2" applyFont="1" applyAlignment="1">
      <alignment horizontal="center"/>
    </xf>
    <xf numFmtId="0" fontId="25" fillId="0" borderId="6" xfId="0" applyFont="1" applyBorder="1" applyAlignment="1">
      <alignment horizontal="center" vertical="center" wrapText="1"/>
    </xf>
    <xf numFmtId="0" fontId="25" fillId="0" borderId="7" xfId="0" applyFont="1" applyBorder="1" applyAlignment="1">
      <alignment horizontal="center" vertical="center" wrapText="1"/>
    </xf>
    <xf numFmtId="0" fontId="2" fillId="0" borderId="12" xfId="0" applyFont="1" applyBorder="1" applyAlignment="1">
      <alignment horizontal="center" vertical="center"/>
    </xf>
    <xf numFmtId="0" fontId="7" fillId="0" borderId="28" xfId="0" applyFont="1" applyBorder="1" applyAlignment="1">
      <alignment horizontal="center"/>
    </xf>
    <xf numFmtId="0" fontId="7" fillId="0" borderId="24" xfId="0" applyFont="1" applyBorder="1" applyAlignment="1">
      <alignment horizontal="center"/>
    </xf>
    <xf numFmtId="0" fontId="6" fillId="0" borderId="24" xfId="0" applyFont="1" applyBorder="1" applyAlignment="1">
      <alignment horizontal="center"/>
    </xf>
    <xf numFmtId="0" fontId="27" fillId="0" borderId="0" xfId="3" applyFont="1" applyAlignment="1">
      <alignment horizontal="center"/>
    </xf>
    <xf numFmtId="0" fontId="25" fillId="0" borderId="31" xfId="0" applyFont="1" applyBorder="1" applyAlignment="1">
      <alignment horizontal="center" wrapText="1"/>
    </xf>
    <xf numFmtId="0" fontId="25" fillId="0" borderId="30" xfId="0" applyFont="1" applyBorder="1" applyAlignment="1">
      <alignment horizontal="center" wrapText="1"/>
    </xf>
    <xf numFmtId="0" fontId="25" fillId="0" borderId="32" xfId="0" applyFont="1" applyBorder="1" applyAlignment="1">
      <alignment horizontal="center" wrapText="1"/>
    </xf>
    <xf numFmtId="0" fontId="25" fillId="0" borderId="33" xfId="0" applyFont="1" applyBorder="1" applyAlignment="1">
      <alignment horizontal="center" wrapText="1"/>
    </xf>
    <xf numFmtId="0" fontId="25" fillId="0" borderId="0" xfId="0" applyFont="1" applyAlignment="1">
      <alignment horizontal="center" wrapText="1"/>
    </xf>
    <xf numFmtId="0" fontId="25" fillId="0" borderId="34" xfId="0" applyFont="1" applyBorder="1" applyAlignment="1">
      <alignment horizontal="center" wrapText="1"/>
    </xf>
    <xf numFmtId="0" fontId="25" fillId="0" borderId="35" xfId="0" applyFont="1" applyBorder="1" applyAlignment="1">
      <alignment horizontal="center" wrapText="1"/>
    </xf>
    <xf numFmtId="0" fontId="25" fillId="0" borderId="29" xfId="0" applyFont="1" applyBorder="1" applyAlignment="1">
      <alignment horizontal="center" wrapText="1"/>
    </xf>
    <xf numFmtId="0" fontId="25" fillId="0" borderId="36" xfId="0" applyFont="1" applyBorder="1" applyAlignment="1">
      <alignment horizontal="center" wrapText="1"/>
    </xf>
    <xf numFmtId="0" fontId="27" fillId="0" borderId="29" xfId="3" applyFont="1" applyBorder="1" applyAlignment="1">
      <alignment horizontal="center"/>
    </xf>
    <xf numFmtId="0" fontId="8" fillId="5" borderId="0" xfId="0" applyFont="1" applyFill="1" applyAlignment="1">
      <alignment horizontal="center"/>
    </xf>
    <xf numFmtId="0" fontId="10" fillId="0" borderId="1" xfId="0" applyFont="1" applyBorder="1" applyAlignment="1">
      <alignment horizontal="center" vertical="top" wrapText="1" indent="1"/>
    </xf>
    <xf numFmtId="0" fontId="10" fillId="0" borderId="2" xfId="0" applyFont="1" applyBorder="1" applyAlignment="1">
      <alignment horizontal="center" vertical="top" wrapText="1" indent="1"/>
    </xf>
    <xf numFmtId="0" fontId="10" fillId="0" borderId="1" xfId="0" applyFont="1" applyBorder="1" applyAlignment="1">
      <alignment horizontal="center" vertical="top" wrapText="1" indent="2"/>
    </xf>
    <xf numFmtId="0" fontId="10" fillId="0" borderId="2" xfId="0" applyFont="1" applyBorder="1" applyAlignment="1">
      <alignment horizontal="center" vertical="top" wrapText="1" indent="2"/>
    </xf>
    <xf numFmtId="0" fontId="10" fillId="0" borderId="17" xfId="0" applyFont="1" applyBorder="1" applyAlignment="1">
      <alignment horizontal="center" vertical="top" wrapText="1" indent="1"/>
    </xf>
    <xf numFmtId="0" fontId="16" fillId="0" borderId="1" xfId="0" applyFont="1" applyBorder="1" applyAlignment="1">
      <alignment horizontal="center" vertical="top" wrapText="1" indent="2"/>
    </xf>
    <xf numFmtId="0" fontId="16" fillId="0" borderId="2" xfId="0" applyFont="1" applyBorder="1" applyAlignment="1">
      <alignment horizontal="center" vertical="top" wrapText="1" indent="2"/>
    </xf>
    <xf numFmtId="0" fontId="16" fillId="0" borderId="1" xfId="0" applyFont="1" applyBorder="1" applyAlignment="1">
      <alignment horizontal="center" vertical="top" wrapText="1" indent="1"/>
    </xf>
    <xf numFmtId="0" fontId="16" fillId="0" borderId="2" xfId="0" applyFont="1" applyBorder="1" applyAlignment="1">
      <alignment horizontal="center" vertical="top" wrapText="1" indent="1"/>
    </xf>
    <xf numFmtId="0" fontId="16" fillId="0" borderId="17" xfId="0" applyFont="1" applyBorder="1" applyAlignment="1">
      <alignment horizontal="center" vertical="top" wrapText="1" indent="1"/>
    </xf>
    <xf numFmtId="0" fontId="0" fillId="49" borderId="28" xfId="0" applyFill="1" applyBorder="1" applyAlignment="1">
      <alignment horizontal="center"/>
    </xf>
    <xf numFmtId="0" fontId="7" fillId="49" borderId="28" xfId="2" applyFont="1" applyFill="1" applyBorder="1" applyAlignment="1">
      <alignment horizontal="center"/>
    </xf>
    <xf numFmtId="0" fontId="0" fillId="49" borderId="28" xfId="2" applyFont="1" applyFill="1" applyBorder="1" applyAlignment="1">
      <alignment horizontal="center"/>
    </xf>
    <xf numFmtId="2" fontId="0" fillId="49" borderId="28" xfId="0" applyNumberFormat="1" applyFill="1" applyBorder="1" applyAlignment="1">
      <alignment horizontal="center"/>
    </xf>
    <xf numFmtId="0" fontId="6" fillId="49" borderId="0" xfId="0" applyFont="1" applyFill="1" applyAlignment="1">
      <alignment horizontal="center"/>
    </xf>
    <xf numFmtId="0" fontId="7" fillId="49" borderId="28" xfId="0" applyFont="1" applyFill="1" applyBorder="1" applyAlignment="1">
      <alignment horizontal="center"/>
    </xf>
    <xf numFmtId="0" fontId="5" fillId="49" borderId="28" xfId="0" applyFont="1" applyFill="1" applyBorder="1" applyAlignment="1">
      <alignment horizontal="center"/>
    </xf>
    <xf numFmtId="0" fontId="7" fillId="49" borderId="28" xfId="0" applyFont="1" applyFill="1" applyBorder="1" applyAlignment="1">
      <alignment horizontal="center"/>
    </xf>
    <xf numFmtId="0" fontId="26" fillId="49" borderId="28" xfId="0" applyFont="1" applyFill="1" applyBorder="1" applyAlignment="1">
      <alignment vertical="center" wrapText="1" readingOrder="1"/>
    </xf>
    <xf numFmtId="0" fontId="0" fillId="49" borderId="28" xfId="0" applyFill="1" applyBorder="1"/>
    <xf numFmtId="166" fontId="0" fillId="49" borderId="28" xfId="0" applyNumberFormat="1" applyFill="1" applyBorder="1"/>
    <xf numFmtId="1" fontId="0" fillId="49" borderId="28" xfId="0" applyNumberFormat="1" applyFill="1" applyBorder="1" applyAlignment="1">
      <alignment horizontal="center"/>
    </xf>
    <xf numFmtId="0" fontId="6" fillId="49" borderId="28" xfId="0" applyFont="1" applyFill="1" applyBorder="1" applyAlignment="1">
      <alignment horizontal="center"/>
    </xf>
    <xf numFmtId="166" fontId="0" fillId="49" borderId="28" xfId="0" applyNumberFormat="1" applyFill="1" applyBorder="1" applyAlignment="1">
      <alignment horizontal="center"/>
    </xf>
    <xf numFmtId="0" fontId="0" fillId="49" borderId="28" xfId="0" quotePrefix="1" applyFill="1" applyBorder="1" applyAlignment="1">
      <alignment horizontal="center"/>
    </xf>
    <xf numFmtId="166" fontId="0" fillId="49" borderId="28" xfId="0" applyNumberFormat="1" applyFill="1" applyBorder="1" applyAlignment="1">
      <alignment horizontal="center" wrapText="1"/>
    </xf>
    <xf numFmtId="0" fontId="4" fillId="50" borderId="28" xfId="0" applyFont="1" applyFill="1" applyBorder="1"/>
    <xf numFmtId="0" fontId="0" fillId="49" borderId="28" xfId="0" quotePrefix="1" applyFill="1" applyBorder="1" applyAlignment="1">
      <alignment horizontal="left"/>
    </xf>
    <xf numFmtId="0" fontId="5" fillId="49" borderId="28" xfId="0" applyFont="1" applyFill="1" applyBorder="1"/>
    <xf numFmtId="0" fontId="5" fillId="49" borderId="28" xfId="0" quotePrefix="1" applyFont="1" applyFill="1" applyBorder="1"/>
    <xf numFmtId="0" fontId="7" fillId="49" borderId="0" xfId="0" applyFont="1" applyFill="1"/>
    <xf numFmtId="0" fontId="0" fillId="49" borderId="0" xfId="0" applyFill="1" applyAlignment="1">
      <alignment horizontal="center"/>
    </xf>
    <xf numFmtId="0" fontId="23" fillId="49" borderId="25" xfId="2" applyFont="1" applyFill="1" applyBorder="1" applyAlignment="1">
      <alignment horizontal="center" vertical="center"/>
    </xf>
    <xf numFmtId="0" fontId="23" fillId="49" borderId="26" xfId="2" applyFont="1" applyFill="1" applyBorder="1" applyAlignment="1">
      <alignment horizontal="center" vertical="center"/>
    </xf>
    <xf numFmtId="0" fontId="23" fillId="49" borderId="27" xfId="2" applyFont="1" applyFill="1" applyBorder="1" applyAlignment="1">
      <alignment horizontal="center" vertical="center"/>
    </xf>
    <xf numFmtId="0" fontId="23" fillId="49" borderId="28" xfId="2" applyFont="1" applyFill="1" applyBorder="1" applyAlignment="1">
      <alignment horizontal="center" vertical="center"/>
    </xf>
    <xf numFmtId="12" fontId="23" fillId="49" borderId="28" xfId="2" applyNumberFormat="1" applyFont="1" applyFill="1" applyBorder="1" applyAlignment="1">
      <alignment horizontal="center" vertical="center"/>
    </xf>
    <xf numFmtId="0" fontId="23" fillId="49" borderId="28" xfId="2" applyFont="1" applyFill="1" applyBorder="1" applyAlignment="1">
      <alignment horizontal="center"/>
    </xf>
    <xf numFmtId="12" fontId="23" fillId="49" borderId="28" xfId="2" applyNumberFormat="1" applyFont="1" applyFill="1" applyBorder="1" applyAlignment="1">
      <alignment horizontal="center"/>
    </xf>
    <xf numFmtId="0" fontId="26" fillId="49" borderId="28" xfId="0" quotePrefix="1" applyFont="1" applyFill="1" applyBorder="1" applyAlignment="1">
      <alignment horizontal="center" vertical="center" wrapText="1"/>
    </xf>
    <xf numFmtId="0" fontId="8" fillId="49" borderId="28" xfId="0" applyFont="1" applyFill="1" applyBorder="1"/>
    <xf numFmtId="166" fontId="8" fillId="49" borderId="28" xfId="0" applyNumberFormat="1" applyFont="1" applyFill="1" applyBorder="1"/>
    <xf numFmtId="0" fontId="0" fillId="49" borderId="28" xfId="0" quotePrefix="1" applyFill="1" applyBorder="1"/>
    <xf numFmtId="166" fontId="0" fillId="49" borderId="0" xfId="0" applyNumberFormat="1" applyFill="1"/>
    <xf numFmtId="0" fontId="28" fillId="49" borderId="28" xfId="0" applyFont="1" applyFill="1" applyBorder="1" applyAlignment="1">
      <alignment horizontal="center" vertical="center" wrapText="1"/>
    </xf>
    <xf numFmtId="166" fontId="22" fillId="49" borderId="28" xfId="1" applyNumberFormat="1" applyFont="1" applyFill="1" applyBorder="1" applyAlignment="1">
      <alignment horizontal="center" vertical="center" wrapText="1"/>
    </xf>
    <xf numFmtId="0" fontId="0" fillId="49" borderId="28" xfId="0" applyFill="1" applyBorder="1" applyAlignment="1">
      <alignment horizontal="left"/>
    </xf>
  </cellXfs>
  <cellStyles count="9">
    <cellStyle name="Currency" xfId="1" builtinId="4"/>
    <cellStyle name="Currency 2" xfId="4" xr:uid="{88C2994E-3B40-4664-A54E-AC15C17D6DC3}"/>
    <cellStyle name="Hyperlink" xfId="7" builtinId="8"/>
    <cellStyle name="Normal" xfId="0" builtinId="0"/>
    <cellStyle name="Normal 2" xfId="2" xr:uid="{A922CD58-9DDB-4D72-95B2-44AC27EEB82B}"/>
    <cellStyle name="Normal 2 2" xfId="5" xr:uid="{D2C557B4-0484-43FC-A59E-8C343BB24A3C}"/>
    <cellStyle name="Normal 3" xfId="3" xr:uid="{25841159-F124-4571-8A93-720090F5D97E}"/>
    <cellStyle name="Percent" xfId="8" builtinId="5"/>
    <cellStyle name="Percent 2" xfId="6" xr:uid="{DC79EBC9-38F5-448C-B9DA-3906A8B41617}"/>
  </cellStyles>
  <dxfs count="7">
    <dxf>
      <font>
        <b val="0"/>
        <i val="0"/>
        <strike val="0"/>
        <condense val="0"/>
        <extend val="0"/>
        <outline val="0"/>
        <shadow val="0"/>
        <u val="none"/>
        <vertAlign val="baseline"/>
        <sz val="11"/>
        <color theme="1"/>
        <name val="Aptos Narrow"/>
        <family val="2"/>
        <scheme val="minor"/>
      </font>
      <fill>
        <patternFill patternType="solid">
          <fgColor theme="9" tint="0.59999389629810485"/>
          <bgColor theme="9" tint="0.59999389629810485"/>
        </patternFill>
      </fill>
      <border diagonalUp="0" diagonalDown="0">
        <left style="thin">
          <color theme="0"/>
        </left>
        <right/>
        <top style="thin">
          <color theme="0"/>
        </top>
        <bottom style="thin">
          <color theme="0"/>
        </bottom>
        <vertical/>
        <horizontal/>
      </border>
    </dxf>
    <dxf>
      <font>
        <b val="0"/>
        <i val="0"/>
        <strike val="0"/>
        <condense val="0"/>
        <extend val="0"/>
        <outline val="0"/>
        <shadow val="0"/>
        <u val="none"/>
        <vertAlign val="baseline"/>
        <sz val="11"/>
        <color rgb="FF000000"/>
        <name val="Aptos Narrow"/>
        <family val="2"/>
        <scheme val="none"/>
      </font>
      <fill>
        <patternFill patternType="solid">
          <fgColor theme="9" tint="0.59999389629810485"/>
          <bgColor theme="9" tint="0.5999938962981048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theme="0"/>
        </bottom>
        <vertical/>
        <horizontal/>
      </border>
    </dxf>
    <dxf>
      <border outline="0">
        <bottom style="thin">
          <color theme="0"/>
        </bottom>
      </border>
    </dxf>
    <dxf>
      <border outline="0">
        <bottom style="thick">
          <color theme="0"/>
        </bottom>
      </border>
    </dxf>
    <dxf>
      <font>
        <b/>
        <i val="0"/>
        <strike val="0"/>
        <condense val="0"/>
        <extend val="0"/>
        <outline val="0"/>
        <shadow val="0"/>
        <u val="none"/>
        <vertAlign val="baseline"/>
        <sz val="11"/>
        <color theme="0"/>
        <name val="Aptos Narrow"/>
        <family val="2"/>
        <scheme val="minor"/>
      </font>
      <fill>
        <patternFill patternType="solid">
          <fgColor theme="9"/>
          <bgColor theme="9"/>
        </patternFill>
      </fill>
      <border diagonalUp="0" diagonalDown="0" outline="0">
        <left style="thin">
          <color theme="0"/>
        </left>
        <right style="thin">
          <color theme="0"/>
        </right>
        <top/>
        <bottom/>
      </border>
    </dxf>
    <dxf>
      <font>
        <color theme="0"/>
      </font>
      <fill>
        <patternFill patternType="none">
          <bgColor auto="1"/>
        </patternFill>
      </fill>
      <border>
        <left/>
        <right/>
        <top/>
        <bottom/>
      </border>
    </dxf>
    <dxf>
      <font>
        <color theme="0"/>
      </font>
      <fill>
        <patternFill>
          <bgColor theme="0"/>
        </patternFill>
      </fill>
      <border>
        <left/>
        <right/>
        <top/>
        <bottom/>
      </border>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3.xml"/><Relationship Id="rId26" Type="http://schemas.openxmlformats.org/officeDocument/2006/relationships/customXml" Target="../customXml/item2.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2.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styles" Target="styles.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17/10/relationships/person" Target="persons/person.xml"/><Relationship Id="rId28" Type="http://schemas.openxmlformats.org/officeDocument/2006/relationships/customXml" Target="../customXml/item4.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eetMetadata" Target="metadata.xml"/><Relationship Id="rId27" Type="http://schemas.openxmlformats.org/officeDocument/2006/relationships/customXml" Target="../customXml/item3.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s>
</file>

<file path=xl/drawings/_rels/drawing6.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0</xdr:col>
      <xdr:colOff>342900</xdr:colOff>
      <xdr:row>1</xdr:row>
      <xdr:rowOff>38099</xdr:rowOff>
    </xdr:from>
    <xdr:to>
      <xdr:col>3</xdr:col>
      <xdr:colOff>70486</xdr:colOff>
      <xdr:row>5</xdr:row>
      <xdr:rowOff>152400</xdr:rowOff>
    </xdr:to>
    <xdr:pic>
      <xdr:nvPicPr>
        <xdr:cNvPr id="2" name="Picture 1">
          <a:extLst>
            <a:ext uri="{FF2B5EF4-FFF2-40B4-BE49-F238E27FC236}">
              <a16:creationId xmlns:a16="http://schemas.microsoft.com/office/drawing/2014/main" id="{63FC2674-3408-606F-BE09-AEE4E71E743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42900" y="228599"/>
          <a:ext cx="2146936" cy="87630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2</xdr:col>
      <xdr:colOff>323849</xdr:colOff>
      <xdr:row>2</xdr:row>
      <xdr:rowOff>25400</xdr:rowOff>
    </xdr:from>
    <xdr:to>
      <xdr:col>5</xdr:col>
      <xdr:colOff>335265</xdr:colOff>
      <xdr:row>4</xdr:row>
      <xdr:rowOff>225425</xdr:rowOff>
    </xdr:to>
    <xdr:pic>
      <xdr:nvPicPr>
        <xdr:cNvPr id="2" name="Picture 1">
          <a:extLst>
            <a:ext uri="{FF2B5EF4-FFF2-40B4-BE49-F238E27FC236}">
              <a16:creationId xmlns:a16="http://schemas.microsoft.com/office/drawing/2014/main" id="{5FB56B74-BA3D-47F9-B994-12A955F9C2E1}"/>
            </a:ext>
          </a:extLst>
        </xdr:cNvPr>
        <xdr:cNvPicPr>
          <a:picLocks noChangeAspect="1"/>
        </xdr:cNvPicPr>
      </xdr:nvPicPr>
      <xdr:blipFill>
        <a:blip xmlns:r="http://schemas.openxmlformats.org/officeDocument/2006/relationships" r:embed="rId1"/>
        <a:stretch>
          <a:fillRect/>
        </a:stretch>
      </xdr:blipFill>
      <xdr:spPr>
        <a:xfrm>
          <a:off x="1514474" y="415925"/>
          <a:ext cx="1881491" cy="666750"/>
        </a:xfrm>
        <a:prstGeom prst="rect">
          <a:avLst/>
        </a:prstGeom>
      </xdr:spPr>
    </xdr:pic>
    <xdr:clientData/>
  </xdr:twoCellAnchor>
  <xdr:twoCellAnchor>
    <xdr:from>
      <xdr:col>5</xdr:col>
      <xdr:colOff>352425</xdr:colOff>
      <xdr:row>15</xdr:row>
      <xdr:rowOff>219075</xdr:rowOff>
    </xdr:from>
    <xdr:to>
      <xdr:col>6</xdr:col>
      <xdr:colOff>962025</xdr:colOff>
      <xdr:row>17</xdr:row>
      <xdr:rowOff>19050</xdr:rowOff>
    </xdr:to>
    <xdr:sp macro="[0]!data_pleats" textlink="">
      <xdr:nvSpPr>
        <xdr:cNvPr id="3" name="Rectangle 2">
          <a:extLst>
            <a:ext uri="{FF2B5EF4-FFF2-40B4-BE49-F238E27FC236}">
              <a16:creationId xmlns:a16="http://schemas.microsoft.com/office/drawing/2014/main" id="{B3AF6492-71CC-4A1D-BE9B-EB3CECEEC8F5}"/>
            </a:ext>
            <a:ext uri="{147F2762-F138-4A5C-976F-8EAC2B608ADB}">
              <a16:predDERef xmlns:a16="http://schemas.microsoft.com/office/drawing/2014/main" pred="{83DF932D-7523-4F77-97B0-B3F4309E746C}"/>
            </a:ext>
          </a:extLst>
        </xdr:cNvPr>
        <xdr:cNvSpPr/>
      </xdr:nvSpPr>
      <xdr:spPr>
        <a:xfrm>
          <a:off x="3409950" y="3857625"/>
          <a:ext cx="1885950" cy="276225"/>
        </a:xfrm>
        <a:prstGeom prst="rect">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400" b="1"/>
            <a:t>SUBMIT</a:t>
          </a:r>
          <a:endParaRPr lang="en-US" sz="1100" b="1"/>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533400</xdr:colOff>
      <xdr:row>1</xdr:row>
      <xdr:rowOff>180975</xdr:rowOff>
    </xdr:from>
    <xdr:to>
      <xdr:col>2</xdr:col>
      <xdr:colOff>1586216</xdr:colOff>
      <xdr:row>3</xdr:row>
      <xdr:rowOff>232410</xdr:rowOff>
    </xdr:to>
    <xdr:pic>
      <xdr:nvPicPr>
        <xdr:cNvPr id="2" name="Picture 1">
          <a:extLst>
            <a:ext uri="{FF2B5EF4-FFF2-40B4-BE49-F238E27FC236}">
              <a16:creationId xmlns:a16="http://schemas.microsoft.com/office/drawing/2014/main" id="{BEAB97FF-841B-4DE8-8FAC-378BB8D5D2C2}"/>
            </a:ext>
          </a:extLst>
        </xdr:cNvPr>
        <xdr:cNvPicPr>
          <a:picLocks noChangeAspect="1"/>
        </xdr:cNvPicPr>
      </xdr:nvPicPr>
      <xdr:blipFill>
        <a:blip xmlns:r="http://schemas.openxmlformats.org/officeDocument/2006/relationships" r:embed="rId1"/>
        <a:stretch>
          <a:fillRect/>
        </a:stretch>
      </xdr:blipFill>
      <xdr:spPr>
        <a:xfrm>
          <a:off x="1123950" y="381000"/>
          <a:ext cx="1967216" cy="784860"/>
        </a:xfrm>
        <a:prstGeom prst="rect">
          <a:avLst/>
        </a:prstGeom>
      </xdr:spPr>
    </xdr:pic>
    <xdr:clientData/>
  </xdr:twoCellAnchor>
  <xdr:twoCellAnchor>
    <xdr:from>
      <xdr:col>4</xdr:col>
      <xdr:colOff>609600</xdr:colOff>
      <xdr:row>20</xdr:row>
      <xdr:rowOff>0</xdr:rowOff>
    </xdr:from>
    <xdr:to>
      <xdr:col>5</xdr:col>
      <xdr:colOff>942975</xdr:colOff>
      <xdr:row>21</xdr:row>
      <xdr:rowOff>38100</xdr:rowOff>
    </xdr:to>
    <xdr:sp macro="[0]!data_panelslinks" textlink="">
      <xdr:nvSpPr>
        <xdr:cNvPr id="3" name="Rectangle 2">
          <a:extLst>
            <a:ext uri="{FF2B5EF4-FFF2-40B4-BE49-F238E27FC236}">
              <a16:creationId xmlns:a16="http://schemas.microsoft.com/office/drawing/2014/main" id="{A0E14550-505E-4071-9202-3797EDFF7652}"/>
            </a:ext>
            <a:ext uri="{147F2762-F138-4A5C-976F-8EAC2B608ADB}">
              <a16:predDERef xmlns:a16="http://schemas.microsoft.com/office/drawing/2014/main" pred="{83DF932D-7523-4F77-97B0-B3F4309E746C}"/>
            </a:ext>
          </a:extLst>
        </xdr:cNvPr>
        <xdr:cNvSpPr/>
      </xdr:nvSpPr>
      <xdr:spPr>
        <a:xfrm>
          <a:off x="4657725" y="5257800"/>
          <a:ext cx="1885950" cy="276225"/>
        </a:xfrm>
        <a:prstGeom prst="rect">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400" b="1"/>
            <a:t>SUBMIT</a:t>
          </a:r>
          <a:endParaRPr lang="en-US" sz="1100" b="1"/>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2</xdr:col>
      <xdr:colOff>228600</xdr:colOff>
      <xdr:row>2</xdr:row>
      <xdr:rowOff>9525</xdr:rowOff>
    </xdr:from>
    <xdr:to>
      <xdr:col>4</xdr:col>
      <xdr:colOff>549896</xdr:colOff>
      <xdr:row>5</xdr:row>
      <xdr:rowOff>97155</xdr:rowOff>
    </xdr:to>
    <xdr:pic>
      <xdr:nvPicPr>
        <xdr:cNvPr id="2" name="Picture 1">
          <a:extLst>
            <a:ext uri="{FF2B5EF4-FFF2-40B4-BE49-F238E27FC236}">
              <a16:creationId xmlns:a16="http://schemas.microsoft.com/office/drawing/2014/main" id="{B0A2B650-BCA6-4AE3-A68C-2687F52C8486}"/>
            </a:ext>
          </a:extLst>
        </xdr:cNvPr>
        <xdr:cNvPicPr>
          <a:picLocks noChangeAspect="1"/>
        </xdr:cNvPicPr>
      </xdr:nvPicPr>
      <xdr:blipFill>
        <a:blip xmlns:r="http://schemas.openxmlformats.org/officeDocument/2006/relationships" r:embed="rId1"/>
        <a:stretch>
          <a:fillRect/>
        </a:stretch>
      </xdr:blipFill>
      <xdr:spPr>
        <a:xfrm>
          <a:off x="1447800" y="390525"/>
          <a:ext cx="1881491" cy="813435"/>
        </a:xfrm>
        <a:prstGeom prst="rect">
          <a:avLst/>
        </a:prstGeom>
      </xdr:spPr>
    </xdr:pic>
    <xdr:clientData/>
  </xdr:twoCellAnchor>
  <xdr:twoCellAnchor>
    <xdr:from>
      <xdr:col>5</xdr:col>
      <xdr:colOff>581025</xdr:colOff>
      <xdr:row>17</xdr:row>
      <xdr:rowOff>209550</xdr:rowOff>
    </xdr:from>
    <xdr:to>
      <xdr:col>6</xdr:col>
      <xdr:colOff>904875</xdr:colOff>
      <xdr:row>19</xdr:row>
      <xdr:rowOff>28575</xdr:rowOff>
    </xdr:to>
    <xdr:sp macro="[0]!data_pads" textlink="">
      <xdr:nvSpPr>
        <xdr:cNvPr id="5" name="Rectangle 4">
          <a:extLst>
            <a:ext uri="{FF2B5EF4-FFF2-40B4-BE49-F238E27FC236}">
              <a16:creationId xmlns:a16="http://schemas.microsoft.com/office/drawing/2014/main" id="{CA10FB4A-9E17-47E2-B9F8-F5F9B8AF3F14}"/>
            </a:ext>
            <a:ext uri="{147F2762-F138-4A5C-976F-8EAC2B608ADB}">
              <a16:predDERef xmlns:a16="http://schemas.microsoft.com/office/drawing/2014/main" pred="{83DF932D-7523-4F77-97B0-B3F4309E746C}"/>
            </a:ext>
          </a:extLst>
        </xdr:cNvPr>
        <xdr:cNvSpPr/>
      </xdr:nvSpPr>
      <xdr:spPr>
        <a:xfrm>
          <a:off x="3981450" y="4095750"/>
          <a:ext cx="1885950" cy="276225"/>
        </a:xfrm>
        <a:prstGeom prst="rect">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400" b="1"/>
            <a:t>SUBMIT</a:t>
          </a:r>
          <a:endParaRPr lang="en-US" sz="1100" b="1"/>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19</xdr:col>
      <xdr:colOff>0</xdr:colOff>
      <xdr:row>45</xdr:row>
      <xdr:rowOff>0</xdr:rowOff>
    </xdr:from>
    <xdr:to>
      <xdr:col>22</xdr:col>
      <xdr:colOff>9525</xdr:colOff>
      <xdr:row>45</xdr:row>
      <xdr:rowOff>0</xdr:rowOff>
    </xdr:to>
    <xdr:sp macro="" textlink="">
      <xdr:nvSpPr>
        <xdr:cNvPr id="2" name="Text Box 7">
          <a:extLst>
            <a:ext uri="{FF2B5EF4-FFF2-40B4-BE49-F238E27FC236}">
              <a16:creationId xmlns:a16="http://schemas.microsoft.com/office/drawing/2014/main" id="{558073A5-743A-47BE-8628-FBD08974FB80}"/>
            </a:ext>
          </a:extLst>
        </xdr:cNvPr>
        <xdr:cNvSpPr txBox="1">
          <a:spLocks noChangeArrowheads="1"/>
        </xdr:cNvSpPr>
      </xdr:nvSpPr>
      <xdr:spPr bwMode="auto">
        <a:xfrm>
          <a:off x="2085975" y="4181475"/>
          <a:ext cx="6438900" cy="0"/>
        </a:xfrm>
        <a:prstGeom prst="rect">
          <a:avLst/>
        </a:prstGeom>
        <a:noFill/>
        <a:ln w="9525">
          <a:noFill/>
          <a:miter lim="800000"/>
          <a:headEnd/>
          <a:tailEnd/>
        </a:ln>
      </xdr:spPr>
      <xdr:txBody>
        <a:bodyPr vertOverflow="clip" wrap="square" lIns="27432" tIns="22860" rIns="0" bIns="0" anchor="t" upright="1"/>
        <a:lstStyle/>
        <a:p>
          <a:pPr algn="l" rtl="0">
            <a:defRPr sz="1000"/>
          </a:pPr>
          <a:r>
            <a:rPr lang="en-US" sz="800" b="1" i="0" strike="noStrike">
              <a:solidFill>
                <a:srgbClr val="000000"/>
              </a:solidFill>
              <a:latin typeface="Arial"/>
              <a:cs typeface="Arial"/>
            </a:rPr>
            <a:t>* CONSULT FACTORY FOR PART NUMBER</a:t>
          </a:r>
        </a:p>
        <a:p>
          <a:pPr algn="l" rtl="0">
            <a:defRPr sz="1000"/>
          </a:pPr>
          <a:r>
            <a:rPr lang="en-US" sz="800" b="1" i="0" strike="noStrike">
              <a:solidFill>
                <a:srgbClr val="000000"/>
              </a:solidFill>
              <a:latin typeface="Arial"/>
              <a:cs typeface="Arial"/>
            </a:rPr>
            <a:t>LIST PRICES ARE DISOUNTED IN ACCORDANCE WITH STANDARD COMPANY DISCOUNT POLICY.  PRICES SHOWN ARE THE SAME FOR ANY STANDAR SIZE HEADER.</a:t>
          </a:r>
          <a:endParaRPr lang="en-US" sz="800" b="0" i="0" strike="noStrike">
            <a:solidFill>
              <a:srgbClr val="000000"/>
            </a:solidFill>
            <a:latin typeface="Arial"/>
            <a:cs typeface="Arial"/>
          </a:endParaRPr>
        </a:p>
        <a:p>
          <a:pPr algn="l" rtl="0">
            <a:defRPr sz="1000"/>
          </a:pPr>
          <a:endParaRPr lang="en-US" sz="800" b="0" i="0" strike="noStrike">
            <a:solidFill>
              <a:srgbClr val="000000"/>
            </a:solidFill>
            <a:latin typeface="Arial"/>
            <a:cs typeface="Arial"/>
          </a:endParaRPr>
        </a:p>
      </xdr:txBody>
    </xdr:sp>
    <xdr:clientData/>
  </xdr:twoCellAnchor>
  <xdr:twoCellAnchor>
    <xdr:from>
      <xdr:col>19</xdr:col>
      <xdr:colOff>0</xdr:colOff>
      <xdr:row>45</xdr:row>
      <xdr:rowOff>0</xdr:rowOff>
    </xdr:from>
    <xdr:to>
      <xdr:col>22</xdr:col>
      <xdr:colOff>9525</xdr:colOff>
      <xdr:row>45</xdr:row>
      <xdr:rowOff>0</xdr:rowOff>
    </xdr:to>
    <xdr:sp macro="" textlink="">
      <xdr:nvSpPr>
        <xdr:cNvPr id="3" name="Text Box 8">
          <a:extLst>
            <a:ext uri="{FF2B5EF4-FFF2-40B4-BE49-F238E27FC236}">
              <a16:creationId xmlns:a16="http://schemas.microsoft.com/office/drawing/2014/main" id="{10E4D0CC-290C-40A5-B155-9D5621F0CF30}"/>
            </a:ext>
          </a:extLst>
        </xdr:cNvPr>
        <xdr:cNvSpPr txBox="1">
          <a:spLocks noChangeArrowheads="1"/>
        </xdr:cNvSpPr>
      </xdr:nvSpPr>
      <xdr:spPr bwMode="auto">
        <a:xfrm>
          <a:off x="2085975" y="4181475"/>
          <a:ext cx="6438900" cy="0"/>
        </a:xfrm>
        <a:prstGeom prst="rect">
          <a:avLst/>
        </a:prstGeom>
        <a:noFill/>
        <a:ln w="9525">
          <a:noFill/>
          <a:miter lim="800000"/>
          <a:headEnd/>
          <a:tailEnd/>
        </a:ln>
      </xdr:spPr>
      <xdr:txBody>
        <a:bodyPr vertOverflow="clip" wrap="square" lIns="27432" tIns="22860" rIns="0" bIns="0" anchor="t" upright="1"/>
        <a:lstStyle/>
        <a:p>
          <a:pPr algn="l" rtl="0">
            <a:defRPr sz="1000"/>
          </a:pPr>
          <a:r>
            <a:rPr lang="en-US" sz="800" b="1" i="0" strike="noStrike">
              <a:solidFill>
                <a:srgbClr val="000000"/>
              </a:solidFill>
              <a:latin typeface="Arial"/>
              <a:cs typeface="Arial"/>
            </a:rPr>
            <a:t>NOTES:</a:t>
          </a:r>
        </a:p>
        <a:p>
          <a:pPr algn="l" rtl="0">
            <a:defRPr sz="1000"/>
          </a:pPr>
          <a:r>
            <a:rPr lang="en-US" sz="800" b="1" i="0" strike="noStrike">
              <a:solidFill>
                <a:srgbClr val="000000"/>
              </a:solidFill>
              <a:latin typeface="Arial"/>
              <a:cs typeface="Arial"/>
            </a:rPr>
            <a:t>1.  ACTUAL DIMENSIONS OF GASKET MATERIAL ARE: 1/2" WIDE (+/- 1/32") X 3/8" THICK (+/- 1/32").  </a:t>
          </a:r>
        </a:p>
        <a:p>
          <a:pPr algn="l" rtl="0">
            <a:defRPr sz="1000"/>
          </a:pPr>
          <a:r>
            <a:rPr lang="en-US" sz="800" b="1" i="0" strike="noStrike">
              <a:solidFill>
                <a:srgbClr val="000000"/>
              </a:solidFill>
              <a:latin typeface="Arial"/>
              <a:cs typeface="Arial"/>
            </a:rPr>
            <a:t>2.  GASKET DESCRIPTION:  CHARCOAL ETHER FOAM WITH PRESSURE SENSITIVE ADHESIVE BACKING.</a:t>
          </a:r>
        </a:p>
        <a:p>
          <a:pPr algn="l" rtl="0">
            <a:defRPr sz="1000"/>
          </a:pPr>
          <a:r>
            <a:rPr lang="en-US" sz="800" b="1" i="0" strike="noStrike">
              <a:solidFill>
                <a:srgbClr val="000000"/>
              </a:solidFill>
              <a:latin typeface="Arial"/>
              <a:cs typeface="Arial"/>
            </a:rPr>
            <a:t>3.  FILTER GASKETING IS DESIGNED FOR USE WITH TRI-SAC, SHY-PAC, AND OIL MIST CARTRIDGE FILTERS TO ELIMINATE DIRTY-AIR BYPASS.  SHOULD NOT BE USED WHERE TEMPERATURE EXCEEDS 160 DEGREES F.</a:t>
          </a:r>
          <a:endParaRPr lang="en-US" sz="800" b="0" i="0" strike="noStrike">
            <a:solidFill>
              <a:srgbClr val="000000"/>
            </a:solidFill>
            <a:latin typeface="Arial"/>
            <a:cs typeface="Arial"/>
          </a:endParaRPr>
        </a:p>
        <a:p>
          <a:pPr algn="l" rtl="0">
            <a:defRPr sz="1000"/>
          </a:pPr>
          <a:endParaRPr lang="en-US" sz="800" b="0" i="0" strike="noStrike">
            <a:solidFill>
              <a:srgbClr val="000000"/>
            </a:solidFill>
            <a:latin typeface="Arial"/>
            <a:cs typeface="Arial"/>
          </a:endParaRP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2</xdr:col>
      <xdr:colOff>314325</xdr:colOff>
      <xdr:row>2</xdr:row>
      <xdr:rowOff>133350</xdr:rowOff>
    </xdr:from>
    <xdr:to>
      <xdr:col>4</xdr:col>
      <xdr:colOff>325106</xdr:colOff>
      <xdr:row>6</xdr:row>
      <xdr:rowOff>57150</xdr:rowOff>
    </xdr:to>
    <xdr:pic>
      <xdr:nvPicPr>
        <xdr:cNvPr id="3" name="Picture 2">
          <a:extLst>
            <a:ext uri="{FF2B5EF4-FFF2-40B4-BE49-F238E27FC236}">
              <a16:creationId xmlns:a16="http://schemas.microsoft.com/office/drawing/2014/main" id="{B0520586-3D4F-45D5-A900-46DBD4B41F28}"/>
            </a:ext>
          </a:extLst>
        </xdr:cNvPr>
        <xdr:cNvPicPr>
          <a:picLocks noChangeAspect="1"/>
        </xdr:cNvPicPr>
      </xdr:nvPicPr>
      <xdr:blipFill>
        <a:blip xmlns:r="http://schemas.openxmlformats.org/officeDocument/2006/relationships" r:embed="rId1"/>
        <a:stretch>
          <a:fillRect/>
        </a:stretch>
      </xdr:blipFill>
      <xdr:spPr>
        <a:xfrm>
          <a:off x="1533525" y="523875"/>
          <a:ext cx="1881491" cy="813435"/>
        </a:xfrm>
        <a:prstGeom prst="rect">
          <a:avLst/>
        </a:prstGeom>
      </xdr:spPr>
    </xdr:pic>
    <xdr:clientData/>
  </xdr:twoCellAnchor>
  <xdr:twoCellAnchor>
    <xdr:from>
      <xdr:col>5</xdr:col>
      <xdr:colOff>762000</xdr:colOff>
      <xdr:row>18</xdr:row>
      <xdr:rowOff>219075</xdr:rowOff>
    </xdr:from>
    <xdr:to>
      <xdr:col>6</xdr:col>
      <xdr:colOff>838200</xdr:colOff>
      <xdr:row>20</xdr:row>
      <xdr:rowOff>19050</xdr:rowOff>
    </xdr:to>
    <xdr:sp macro="[0]!data_sleeves" textlink="">
      <xdr:nvSpPr>
        <xdr:cNvPr id="2" name="Rectangle 1">
          <a:extLst>
            <a:ext uri="{FF2B5EF4-FFF2-40B4-BE49-F238E27FC236}">
              <a16:creationId xmlns:a16="http://schemas.microsoft.com/office/drawing/2014/main" id="{08580A54-686A-46EF-AF66-7089048E05D9}"/>
            </a:ext>
            <a:ext uri="{147F2762-F138-4A5C-976F-8EAC2B608ADB}">
              <a16:predDERef xmlns:a16="http://schemas.microsoft.com/office/drawing/2014/main" pred="{83DF932D-7523-4F77-97B0-B3F4309E746C}"/>
            </a:ext>
          </a:extLst>
        </xdr:cNvPr>
        <xdr:cNvSpPr/>
      </xdr:nvSpPr>
      <xdr:spPr>
        <a:xfrm>
          <a:off x="4257675" y="4324350"/>
          <a:ext cx="1885950" cy="276225"/>
        </a:xfrm>
        <a:prstGeom prst="rect">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400" b="1"/>
            <a:t>SUBMIT</a:t>
          </a:r>
          <a:endParaRPr lang="en-US" sz="1100" b="1"/>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18</xdr:col>
      <xdr:colOff>0</xdr:colOff>
      <xdr:row>37</xdr:row>
      <xdr:rowOff>0</xdr:rowOff>
    </xdr:from>
    <xdr:to>
      <xdr:col>21</xdr:col>
      <xdr:colOff>9525</xdr:colOff>
      <xdr:row>37</xdr:row>
      <xdr:rowOff>0</xdr:rowOff>
    </xdr:to>
    <xdr:sp macro="" textlink="">
      <xdr:nvSpPr>
        <xdr:cNvPr id="2" name="Text Box 7">
          <a:extLst>
            <a:ext uri="{FF2B5EF4-FFF2-40B4-BE49-F238E27FC236}">
              <a16:creationId xmlns:a16="http://schemas.microsoft.com/office/drawing/2014/main" id="{2F767A0A-E05D-44A8-BF48-CD1D72B654B1}"/>
            </a:ext>
          </a:extLst>
        </xdr:cNvPr>
        <xdr:cNvSpPr txBox="1">
          <a:spLocks noChangeArrowheads="1"/>
        </xdr:cNvSpPr>
      </xdr:nvSpPr>
      <xdr:spPr bwMode="auto">
        <a:xfrm>
          <a:off x="20726400" y="8677275"/>
          <a:ext cx="2076450" cy="0"/>
        </a:xfrm>
        <a:prstGeom prst="rect">
          <a:avLst/>
        </a:prstGeom>
        <a:noFill/>
        <a:ln w="9525">
          <a:noFill/>
          <a:miter lim="800000"/>
          <a:headEnd/>
          <a:tailEnd/>
        </a:ln>
      </xdr:spPr>
      <xdr:txBody>
        <a:bodyPr vertOverflow="clip" wrap="square" lIns="27432" tIns="22860" rIns="0" bIns="0" anchor="t" upright="1"/>
        <a:lstStyle/>
        <a:p>
          <a:pPr algn="l" rtl="0">
            <a:defRPr sz="1000"/>
          </a:pPr>
          <a:r>
            <a:rPr lang="en-US" sz="800" b="1" i="0" strike="noStrike">
              <a:solidFill>
                <a:srgbClr val="000000"/>
              </a:solidFill>
              <a:latin typeface="Arial"/>
              <a:cs typeface="Arial"/>
            </a:rPr>
            <a:t>* CONSULT FACTORY FOR PART NUMBER</a:t>
          </a:r>
        </a:p>
        <a:p>
          <a:pPr algn="l" rtl="0">
            <a:defRPr sz="1000"/>
          </a:pPr>
          <a:r>
            <a:rPr lang="en-US" sz="800" b="1" i="0" strike="noStrike">
              <a:solidFill>
                <a:srgbClr val="000000"/>
              </a:solidFill>
              <a:latin typeface="Arial"/>
              <a:cs typeface="Arial"/>
            </a:rPr>
            <a:t>LIST PRICES ARE DISOUNTED IN ACCORDANCE WITH STANDARD COMPANY DISCOUNT POLICY.  PRICES SHOWN ARE THE SAME FOR ANY STANDAR SIZE HEADER.</a:t>
          </a:r>
          <a:endParaRPr lang="en-US" sz="800" b="0" i="0" strike="noStrike">
            <a:solidFill>
              <a:srgbClr val="000000"/>
            </a:solidFill>
            <a:latin typeface="Arial"/>
            <a:cs typeface="Arial"/>
          </a:endParaRPr>
        </a:p>
        <a:p>
          <a:pPr algn="l" rtl="0">
            <a:defRPr sz="1000"/>
          </a:pPr>
          <a:endParaRPr lang="en-US" sz="800" b="0" i="0" strike="noStrike">
            <a:solidFill>
              <a:srgbClr val="000000"/>
            </a:solidFill>
            <a:latin typeface="Arial"/>
            <a:cs typeface="Arial"/>
          </a:endParaRPr>
        </a:p>
      </xdr:txBody>
    </xdr:sp>
    <xdr:clientData/>
  </xdr:twoCellAnchor>
  <xdr:twoCellAnchor>
    <xdr:from>
      <xdr:col>18</xdr:col>
      <xdr:colOff>0</xdr:colOff>
      <xdr:row>37</xdr:row>
      <xdr:rowOff>0</xdr:rowOff>
    </xdr:from>
    <xdr:to>
      <xdr:col>21</xdr:col>
      <xdr:colOff>9525</xdr:colOff>
      <xdr:row>37</xdr:row>
      <xdr:rowOff>0</xdr:rowOff>
    </xdr:to>
    <xdr:sp macro="" textlink="">
      <xdr:nvSpPr>
        <xdr:cNvPr id="3" name="Text Box 8">
          <a:extLst>
            <a:ext uri="{FF2B5EF4-FFF2-40B4-BE49-F238E27FC236}">
              <a16:creationId xmlns:a16="http://schemas.microsoft.com/office/drawing/2014/main" id="{29FC3E42-9899-41B5-B601-FA58792E0DE6}"/>
            </a:ext>
          </a:extLst>
        </xdr:cNvPr>
        <xdr:cNvSpPr txBox="1">
          <a:spLocks noChangeArrowheads="1"/>
        </xdr:cNvSpPr>
      </xdr:nvSpPr>
      <xdr:spPr bwMode="auto">
        <a:xfrm>
          <a:off x="20726400" y="8677275"/>
          <a:ext cx="2076450" cy="0"/>
        </a:xfrm>
        <a:prstGeom prst="rect">
          <a:avLst/>
        </a:prstGeom>
        <a:noFill/>
        <a:ln w="9525">
          <a:noFill/>
          <a:miter lim="800000"/>
          <a:headEnd/>
          <a:tailEnd/>
        </a:ln>
      </xdr:spPr>
      <xdr:txBody>
        <a:bodyPr vertOverflow="clip" wrap="square" lIns="27432" tIns="22860" rIns="0" bIns="0" anchor="t" upright="1"/>
        <a:lstStyle/>
        <a:p>
          <a:pPr algn="l" rtl="0">
            <a:defRPr sz="1000"/>
          </a:pPr>
          <a:r>
            <a:rPr lang="en-US" sz="800" b="1" i="0" strike="noStrike">
              <a:solidFill>
                <a:srgbClr val="000000"/>
              </a:solidFill>
              <a:latin typeface="Arial"/>
              <a:cs typeface="Arial"/>
            </a:rPr>
            <a:t>NOTES:</a:t>
          </a:r>
        </a:p>
        <a:p>
          <a:pPr algn="l" rtl="0">
            <a:defRPr sz="1000"/>
          </a:pPr>
          <a:r>
            <a:rPr lang="en-US" sz="800" b="1" i="0" strike="noStrike">
              <a:solidFill>
                <a:srgbClr val="000000"/>
              </a:solidFill>
              <a:latin typeface="Arial"/>
              <a:cs typeface="Arial"/>
            </a:rPr>
            <a:t>1.  ACTUAL DIMENSIONS OF GASKET MATERIAL ARE: 1/2" WIDE (+/- 1/32") X 3/8" THICK (+/- 1/32").  </a:t>
          </a:r>
        </a:p>
        <a:p>
          <a:pPr algn="l" rtl="0">
            <a:defRPr sz="1000"/>
          </a:pPr>
          <a:r>
            <a:rPr lang="en-US" sz="800" b="1" i="0" strike="noStrike">
              <a:solidFill>
                <a:srgbClr val="000000"/>
              </a:solidFill>
              <a:latin typeface="Arial"/>
              <a:cs typeface="Arial"/>
            </a:rPr>
            <a:t>2.  GASKET DESCRIPTION:  CHARCOAL ETHER FOAM WITH PRESSURE SENSITIVE ADHESIVE BACKING.</a:t>
          </a:r>
        </a:p>
        <a:p>
          <a:pPr algn="l" rtl="0">
            <a:defRPr sz="1000"/>
          </a:pPr>
          <a:r>
            <a:rPr lang="en-US" sz="800" b="1" i="0" strike="noStrike">
              <a:solidFill>
                <a:srgbClr val="000000"/>
              </a:solidFill>
              <a:latin typeface="Arial"/>
              <a:cs typeface="Arial"/>
            </a:rPr>
            <a:t>3.  FILTER GASKETING IS DESIGNED FOR USE WITH TRI-SAC, SHY-PAC, AND OIL MIST CARTRIDGE FILTERS TO ELIMINATE DIRTY-AIR BYPASS.  SHOULD NOT BE USED WHERE TEMPERATURE EXCEEDS 160 DEGREES F.</a:t>
          </a:r>
          <a:endParaRPr lang="en-US" sz="800" b="0" i="0" strike="noStrike">
            <a:solidFill>
              <a:srgbClr val="000000"/>
            </a:solidFill>
            <a:latin typeface="Arial"/>
            <a:cs typeface="Arial"/>
          </a:endParaRPr>
        </a:p>
        <a:p>
          <a:pPr algn="l" rtl="0">
            <a:defRPr sz="1000"/>
          </a:pPr>
          <a:endParaRPr lang="en-US" sz="800" b="0" i="0" strike="noStrike">
            <a:solidFill>
              <a:srgbClr val="000000"/>
            </a:solidFill>
            <a:latin typeface="Arial"/>
            <a:cs typeface="Arial"/>
          </a:endParaRPr>
        </a:p>
      </xdr:txBody>
    </xdr: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mannhummel-my.sharepoint.com/personal/brittney_zeller_mann-hummel_com/Documents/Sales/Pricing/Custom%20Pricing%20Project%202024/NAT%20Custom%20Calculators%202025%20INTERNAL.xlsm" TargetMode="External"/><Relationship Id="rId1" Type="http://schemas.openxmlformats.org/officeDocument/2006/relationships/externalLinkPath" Target="https://mannhummel-my.sharepoint.com/personal/brittney_zeller_mann-hummel_com/Documents/Sales/Pricing/Custom%20Pricing%20Project%202024/NAT%20Custom%20Calculators%202025%20INTERNAL.xlsm"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https://cleanaire-my.sharepoint.com/personal/brittneyz_pamlico-air_com/Documents/Sales/Pricing/Sales%20Price%20List%20Versions/1AIRBORNE%20MH%20AFA%20PRICEBOOK%20090124.xlsm" TargetMode="External"/><Relationship Id="rId1" Type="http://schemas.openxmlformats.org/officeDocument/2006/relationships/externalLinkPath" Target="https://mannhummel-my.sharepoint.com/personal/brittneyz_pamlico-air_com/Documents/Sales/Pricing/Sales%20Price%20List%20Versions/1AIRBORNE%20MH%20AFA%20PRICEBOOK%20090124.xlsm" TargetMode="External"/></Relationships>
</file>

<file path=xl/externalLinks/_rels/externalLink3.xml.rels><?xml version="1.0" encoding="UTF-8" standalone="yes"?>
<Relationships xmlns="http://schemas.openxmlformats.org/package/2006/relationships"><Relationship Id="rId3" Type="http://schemas.openxmlformats.org/officeDocument/2006/relationships/externalLinkPath" Target="https://mannhummel-my.sharepoint.com/personal/brittney_zeller_mann-hummel_com/Documents/Sales/Pricing/03-01-25%20Price%20Increase/1AIRBORNE%20MH%20AFA%20PRICEBOOK%20030325_Draft%20Update.xlsm" TargetMode="External"/><Relationship Id="rId2" Type="http://schemas.microsoft.com/office/2019/04/relationships/externalLinkLongPath" Target="https://mannhummel-my.sharepoint.com/personal/brittney_zeller_mann-hummel_com/Documents/Sales/Pricing/Custom%20Pricing%20Project%202024/Sales/Pricing/03-01-25%20Price%20Increase/1AIRBORNE%20MH%20AFA%20PRICEBOOK%20030325_Draft%20Update.xlsm?9BF66520" TargetMode="External"/><Relationship Id="rId1" Type="http://schemas.openxmlformats.org/officeDocument/2006/relationships/externalLinkPath" Target="file:///\\9BF66520\1AIRBORNE%20MH%20AFA%20PRICEBOOK%20030325_Draft%20Update.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mprovements"/>
      <sheetName val="Table of Contents"/>
      <sheetName val="Output"/>
      <sheetName val="Pleats Calc"/>
      <sheetName val="NAT Price"/>
      <sheetName val="Pricing Logic Pleats"/>
      <sheetName val="Panels-Links Calc"/>
      <sheetName val="Pricing Logic Panels-Links"/>
      <sheetName val="Pads Calc"/>
      <sheetName val="Pricing Logic Pads"/>
      <sheetName val="Sleeves Calc"/>
      <sheetName val="Product Guide"/>
      <sheetName val="Sheet1"/>
      <sheetName val="Pricing Logic Sleeves"/>
      <sheetName val="Sheet2"/>
    </sheetNames>
    <sheetDataSet>
      <sheetData sheetId="0" refreshError="1"/>
      <sheetData sheetId="1" refreshError="1"/>
      <sheetData sheetId="2" refreshError="1"/>
      <sheetData sheetId="3" refreshError="1"/>
      <sheetData sheetId="4" refreshError="1"/>
      <sheetData sheetId="5"/>
      <sheetData sheetId="6" refreshError="1"/>
      <sheetData sheetId="7" refreshError="1"/>
      <sheetData sheetId="8"/>
      <sheetData sheetId="9"/>
      <sheetData sheetId="10" refreshError="1"/>
      <sheetData sheetId="11" refreshError="1"/>
      <sheetData sheetId="12" refreshError="1"/>
      <sheetData sheetId="13"/>
      <sheetData sheetId="1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Summary"/>
      <sheetName val="Sales Drawings Parts"/>
      <sheetName val="MASTER"/>
      <sheetName val="Table of Contents"/>
      <sheetName val="Throwaways"/>
      <sheetName val="Poly Pads &amp; Rolls"/>
      <sheetName val="Paint Booth"/>
      <sheetName val="Pleats"/>
      <sheetName val="Panels &amp; Links"/>
      <sheetName val="Cubes"/>
      <sheetName val="Bags"/>
      <sheetName val="Rigids"/>
      <sheetName val="ASHRAE Cells"/>
      <sheetName val="Thin Lines"/>
      <sheetName val="V-Cells"/>
      <sheetName val="HEPA"/>
      <sheetName val="Cleanroom"/>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3"/>
    </xxl21:alternateUrls>
    <sheetNames>
      <sheetName val="Summary"/>
      <sheetName val="Sales Drawings Parts"/>
      <sheetName val="MASTER"/>
      <sheetName val="Table of Contents"/>
      <sheetName val="Pads &amp; Rolls"/>
      <sheetName val="Paint Booth"/>
      <sheetName val="Throwaways"/>
      <sheetName val="Pleats"/>
      <sheetName val="Panels"/>
      <sheetName val="Links"/>
      <sheetName val="Cubes"/>
      <sheetName val="Bags"/>
      <sheetName val="Rigids"/>
      <sheetName val="ASHRAE Cells"/>
      <sheetName val="Thin Lines"/>
      <sheetName val="V-Cells"/>
      <sheetName val="Molecular"/>
      <sheetName val="HEPA"/>
      <sheetName val="Cleanroom"/>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persons/person.xml><?xml version="1.0" encoding="utf-8"?>
<personList xmlns="http://schemas.microsoft.com/office/spreadsheetml/2018/threadedcomments" xmlns:x="http://schemas.openxmlformats.org/spreadsheetml/2006/main">
  <person displayName="Zeller, Brittney" id="{733E62FB-EF27-4E98-8676-94C59A3E12AC}" userId="S::Brittney.Zeller@mann-hummel.com::dd07bdfb-7f1c-4145-810f-6597a57928e0"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0852E8B-84B9-4841-96BB-297581DAA10D}" name="Width" displayName="Width" ref="Z4:AA1724" totalsRowShown="0">
  <autoFilter ref="Z4:AA1724" xr:uid="{C0852E8B-84B9-4841-96BB-297581DAA10D}"/>
  <tableColumns count="2">
    <tableColumn id="1" xr3:uid="{93D79955-9C01-4007-AD94-6662DDAF2E8F}" name="Level1"/>
    <tableColumn id="2" xr3:uid="{6FC9AF1E-A82B-4E36-97A5-8D14D7CC5C74}" name="Level2"/>
  </tableColumns>
  <tableStyleInfo name="TableStyleMedium1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F0B6794-0319-44CB-B79B-3252054AE7CA}" name="Table13" displayName="Table13" ref="Y4:Z1747" totalsRowShown="0">
  <autoFilter ref="Y4:Z1747" xr:uid="{C0852E8B-84B9-4841-96BB-297581DAA10D}"/>
  <tableColumns count="2">
    <tableColumn id="1" xr3:uid="{E011E9F4-3909-45BA-89A0-3A46A68A0341}" name="Level1"/>
    <tableColumn id="2" xr3:uid="{7FEBB0B9-F4D5-4517-873E-4F499C5549C9}" name="Level2"/>
  </tableColumns>
  <tableStyleInfo name="TableStyleMedium1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BBE510B9-63E6-4FC4-B04D-5633F55E3F91}" name="Table3" displayName="Table3" ref="AB4:AC92" totalsRowShown="0" headerRowDxfId="4" headerRowBorderDxfId="3" tableBorderDxfId="2">
  <autoFilter ref="AB4:AC92" xr:uid="{BBE510B9-63E6-4FC4-B04D-5633F55E3F91}"/>
  <tableColumns count="2">
    <tableColumn id="1" xr3:uid="{05B8AB56-F8CC-45F1-947F-85873D9C6586}" name="Product Family" dataDxfId="1"/>
    <tableColumn id="2" xr3:uid="{E81B3CA4-B949-4D7E-B894-C331D16142BF}" name="Max" dataDxfId="0"/>
  </tableColumns>
  <tableStyleInfo name="TableStyleMedium14"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45F82"/>
      </a:accent1>
      <a:accent2>
        <a:srgbClr val="E87331"/>
      </a:accent2>
      <a:accent3>
        <a:srgbClr val="186C24"/>
      </a:accent3>
      <a:accent4>
        <a:srgbClr val="0F9ED5"/>
      </a:accent4>
      <a:accent5>
        <a:srgbClr val="A02B93"/>
      </a:accent5>
      <a:accent6>
        <a:srgbClr val="4EA72E"/>
      </a:accent6>
      <a:hlink>
        <a:srgbClr val="467886"/>
      </a:hlink>
      <a:folHlink>
        <a:srgbClr val="96607D"/>
      </a:folHlink>
    </a:clrScheme>
    <a:fontScheme name="Office">
      <a:majorFont>
        <a:latin typeface="Aptos Display"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1" dT="2025-05-29T13:19:36.00" personId="{733E62FB-EF27-4E98-8676-94C59A3E12AC}" id="{F5712485-ACFE-4809-A487-709D67E345E6}">
    <text>Click the submit button on any calculator page to see output results here</text>
  </threadedComment>
</ThreadedComment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microsoft.com/office/2017/10/relationships/threadedComment" Target="../threadedComments/threadedComment1.xml"/><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9.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5.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465EBE-0841-4651-B93A-B322E2CF9BF9}">
  <sheetPr codeName="Sheet11"/>
  <dimension ref="B5:C21"/>
  <sheetViews>
    <sheetView showGridLines="0" workbookViewId="0">
      <selection activeCell="Q29" sqref="Q29"/>
    </sheetView>
  </sheetViews>
  <sheetFormatPr defaultRowHeight="14.5"/>
  <cols>
    <col min="3" max="3" width="112.26953125" customWidth="1"/>
  </cols>
  <sheetData>
    <row r="5" spans="3:3">
      <c r="C5" s="114" t="s">
        <v>0</v>
      </c>
    </row>
    <row r="6" spans="3:3">
      <c r="C6" s="116" t="s">
        <v>1</v>
      </c>
    </row>
    <row r="7" spans="3:3">
      <c r="C7" s="116" t="s">
        <v>2</v>
      </c>
    </row>
    <row r="8" spans="3:3">
      <c r="C8" s="116" t="s">
        <v>3</v>
      </c>
    </row>
    <row r="9" spans="3:3">
      <c r="C9" s="116" t="s">
        <v>4</v>
      </c>
    </row>
    <row r="10" spans="3:3">
      <c r="C10" s="116" t="s">
        <v>5</v>
      </c>
    </row>
    <row r="11" spans="3:3">
      <c r="C11" s="116" t="s">
        <v>6</v>
      </c>
    </row>
    <row r="12" spans="3:3">
      <c r="C12" s="116" t="s">
        <v>7</v>
      </c>
    </row>
    <row r="13" spans="3:3">
      <c r="C13" s="116" t="s">
        <v>8</v>
      </c>
    </row>
    <row r="14" spans="3:3">
      <c r="C14" s="116" t="s">
        <v>9</v>
      </c>
    </row>
    <row r="15" spans="3:3">
      <c r="C15" s="116" t="s">
        <v>10</v>
      </c>
    </row>
    <row r="16" spans="3:3">
      <c r="C16" s="116" t="s">
        <v>11</v>
      </c>
    </row>
    <row r="17" spans="2:3">
      <c r="C17" s="116" t="s">
        <v>12</v>
      </c>
    </row>
    <row r="18" spans="2:3">
      <c r="C18" s="116" t="s">
        <v>13</v>
      </c>
    </row>
    <row r="19" spans="2:3">
      <c r="C19" s="116" t="s">
        <v>14</v>
      </c>
    </row>
    <row r="20" spans="2:3">
      <c r="C20" s="116" t="s">
        <v>15</v>
      </c>
    </row>
    <row r="21" spans="2:3">
      <c r="B21" s="379">
        <v>45915</v>
      </c>
      <c r="C21" t="s">
        <v>16</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7B49A5-D739-4405-8130-04A85B102D29}">
  <sheetPr codeName="Sheet12"/>
  <dimension ref="A3:J16"/>
  <sheetViews>
    <sheetView showGridLines="0" workbookViewId="0">
      <selection activeCell="Q29" sqref="Q29"/>
    </sheetView>
  </sheetViews>
  <sheetFormatPr defaultRowHeight="14.5"/>
  <cols>
    <col min="3" max="3" width="18" customWidth="1"/>
  </cols>
  <sheetData>
    <row r="3" spans="1:10">
      <c r="E3" s="300"/>
      <c r="F3" s="300"/>
      <c r="G3" s="300"/>
      <c r="H3" s="300"/>
      <c r="I3" s="303" t="s">
        <v>17</v>
      </c>
    </row>
    <row r="4" spans="1:10">
      <c r="E4" s="300"/>
      <c r="F4" s="300"/>
      <c r="G4" s="300"/>
      <c r="H4" s="300"/>
      <c r="I4" s="303" t="s">
        <v>18</v>
      </c>
    </row>
    <row r="8" spans="1:10">
      <c r="A8" s="304"/>
      <c r="B8" s="304"/>
      <c r="C8" s="304"/>
      <c r="D8" s="304"/>
      <c r="E8" s="304"/>
      <c r="F8" s="304"/>
      <c r="G8" s="304"/>
      <c r="H8" s="304"/>
      <c r="I8" s="304"/>
    </row>
    <row r="9" spans="1:10" ht="32.5">
      <c r="A9" s="431" t="s">
        <v>19</v>
      </c>
      <c r="B9" s="431"/>
      <c r="C9" s="431"/>
      <c r="D9" s="431"/>
      <c r="E9" s="431"/>
      <c r="F9" s="431"/>
      <c r="G9" s="431"/>
      <c r="H9" s="431"/>
      <c r="I9" s="431"/>
      <c r="J9" s="431"/>
    </row>
    <row r="10" spans="1:10" ht="32.5">
      <c r="A10" s="431" t="s">
        <v>20</v>
      </c>
      <c r="B10" s="431"/>
      <c r="C10" s="431"/>
      <c r="D10" s="431"/>
      <c r="E10" s="431"/>
      <c r="F10" s="431"/>
      <c r="G10" s="431"/>
      <c r="H10" s="431"/>
      <c r="I10" s="431"/>
      <c r="J10" s="431"/>
    </row>
    <row r="11" spans="1:10">
      <c r="B11" s="300"/>
      <c r="C11" s="301"/>
      <c r="D11" s="300"/>
      <c r="E11" s="300"/>
      <c r="F11" s="300"/>
      <c r="G11" s="300"/>
      <c r="H11" s="300"/>
      <c r="I11" s="300"/>
      <c r="J11" s="300"/>
    </row>
    <row r="12" spans="1:10" ht="26">
      <c r="B12" s="305">
        <v>1</v>
      </c>
      <c r="C12" s="306" t="s">
        <v>21</v>
      </c>
      <c r="D12" s="302"/>
      <c r="E12" s="300"/>
      <c r="F12" s="300"/>
      <c r="G12" s="300"/>
      <c r="H12" s="300"/>
      <c r="I12" s="300"/>
      <c r="J12" s="300"/>
    </row>
    <row r="13" spans="1:10" ht="26">
      <c r="B13" s="305">
        <v>2</v>
      </c>
      <c r="C13" s="306" t="s">
        <v>22</v>
      </c>
      <c r="D13" s="302"/>
      <c r="E13" s="300"/>
      <c r="F13" s="300"/>
      <c r="G13" s="300"/>
      <c r="H13" s="300"/>
      <c r="I13" s="300"/>
      <c r="J13" s="300"/>
    </row>
    <row r="14" spans="1:10" ht="26">
      <c r="B14" s="305">
        <v>3</v>
      </c>
      <c r="C14" s="306" t="s">
        <v>23</v>
      </c>
      <c r="D14" s="300"/>
      <c r="E14" s="300"/>
      <c r="F14" s="300"/>
      <c r="G14" s="300"/>
      <c r="H14" s="300"/>
      <c r="I14" s="300"/>
      <c r="J14" s="300"/>
    </row>
    <row r="15" spans="1:10" ht="26">
      <c r="B15" s="305">
        <v>4</v>
      </c>
      <c r="C15" s="306" t="s">
        <v>24</v>
      </c>
    </row>
    <row r="16" spans="1:10">
      <c r="A16" s="304"/>
      <c r="B16" s="304"/>
      <c r="C16" s="304"/>
      <c r="D16" s="304"/>
      <c r="E16" s="304"/>
      <c r="F16" s="304"/>
      <c r="G16" s="304"/>
      <c r="H16" s="304"/>
      <c r="I16" s="304"/>
    </row>
  </sheetData>
  <mergeCells count="2">
    <mergeCell ref="A9:J9"/>
    <mergeCell ref="A10:J10"/>
  </mergeCells>
  <hyperlinks>
    <hyperlink ref="C12" location="'Pads Calc'!A1" display="Pads" xr:uid="{0C59BD3D-1160-4247-BC59-E4E42AE1B336}"/>
    <hyperlink ref="C13" location="'Panels-Links Calc'!A1" display="Panels &amp; Links" xr:uid="{0A247B3A-779A-4167-986F-4FC3825BE3F7}"/>
    <hyperlink ref="C14" location="'Pleats Calc'!A1" display="Pleats &amp; Throwaways" xr:uid="{BAB72C8E-9112-4365-975F-9E6E225F635B}"/>
    <hyperlink ref="C15" location="'Sleeves Calc'!A1" display="Pre-Cut Sleeves &amp; Wire Rings" xr:uid="{0E9CF6BE-C060-4950-BC41-8C092F0768F4}"/>
  </hyperlink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1533CD-554D-43C1-815C-EF44DD8C096B}">
  <sheetPr codeName="Sheet1"/>
  <dimension ref="A1:E7"/>
  <sheetViews>
    <sheetView workbookViewId="0">
      <selection activeCell="Q29" sqref="Q29"/>
    </sheetView>
  </sheetViews>
  <sheetFormatPr defaultRowHeight="14.5"/>
  <cols>
    <col min="1" max="1" width="36.26953125" style="101" customWidth="1"/>
    <col min="2" max="2" width="18.7265625" style="101" customWidth="1"/>
    <col min="3" max="3" width="12.7265625" style="101" bestFit="1" customWidth="1"/>
    <col min="4" max="4" width="15.453125" style="101" bestFit="1" customWidth="1"/>
    <col min="5" max="5" width="15.26953125" style="101" customWidth="1"/>
  </cols>
  <sheetData>
    <row r="1" spans="1:5">
      <c r="A1" s="110" t="s">
        <v>25</v>
      </c>
      <c r="B1" s="110" t="s">
        <v>26</v>
      </c>
      <c r="C1" s="110" t="s">
        <v>27</v>
      </c>
      <c r="D1" s="110" t="s">
        <v>28</v>
      </c>
      <c r="E1" s="110" t="s">
        <v>29</v>
      </c>
    </row>
    <row r="2" spans="1:5">
      <c r="C2" s="310"/>
      <c r="E2" s="310"/>
    </row>
    <row r="3" spans="1:5">
      <c r="C3" s="310"/>
      <c r="E3" s="310"/>
    </row>
    <row r="4" spans="1:5">
      <c r="C4" s="310"/>
      <c r="E4" s="310"/>
    </row>
    <row r="5" spans="1:5">
      <c r="C5" s="310"/>
      <c r="E5" s="310"/>
    </row>
    <row r="6" spans="1:5">
      <c r="C6" s="310"/>
      <c r="E6" s="310"/>
    </row>
    <row r="7" spans="1:5">
      <c r="C7" s="310"/>
      <c r="E7" s="310"/>
    </row>
  </sheetData>
  <dataValidations count="1">
    <dataValidation allowBlank="1" showInputMessage="1" showErrorMessage="1" sqref="B2:B1048576" xr:uid="{EE3A6E8C-673C-471A-8638-F66C18E7696D}"/>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B0A84C-1D6B-470C-8E10-76D72F33E5AB}">
  <sheetPr codeName="Sheet10">
    <tabColor theme="8" tint="0.59999389629810485"/>
  </sheetPr>
  <dimension ref="C1:W29"/>
  <sheetViews>
    <sheetView showGridLines="0" topLeftCell="B4" workbookViewId="0">
      <selection activeCell="F15" sqref="F15"/>
    </sheetView>
  </sheetViews>
  <sheetFormatPr defaultColWidth="8.81640625" defaultRowHeight="14.5"/>
  <cols>
    <col min="2" max="2" width="9" customWidth="1"/>
    <col min="3" max="3" width="9.7265625" customWidth="1"/>
    <col min="4" max="4" width="14.81640625" customWidth="1"/>
    <col min="5" max="5" width="3.453125" customWidth="1"/>
    <col min="6" max="6" width="19.81640625" customWidth="1"/>
    <col min="7" max="7" width="19.7265625" customWidth="1"/>
    <col min="8" max="8" width="19.26953125" customWidth="1"/>
    <col min="16" max="16" width="17.453125" customWidth="1"/>
  </cols>
  <sheetData>
    <row r="1" spans="3:23" ht="15" thickBot="1"/>
    <row r="2" spans="3:23">
      <c r="C2" s="203"/>
      <c r="D2" s="204"/>
      <c r="E2" s="204"/>
      <c r="F2" s="204"/>
      <c r="G2" s="204"/>
      <c r="H2" s="205"/>
    </row>
    <row r="3" spans="3:23" ht="18.5">
      <c r="C3" s="206"/>
      <c r="D3" s="6"/>
      <c r="E3" s="6"/>
      <c r="F3" s="446" t="s">
        <v>30</v>
      </c>
      <c r="G3" s="446"/>
      <c r="H3" s="447"/>
      <c r="P3" s="432"/>
      <c r="Q3" s="432"/>
    </row>
    <row r="4" spans="3:23" ht="18.5">
      <c r="C4" s="206"/>
      <c r="D4" s="6"/>
      <c r="E4" s="6"/>
      <c r="F4" s="446"/>
      <c r="G4" s="446"/>
      <c r="H4" s="447"/>
      <c r="J4" s="433"/>
      <c r="K4" s="433"/>
      <c r="L4" s="433"/>
      <c r="P4" s="16"/>
      <c r="Q4" s="16"/>
    </row>
    <row r="5" spans="3:23" ht="18.5">
      <c r="C5" s="206"/>
      <c r="D5" s="6"/>
      <c r="E5" s="6"/>
      <c r="F5" s="446"/>
      <c r="G5" s="446"/>
      <c r="H5" s="447"/>
      <c r="J5" s="433"/>
      <c r="K5" s="433"/>
      <c r="L5" s="433"/>
    </row>
    <row r="6" spans="3:23" ht="18.5">
      <c r="C6" s="206"/>
      <c r="D6" s="6"/>
      <c r="E6" s="6"/>
      <c r="F6" s="6"/>
      <c r="G6" s="6"/>
      <c r="H6" s="207"/>
      <c r="J6" s="433"/>
      <c r="K6" s="433"/>
      <c r="L6" s="433"/>
    </row>
    <row r="7" spans="3:23" ht="18.5">
      <c r="C7" s="206"/>
      <c r="D7" s="8" t="s">
        <v>31</v>
      </c>
      <c r="E7" s="6"/>
      <c r="F7" s="434" t="s">
        <v>122</v>
      </c>
      <c r="G7" s="435"/>
      <c r="H7" s="207"/>
      <c r="J7" s="433"/>
      <c r="K7" s="433"/>
      <c r="L7" s="433"/>
    </row>
    <row r="8" spans="3:23" ht="18.5">
      <c r="C8" s="206"/>
      <c r="D8" s="6"/>
      <c r="E8" s="6"/>
      <c r="F8" s="6"/>
      <c r="G8" s="6"/>
      <c r="H8" s="207"/>
      <c r="J8" s="433"/>
      <c r="K8" s="433"/>
      <c r="L8" s="433"/>
    </row>
    <row r="9" spans="3:23" ht="18.5">
      <c r="C9" s="206"/>
      <c r="D9" s="6"/>
      <c r="E9" s="6"/>
      <c r="F9" s="9" t="s">
        <v>33</v>
      </c>
      <c r="G9" s="9" t="s">
        <v>34</v>
      </c>
      <c r="H9" s="207"/>
      <c r="J9" s="433"/>
      <c r="K9" s="433"/>
      <c r="L9" s="433"/>
    </row>
    <row r="10" spans="3:23" ht="18.5">
      <c r="C10" s="206"/>
      <c r="D10" s="8" t="s">
        <v>35</v>
      </c>
      <c r="E10" s="6"/>
      <c r="F10" s="1">
        <v>17</v>
      </c>
      <c r="G10" s="208">
        <v>0.5</v>
      </c>
      <c r="H10" s="207"/>
      <c r="J10" s="433"/>
      <c r="K10" s="433"/>
      <c r="L10" s="433"/>
    </row>
    <row r="11" spans="3:23" ht="18.5">
      <c r="C11" s="206"/>
      <c r="D11" s="8" t="s">
        <v>36</v>
      </c>
      <c r="E11" s="6"/>
      <c r="F11" s="1">
        <v>12</v>
      </c>
      <c r="G11" s="208">
        <v>0.875</v>
      </c>
      <c r="H11" s="207"/>
    </row>
    <row r="12" spans="3:23" ht="18.5">
      <c r="C12" s="206"/>
      <c r="D12" s="6"/>
      <c r="E12" s="6"/>
      <c r="F12" s="6"/>
      <c r="G12" s="6"/>
      <c r="H12" s="207"/>
      <c r="W12" s="101"/>
    </row>
    <row r="13" spans="3:23" ht="18.5">
      <c r="C13" s="206"/>
      <c r="D13" s="436" t="s">
        <v>37</v>
      </c>
      <c r="E13" s="436"/>
      <c r="F13" s="437"/>
      <c r="G13" s="209" t="s">
        <v>90</v>
      </c>
      <c r="H13" s="207"/>
    </row>
    <row r="14" spans="3:23" ht="30.75" customHeight="1">
      <c r="C14" s="206"/>
      <c r="D14" s="438" t="s">
        <v>39</v>
      </c>
      <c r="E14" s="438"/>
      <c r="F14" s="438"/>
      <c r="G14" s="6"/>
      <c r="H14" s="207"/>
    </row>
    <row r="15" spans="3:23" ht="18.5">
      <c r="C15" s="206"/>
      <c r="D15" s="8" t="s">
        <v>40</v>
      </c>
      <c r="E15" s="6"/>
      <c r="F15" s="429" t="s">
        <v>6639</v>
      </c>
      <c r="G15" s="430"/>
      <c r="H15" s="207"/>
    </row>
    <row r="16" spans="3:23" ht="18.5">
      <c r="C16" s="206"/>
      <c r="D16" s="6"/>
      <c r="E16" s="6"/>
      <c r="F16" s="6"/>
      <c r="G16" s="6"/>
      <c r="H16" s="207"/>
    </row>
    <row r="17" spans="3:14" ht="18.5">
      <c r="C17" s="206"/>
      <c r="D17" s="6"/>
      <c r="E17" s="6"/>
      <c r="F17" s="6"/>
      <c r="G17" s="6"/>
      <c r="H17" s="207"/>
    </row>
    <row r="18" spans="3:14" ht="18.5">
      <c r="C18" s="206"/>
      <c r="D18" s="6"/>
      <c r="E18" s="6"/>
      <c r="F18" s="6"/>
      <c r="G18" s="6"/>
      <c r="H18" s="207"/>
    </row>
    <row r="19" spans="3:14" ht="18.5">
      <c r="C19" s="206"/>
      <c r="D19" s="8" t="s">
        <v>41</v>
      </c>
      <c r="E19" s="6"/>
      <c r="F19" s="439" t="str">
        <f>IF(ISNUMBER(SEARCH("FALSE",'Pricing Logic Pleats'!Y25)),"ERROR",'Pricing Logic Pleats'!Y25)</f>
        <v>23211C0417512875</v>
      </c>
      <c r="G19" s="440"/>
      <c r="H19" s="207"/>
      <c r="I19" t="str">
        <f>F19</f>
        <v>23211C0417512875</v>
      </c>
    </row>
    <row r="20" spans="3:14">
      <c r="C20" s="206"/>
      <c r="H20" s="210"/>
      <c r="N20" s="180"/>
    </row>
    <row r="21" spans="3:14" ht="35.25" customHeight="1">
      <c r="C21" s="206"/>
      <c r="D21" s="8" t="s">
        <v>42</v>
      </c>
      <c r="E21" s="6"/>
      <c r="F21" s="441">
        <f>(IF('Pricing Logic Pleats'!Y38="",'Pricing Logic Pleats'!Y32,'Pricing Logic Pleats'!Y38))</f>
        <v>23.98</v>
      </c>
      <c r="G21" s="442"/>
      <c r="H21" s="210"/>
      <c r="I21" s="180">
        <f>F21</f>
        <v>23.98</v>
      </c>
    </row>
    <row r="22" spans="3:14" ht="16.5" customHeight="1">
      <c r="C22" s="206"/>
      <c r="D22" s="8"/>
      <c r="E22" s="6"/>
      <c r="F22" s="299"/>
      <c r="G22" s="299"/>
      <c r="H22" s="210"/>
    </row>
    <row r="23" spans="3:14" ht="16.5" customHeight="1">
      <c r="C23" s="206"/>
      <c r="D23" s="274" t="s">
        <v>43</v>
      </c>
      <c r="E23" s="271"/>
      <c r="F23" s="448">
        <f>'Pricing Logic Pleats'!Y45</f>
        <v>12</v>
      </c>
      <c r="G23" s="449"/>
      <c r="H23" s="210"/>
      <c r="I23" s="173">
        <f>F23</f>
        <v>12</v>
      </c>
    </row>
    <row r="24" spans="3:14" ht="16.5" customHeight="1">
      <c r="C24" s="206"/>
      <c r="D24" s="274" t="s">
        <v>44</v>
      </c>
      <c r="E24" s="217"/>
      <c r="F24" s="441">
        <f>IF(Price_Pleats='Pricing Logic Pleats'!Y38,"",'Pricing Logic Pleats'!Y46)</f>
        <v>287.76</v>
      </c>
      <c r="G24" s="442"/>
      <c r="H24" s="210"/>
      <c r="I24" s="180">
        <f>F24</f>
        <v>287.76</v>
      </c>
    </row>
    <row r="25" spans="3:14" ht="16.5" customHeight="1">
      <c r="C25" s="206"/>
      <c r="D25" s="8"/>
      <c r="E25" s="6"/>
      <c r="F25" s="299"/>
      <c r="G25" s="299"/>
      <c r="H25" s="210"/>
    </row>
    <row r="26" spans="3:14" ht="15" thickBot="1">
      <c r="C26" s="211"/>
      <c r="D26" s="212"/>
      <c r="E26" s="212"/>
      <c r="F26" s="212"/>
      <c r="G26" s="212"/>
      <c r="H26" s="213"/>
    </row>
    <row r="29" spans="3:14" ht="213" customHeight="1" thickBot="1">
      <c r="C29" s="443" t="s">
        <v>45</v>
      </c>
      <c r="D29" s="444"/>
      <c r="E29" s="444"/>
      <c r="F29" s="444"/>
      <c r="G29" s="444"/>
      <c r="H29" s="445"/>
    </row>
  </sheetData>
  <protectedRanges>
    <protectedRange sqref="F7:G15" name="Input"/>
  </protectedRanges>
  <mergeCells count="11">
    <mergeCell ref="F19:G19"/>
    <mergeCell ref="F21:G21"/>
    <mergeCell ref="C29:H29"/>
    <mergeCell ref="F3:H5"/>
    <mergeCell ref="F23:G23"/>
    <mergeCell ref="F24:G24"/>
    <mergeCell ref="P3:Q3"/>
    <mergeCell ref="J4:L10"/>
    <mergeCell ref="F7:G7"/>
    <mergeCell ref="D13:F13"/>
    <mergeCell ref="D14:F14"/>
  </mergeCells>
  <pageMargins left="0.7" right="0.7" top="0.75" bottom="0.75" header="0.3" footer="0.3"/>
  <headerFooter>
    <oddHeader>&amp;R&amp;"Arial"&amp;11&amp;KFF7300 MANN+HUMMEL - Confidential&amp;1#_x000D_</oddHeader>
  </headerFooter>
  <ignoredErrors>
    <ignoredError sqref="F15" numberStoredAsText="1"/>
  </ignoredErrors>
  <drawing r:id="rId1"/>
  <extLst>
    <ext xmlns:x14="http://schemas.microsoft.com/office/spreadsheetml/2009/9/main" uri="{CCE6A557-97BC-4b89-ADB6-D9C93CAAB3DF}">
      <x14:dataValidations xmlns:xm="http://schemas.microsoft.com/office/excel/2006/main" count="6">
        <x14:dataValidation type="list" allowBlank="1" showInputMessage="1" showErrorMessage="1" xr:uid="{2BD23C05-AB78-4D3D-A569-C81D15F99A5A}">
          <x14:formula1>
            <xm:f>'Pricing Logic Pleats'!$Y$13:$Y$15</xm:f>
          </x14:formula1>
          <xm:sqref>F15:G15</xm:sqref>
        </x14:dataValidation>
        <x14:dataValidation type="list" allowBlank="1" showInputMessage="1" showErrorMessage="1" xr:uid="{A75B5884-05FC-43E1-A38B-F748E61DDCF9}">
          <x14:formula1>
            <xm:f>'Pricing Logic Pleats'!$AD$4:$AD$34</xm:f>
          </x14:formula1>
          <xm:sqref>F10</xm:sqref>
        </x14:dataValidation>
        <x14:dataValidation type="list" allowBlank="1" showInputMessage="1" showErrorMessage="1" xr:uid="{E360EB23-E244-450A-B439-589818C3C238}">
          <x14:formula1>
            <xm:f>'Pricing Logic Pleats'!$AD$4:$AD$70</xm:f>
          </x14:formula1>
          <xm:sqref>F11</xm:sqref>
        </x14:dataValidation>
        <x14:dataValidation type="list" allowBlank="1" showInputMessage="1" showErrorMessage="1" xr:uid="{55BF9729-10B5-4FFE-B1D0-5F1A008F1C38}">
          <x14:formula1>
            <xm:f>'Pricing Logic Pleats'!$AC$8:$AC$9</xm:f>
          </x14:formula1>
          <xm:sqref>G13</xm:sqref>
        </x14:dataValidation>
        <x14:dataValidation type="list" allowBlank="1" showInputMessage="1" showErrorMessage="1" xr:uid="{3578C348-4057-4B4F-A827-243228CFE742}">
          <x14:formula1>
            <xm:f>'Pricing Logic Pleats'!$Y$3:$Y$10</xm:f>
          </x14:formula1>
          <xm:sqref>G10:G11</xm:sqref>
        </x14:dataValidation>
        <x14:dataValidation type="list" allowBlank="1" showInputMessage="1" showErrorMessage="1" xr:uid="{4A8CC8DA-226D-447B-9AD7-E73BA7DE5179}">
          <x14:formula1>
            <xm:f>'Pricing Logic Pleats'!$T$2:$T$17</xm:f>
          </x14:formula1>
          <xm:sqref>F7:G7</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9B1ADB-25EB-4411-928F-F13B499026DB}">
  <sheetPr codeName="Sheet9">
    <pageSetUpPr fitToPage="1"/>
  </sheetPr>
  <dimension ref="A1:AM125"/>
  <sheetViews>
    <sheetView showFormulas="1" topLeftCell="W1" zoomScale="70" zoomScaleNormal="70" workbookViewId="0">
      <pane ySplit="1" topLeftCell="A2" activePane="bottomLeft" state="frozen"/>
      <selection activeCell="F15" sqref="F15"/>
      <selection pane="bottomLeft" activeCell="F15" sqref="F15"/>
    </sheetView>
  </sheetViews>
  <sheetFormatPr defaultColWidth="8.81640625" defaultRowHeight="14.5"/>
  <cols>
    <col min="1" max="1" width="21.453125" style="101" customWidth="1"/>
    <col min="2" max="2" width="15.81640625" style="101" customWidth="1"/>
    <col min="3" max="3" width="17.7265625" style="101" customWidth="1"/>
    <col min="4" max="4" width="10.7265625" style="101" hidden="1" customWidth="1"/>
    <col min="5" max="5" width="16.453125" style="101" hidden="1" customWidth="1"/>
    <col min="6" max="6" width="4.453125" style="199" customWidth="1"/>
    <col min="7" max="7" width="13" style="200" customWidth="1"/>
    <col min="8" max="9" width="13" style="201" customWidth="1"/>
    <col min="10" max="10" width="4.453125" style="202" customWidth="1"/>
    <col min="11" max="11" width="12" style="200" customWidth="1"/>
    <col min="12" max="13" width="12" style="201" customWidth="1"/>
    <col min="14" max="14" width="4.453125" style="202" customWidth="1"/>
    <col min="15" max="17" width="12.81640625" style="200" customWidth="1"/>
    <col min="18" max="18" width="8.81640625" style="200" customWidth="1"/>
    <col min="19" max="19" width="10.1796875" bestFit="1" customWidth="1"/>
    <col min="20" max="20" width="44.81640625" customWidth="1"/>
    <col min="21" max="21" width="32.26953125" customWidth="1"/>
    <col min="22" max="22" width="35.54296875" customWidth="1"/>
    <col min="23" max="23" width="15.81640625" style="101" customWidth="1"/>
    <col min="24" max="24" width="20.26953125" customWidth="1"/>
    <col min="25" max="25" width="24.81640625" customWidth="1"/>
    <col min="27" max="27" width="11.453125" customWidth="1"/>
    <col min="31" max="31" width="11" customWidth="1"/>
    <col min="34" max="34" width="36" bestFit="1" customWidth="1"/>
    <col min="35" max="35" width="26.7265625" bestFit="1" customWidth="1"/>
    <col min="36" max="36" width="29.1796875" bestFit="1" customWidth="1"/>
    <col min="37" max="37" width="40.1796875" bestFit="1" customWidth="1"/>
    <col min="38" max="38" width="17.453125" customWidth="1"/>
  </cols>
  <sheetData>
    <row r="1" spans="1:39">
      <c r="A1" s="184" t="s">
        <v>25</v>
      </c>
      <c r="B1" s="184" t="s">
        <v>46</v>
      </c>
      <c r="C1" s="184" t="s">
        <v>47</v>
      </c>
      <c r="D1" s="184" t="s">
        <v>48</v>
      </c>
      <c r="E1" s="184" t="s">
        <v>49</v>
      </c>
      <c r="F1" s="414"/>
      <c r="G1" s="186" t="s">
        <v>50</v>
      </c>
      <c r="H1" s="186" t="s">
        <v>51</v>
      </c>
      <c r="I1" s="186" t="s">
        <v>52</v>
      </c>
      <c r="J1" s="415"/>
      <c r="K1" s="186" t="s">
        <v>53</v>
      </c>
      <c r="L1" s="186" t="s">
        <v>54</v>
      </c>
      <c r="M1" s="186" t="s">
        <v>55</v>
      </c>
      <c r="N1" s="415"/>
      <c r="O1" s="186" t="s">
        <v>56</v>
      </c>
      <c r="P1" s="186" t="s">
        <v>57</v>
      </c>
      <c r="Q1" s="186" t="s">
        <v>58</v>
      </c>
      <c r="R1" s="331"/>
      <c r="T1" s="16" t="s">
        <v>59</v>
      </c>
      <c r="U1" s="16" t="s">
        <v>60</v>
      </c>
      <c r="V1" s="16" t="s">
        <v>61</v>
      </c>
      <c r="W1" s="110" t="s">
        <v>62</v>
      </c>
      <c r="X1" s="451" t="s">
        <v>63</v>
      </c>
      <c r="Y1" s="451"/>
      <c r="Z1" s="451"/>
      <c r="AA1" s="451"/>
    </row>
    <row r="2" spans="1:39">
      <c r="A2" s="184">
        <v>11104</v>
      </c>
      <c r="B2" s="184">
        <v>1</v>
      </c>
      <c r="C2" s="184">
        <v>299</v>
      </c>
      <c r="D2" s="416">
        <v>2.9</v>
      </c>
      <c r="E2" s="416">
        <v>3.19</v>
      </c>
      <c r="F2" s="383"/>
      <c r="G2" s="186">
        <v>5.1091040000000003</v>
      </c>
      <c r="H2" s="186" t="s">
        <v>64</v>
      </c>
      <c r="I2" s="186" t="s">
        <v>64</v>
      </c>
      <c r="J2" s="383"/>
      <c r="K2" s="186" t="s">
        <v>64</v>
      </c>
      <c r="L2" s="186" t="s">
        <v>64</v>
      </c>
      <c r="M2" s="186" t="s">
        <v>64</v>
      </c>
      <c r="N2" s="383"/>
      <c r="O2" s="186" t="s">
        <v>64</v>
      </c>
      <c r="P2" s="186" t="s">
        <v>64</v>
      </c>
      <c r="Q2" s="186" t="s">
        <v>64</v>
      </c>
      <c r="R2" s="331"/>
      <c r="T2" s="380" t="s">
        <v>65</v>
      </c>
      <c r="U2" s="380">
        <v>11204</v>
      </c>
      <c r="V2" t="s">
        <v>66</v>
      </c>
      <c r="W2" s="101">
        <v>209</v>
      </c>
      <c r="X2" s="451" t="s">
        <v>67</v>
      </c>
      <c r="Y2" s="451"/>
      <c r="Z2" s="451"/>
      <c r="AA2" s="451"/>
    </row>
    <row r="3" spans="1:39">
      <c r="A3" s="184">
        <v>11104</v>
      </c>
      <c r="B3" s="184">
        <v>300</v>
      </c>
      <c r="C3" s="184">
        <v>599</v>
      </c>
      <c r="D3" s="416">
        <v>3.04</v>
      </c>
      <c r="E3" s="416">
        <v>3.34</v>
      </c>
      <c r="F3" s="383"/>
      <c r="G3" s="186">
        <v>5.3493439999999994</v>
      </c>
      <c r="H3" s="186" t="s">
        <v>64</v>
      </c>
      <c r="I3" s="186" t="s">
        <v>64</v>
      </c>
      <c r="J3" s="383"/>
      <c r="K3" s="186" t="s">
        <v>64</v>
      </c>
      <c r="L3" s="186" t="s">
        <v>64</v>
      </c>
      <c r="M3" s="186" t="s">
        <v>64</v>
      </c>
      <c r="N3" s="383"/>
      <c r="O3" s="186" t="s">
        <v>64</v>
      </c>
      <c r="P3" s="186" t="s">
        <v>64</v>
      </c>
      <c r="Q3" s="186" t="s">
        <v>64</v>
      </c>
      <c r="R3" s="331"/>
      <c r="T3" s="380" t="s">
        <v>68</v>
      </c>
      <c r="U3" s="380">
        <v>12204</v>
      </c>
      <c r="V3" t="s">
        <v>69</v>
      </c>
      <c r="W3" s="101">
        <v>13</v>
      </c>
      <c r="X3" s="407">
        <v>0</v>
      </c>
      <c r="Y3" s="408">
        <v>0</v>
      </c>
      <c r="Z3" s="407">
        <v>0</v>
      </c>
      <c r="AA3" s="407">
        <v>0</v>
      </c>
      <c r="AB3">
        <v>0</v>
      </c>
      <c r="AC3" t="s">
        <v>70</v>
      </c>
      <c r="AG3" s="452" t="s">
        <v>71</v>
      </c>
      <c r="AH3" s="452"/>
      <c r="AI3" s="452"/>
      <c r="AJ3" s="452"/>
    </row>
    <row r="4" spans="1:39">
      <c r="A4" s="184">
        <v>11104</v>
      </c>
      <c r="B4" s="184">
        <v>600</v>
      </c>
      <c r="C4" s="184">
        <v>899</v>
      </c>
      <c r="D4" s="416">
        <v>3.2</v>
      </c>
      <c r="E4" s="416">
        <v>3.52</v>
      </c>
      <c r="F4" s="383"/>
      <c r="G4" s="186">
        <v>5.637632</v>
      </c>
      <c r="H4" s="186" t="s">
        <v>64</v>
      </c>
      <c r="I4" s="186" t="s">
        <v>64</v>
      </c>
      <c r="J4" s="383"/>
      <c r="K4" s="186" t="s">
        <v>64</v>
      </c>
      <c r="L4" s="186" t="s">
        <v>64</v>
      </c>
      <c r="M4" s="186" t="s">
        <v>64</v>
      </c>
      <c r="N4" s="383"/>
      <c r="O4" s="186" t="s">
        <v>64</v>
      </c>
      <c r="P4" s="186" t="s">
        <v>64</v>
      </c>
      <c r="Q4" s="186" t="s">
        <v>64</v>
      </c>
      <c r="R4" s="331"/>
      <c r="T4" s="380" t="s">
        <v>72</v>
      </c>
      <c r="U4" s="380">
        <v>21208</v>
      </c>
      <c r="V4" t="s">
        <v>73</v>
      </c>
      <c r="W4" s="101">
        <v>8</v>
      </c>
      <c r="X4" s="407">
        <v>0.125</v>
      </c>
      <c r="Y4" s="408">
        <v>0.125</v>
      </c>
      <c r="Z4" s="407" t="s">
        <v>74</v>
      </c>
      <c r="AA4" s="407">
        <v>125</v>
      </c>
      <c r="AB4">
        <v>1</v>
      </c>
      <c r="AD4" s="93">
        <v>6</v>
      </c>
      <c r="AG4" s="119" t="s">
        <v>75</v>
      </c>
      <c r="AH4" s="119">
        <v>11104</v>
      </c>
      <c r="AI4" s="119" t="s">
        <v>76</v>
      </c>
    </row>
    <row r="5" spans="1:39">
      <c r="A5" s="184">
        <v>11104</v>
      </c>
      <c r="B5" s="184">
        <v>900</v>
      </c>
      <c r="C5" s="184">
        <v>1199</v>
      </c>
      <c r="D5" s="416">
        <v>3.35</v>
      </c>
      <c r="E5" s="416">
        <v>3.69</v>
      </c>
      <c r="F5" s="383"/>
      <c r="G5" s="186">
        <v>5.909904</v>
      </c>
      <c r="H5" s="186" t="s">
        <v>64</v>
      </c>
      <c r="I5" s="186" t="s">
        <v>64</v>
      </c>
      <c r="J5" s="383"/>
      <c r="K5" s="186" t="s">
        <v>64</v>
      </c>
      <c r="L5" s="186" t="s">
        <v>64</v>
      </c>
      <c r="M5" s="186" t="s">
        <v>64</v>
      </c>
      <c r="N5" s="383"/>
      <c r="O5" s="186" t="s">
        <v>64</v>
      </c>
      <c r="P5" s="186" t="s">
        <v>64</v>
      </c>
      <c r="Q5" s="186" t="s">
        <v>64</v>
      </c>
      <c r="R5" s="331"/>
      <c r="T5" s="380" t="s">
        <v>77</v>
      </c>
      <c r="U5" s="380">
        <v>21308</v>
      </c>
      <c r="V5" t="s">
        <v>78</v>
      </c>
      <c r="W5" s="101">
        <v>7</v>
      </c>
      <c r="X5" s="407">
        <v>0.25</v>
      </c>
      <c r="Y5" s="408">
        <v>0.25</v>
      </c>
      <c r="Z5" s="407" t="s">
        <v>79</v>
      </c>
      <c r="AA5" s="407">
        <v>25</v>
      </c>
      <c r="AB5">
        <v>2</v>
      </c>
      <c r="AC5" t="s">
        <v>80</v>
      </c>
      <c r="AD5" s="93">
        <v>7</v>
      </c>
      <c r="AG5" s="119" t="s">
        <v>81</v>
      </c>
      <c r="AH5" s="119">
        <v>12104</v>
      </c>
      <c r="AI5" s="119" t="s">
        <v>76</v>
      </c>
    </row>
    <row r="6" spans="1:39">
      <c r="A6" s="184">
        <v>11104</v>
      </c>
      <c r="B6" s="184">
        <v>1200</v>
      </c>
      <c r="C6" s="184">
        <v>1499</v>
      </c>
      <c r="D6" s="416">
        <v>3.52</v>
      </c>
      <c r="E6" s="416">
        <v>3.87</v>
      </c>
      <c r="F6" s="383"/>
      <c r="G6" s="186">
        <v>6.1981920000000006</v>
      </c>
      <c r="H6" s="186" t="s">
        <v>64</v>
      </c>
      <c r="I6" s="186" t="s">
        <v>64</v>
      </c>
      <c r="J6" s="383"/>
      <c r="K6" s="186" t="s">
        <v>64</v>
      </c>
      <c r="L6" s="186" t="s">
        <v>64</v>
      </c>
      <c r="M6" s="186" t="s">
        <v>64</v>
      </c>
      <c r="N6" s="383"/>
      <c r="O6" s="186" t="s">
        <v>64</v>
      </c>
      <c r="P6" s="186" t="s">
        <v>64</v>
      </c>
      <c r="Q6" s="186" t="s">
        <v>64</v>
      </c>
      <c r="R6" s="331"/>
      <c r="T6" s="380" t="s">
        <v>32</v>
      </c>
      <c r="U6" s="380">
        <v>21210</v>
      </c>
      <c r="V6" t="s">
        <v>82</v>
      </c>
      <c r="W6" s="101">
        <v>56</v>
      </c>
      <c r="X6" s="407">
        <v>0.375</v>
      </c>
      <c r="Y6" s="408">
        <v>0.375</v>
      </c>
      <c r="Z6" s="407" t="s">
        <v>83</v>
      </c>
      <c r="AA6" s="407">
        <v>375</v>
      </c>
      <c r="AB6">
        <v>3</v>
      </c>
      <c r="AC6" t="s">
        <v>84</v>
      </c>
      <c r="AD6" s="93">
        <v>8</v>
      </c>
    </row>
    <row r="7" spans="1:39">
      <c r="A7" s="184">
        <v>11104</v>
      </c>
      <c r="B7" s="184">
        <v>1500</v>
      </c>
      <c r="C7" s="184">
        <v>1799</v>
      </c>
      <c r="D7" s="416">
        <v>3.7</v>
      </c>
      <c r="E7" s="416">
        <v>4.07</v>
      </c>
      <c r="F7" s="383"/>
      <c r="G7" s="186">
        <v>6.5185120000000003</v>
      </c>
      <c r="H7" s="186" t="s">
        <v>64</v>
      </c>
      <c r="I7" s="186" t="s">
        <v>64</v>
      </c>
      <c r="J7" s="383"/>
      <c r="K7" s="186" t="s">
        <v>64</v>
      </c>
      <c r="L7" s="186" t="s">
        <v>64</v>
      </c>
      <c r="M7" s="186" t="s">
        <v>64</v>
      </c>
      <c r="N7" s="383"/>
      <c r="O7" s="186" t="s">
        <v>64</v>
      </c>
      <c r="P7" s="186" t="s">
        <v>64</v>
      </c>
      <c r="Q7" s="186" t="s">
        <v>64</v>
      </c>
      <c r="R7" s="331"/>
      <c r="T7" s="380" t="s">
        <v>85</v>
      </c>
      <c r="U7" s="380">
        <v>21310</v>
      </c>
      <c r="V7" t="s">
        <v>86</v>
      </c>
      <c r="W7" s="101">
        <v>57</v>
      </c>
      <c r="X7" s="409">
        <v>0.5</v>
      </c>
      <c r="Y7" s="410">
        <v>0.5</v>
      </c>
      <c r="Z7" s="409" t="s">
        <v>80</v>
      </c>
      <c r="AA7" s="411">
        <v>5</v>
      </c>
      <c r="AD7" s="93">
        <v>9</v>
      </c>
    </row>
    <row r="8" spans="1:39">
      <c r="A8" s="184">
        <v>11104</v>
      </c>
      <c r="B8" s="184">
        <v>1800</v>
      </c>
      <c r="C8" s="184">
        <v>2099</v>
      </c>
      <c r="D8" s="416">
        <v>3.88</v>
      </c>
      <c r="E8" s="416">
        <v>4.2699999999999996</v>
      </c>
      <c r="F8" s="383"/>
      <c r="G8" s="186">
        <v>6.838832</v>
      </c>
      <c r="H8" s="186" t="s">
        <v>64</v>
      </c>
      <c r="I8" s="186" t="s">
        <v>64</v>
      </c>
      <c r="J8" s="383"/>
      <c r="K8" s="186" t="s">
        <v>64</v>
      </c>
      <c r="L8" s="186" t="s">
        <v>64</v>
      </c>
      <c r="M8" s="186" t="s">
        <v>64</v>
      </c>
      <c r="N8" s="383"/>
      <c r="O8" s="186" t="s">
        <v>64</v>
      </c>
      <c r="P8" s="186" t="s">
        <v>64</v>
      </c>
      <c r="Q8" s="186" t="s">
        <v>64</v>
      </c>
      <c r="R8" s="331"/>
      <c r="T8" s="380" t="s">
        <v>87</v>
      </c>
      <c r="U8" s="380">
        <v>21211</v>
      </c>
      <c r="V8" t="s">
        <v>88</v>
      </c>
      <c r="W8" s="101">
        <v>14</v>
      </c>
      <c r="X8" s="409">
        <v>0.625</v>
      </c>
      <c r="Y8" s="410">
        <v>0.625</v>
      </c>
      <c r="Z8" s="409" t="s">
        <v>89</v>
      </c>
      <c r="AA8" s="409">
        <v>625</v>
      </c>
      <c r="AC8" t="s">
        <v>90</v>
      </c>
      <c r="AD8" s="101">
        <v>10</v>
      </c>
    </row>
    <row r="9" spans="1:39">
      <c r="A9" s="184">
        <v>11204</v>
      </c>
      <c r="B9" s="184">
        <v>1</v>
      </c>
      <c r="C9" s="184">
        <v>299</v>
      </c>
      <c r="D9" s="416">
        <v>3.19</v>
      </c>
      <c r="E9" s="416">
        <v>3.5090000000000003</v>
      </c>
      <c r="F9" s="383"/>
      <c r="G9" s="417">
        <v>6.1</v>
      </c>
      <c r="H9" s="186">
        <v>8.24</v>
      </c>
      <c r="I9" s="186">
        <v>12.07</v>
      </c>
      <c r="J9" s="384"/>
      <c r="K9" s="186">
        <v>6.71</v>
      </c>
      <c r="L9" s="186">
        <v>9.0500000000000007</v>
      </c>
      <c r="M9" s="186">
        <v>11.32</v>
      </c>
      <c r="N9" s="383"/>
      <c r="O9" s="186" t="s">
        <v>64</v>
      </c>
      <c r="P9" s="186" t="s">
        <v>64</v>
      </c>
      <c r="Q9" s="186" t="s">
        <v>64</v>
      </c>
      <c r="R9" s="331"/>
      <c r="T9" s="380" t="s">
        <v>91</v>
      </c>
      <c r="U9" s="380">
        <v>21311</v>
      </c>
      <c r="V9" t="s">
        <v>92</v>
      </c>
      <c r="W9" s="101">
        <v>15</v>
      </c>
      <c r="X9" s="409">
        <v>0.75</v>
      </c>
      <c r="Y9" s="410">
        <v>0.75</v>
      </c>
      <c r="Z9" s="409" t="s">
        <v>93</v>
      </c>
      <c r="AA9" s="409">
        <v>75</v>
      </c>
      <c r="AC9" t="s">
        <v>38</v>
      </c>
      <c r="AD9" s="101">
        <v>11</v>
      </c>
    </row>
    <row r="10" spans="1:39">
      <c r="A10" s="184">
        <v>11204</v>
      </c>
      <c r="B10" s="184">
        <v>300</v>
      </c>
      <c r="C10" s="184">
        <v>599</v>
      </c>
      <c r="D10" s="416">
        <v>3.3440000000000003</v>
      </c>
      <c r="E10" s="416">
        <v>3.6739999999999999</v>
      </c>
      <c r="F10" s="383"/>
      <c r="G10" s="417">
        <v>6.38</v>
      </c>
      <c r="H10" s="186">
        <v>8.61</v>
      </c>
      <c r="I10" s="186">
        <v>12.72</v>
      </c>
      <c r="J10" s="384"/>
      <c r="K10" s="186">
        <v>7.02</v>
      </c>
      <c r="L10" s="186">
        <v>9.48</v>
      </c>
      <c r="M10" s="186">
        <v>11.85</v>
      </c>
      <c r="N10" s="384"/>
      <c r="O10" s="186" t="s">
        <v>64</v>
      </c>
      <c r="P10" s="186" t="s">
        <v>64</v>
      </c>
      <c r="Q10" s="186" t="s">
        <v>64</v>
      </c>
      <c r="R10" s="331"/>
      <c r="T10" s="380" t="s">
        <v>94</v>
      </c>
      <c r="U10" s="380">
        <v>21213</v>
      </c>
      <c r="V10" t="s">
        <v>95</v>
      </c>
      <c r="W10" s="101">
        <v>16</v>
      </c>
      <c r="X10" s="409">
        <v>0.875</v>
      </c>
      <c r="Y10" s="410">
        <v>0.875</v>
      </c>
      <c r="Z10" s="409" t="s">
        <v>96</v>
      </c>
      <c r="AA10" s="409">
        <v>875</v>
      </c>
      <c r="AD10" s="101">
        <v>12</v>
      </c>
      <c r="AH10" s="170" t="s">
        <v>97</v>
      </c>
      <c r="AJ10" s="403" t="s">
        <v>98</v>
      </c>
      <c r="AK10" s="404"/>
      <c r="AL10" s="170" t="s">
        <v>99</v>
      </c>
    </row>
    <row r="11" spans="1:39">
      <c r="A11" s="184">
        <v>11204</v>
      </c>
      <c r="B11" s="184">
        <v>600</v>
      </c>
      <c r="C11" s="184">
        <v>899</v>
      </c>
      <c r="D11" s="416">
        <v>3.5200000000000005</v>
      </c>
      <c r="E11" s="416">
        <v>3.8720000000000003</v>
      </c>
      <c r="F11" s="383"/>
      <c r="G11" s="417">
        <v>6.73</v>
      </c>
      <c r="H11" s="186">
        <v>9.09</v>
      </c>
      <c r="I11" s="186">
        <v>13.32</v>
      </c>
      <c r="J11" s="384"/>
      <c r="K11" s="186">
        <v>7.4</v>
      </c>
      <c r="L11" s="186">
        <v>9.99</v>
      </c>
      <c r="M11" s="186">
        <v>12.5</v>
      </c>
      <c r="N11" s="384"/>
      <c r="O11" s="186" t="s">
        <v>64</v>
      </c>
      <c r="P11" s="186" t="s">
        <v>64</v>
      </c>
      <c r="Q11" s="186" t="s">
        <v>64</v>
      </c>
      <c r="R11" s="331"/>
      <c r="T11" s="380" t="s">
        <v>100</v>
      </c>
      <c r="U11" s="380">
        <v>23209</v>
      </c>
      <c r="V11" t="s">
        <v>101</v>
      </c>
      <c r="W11" s="101">
        <v>222</v>
      </c>
      <c r="AD11" s="101">
        <v>13</v>
      </c>
      <c r="AH11" s="388" t="s">
        <v>102</v>
      </c>
      <c r="AI11" s="380" t="s">
        <v>103</v>
      </c>
      <c r="AJ11" s="405" t="s">
        <v>104</v>
      </c>
      <c r="AK11" s="404" t="s">
        <v>103</v>
      </c>
      <c r="AL11" s="389" t="s">
        <v>105</v>
      </c>
      <c r="AM11" s="380" t="s">
        <v>103</v>
      </c>
    </row>
    <row r="12" spans="1:39">
      <c r="A12" s="184">
        <v>11204</v>
      </c>
      <c r="B12" s="184">
        <v>900</v>
      </c>
      <c r="C12" s="184">
        <v>1199</v>
      </c>
      <c r="D12" s="416">
        <v>3.6850000000000005</v>
      </c>
      <c r="E12" s="416">
        <v>4.0590000000000002</v>
      </c>
      <c r="F12" s="383"/>
      <c r="G12" s="417">
        <v>7.05</v>
      </c>
      <c r="H12" s="186">
        <v>9.5299999999999994</v>
      </c>
      <c r="I12" s="186">
        <v>13.99</v>
      </c>
      <c r="J12" s="384"/>
      <c r="K12" s="186">
        <v>7.75</v>
      </c>
      <c r="L12" s="186">
        <v>10.48</v>
      </c>
      <c r="M12" s="186">
        <v>13.09</v>
      </c>
      <c r="N12" s="384"/>
      <c r="O12" s="186" t="s">
        <v>64</v>
      </c>
      <c r="P12" s="186" t="s">
        <v>64</v>
      </c>
      <c r="Q12" s="186" t="s">
        <v>64</v>
      </c>
      <c r="R12" s="331"/>
      <c r="T12" s="380" t="s">
        <v>106</v>
      </c>
      <c r="U12" s="380">
        <v>23309</v>
      </c>
      <c r="V12" t="s">
        <v>107</v>
      </c>
      <c r="W12" s="101">
        <v>218</v>
      </c>
      <c r="Y12" t="s">
        <v>108</v>
      </c>
      <c r="AD12" s="101">
        <v>14</v>
      </c>
      <c r="AH12" s="388" t="s">
        <v>109</v>
      </c>
      <c r="AI12" s="380" t="s">
        <v>103</v>
      </c>
      <c r="AJ12" s="405" t="s">
        <v>110</v>
      </c>
      <c r="AK12" s="404" t="s">
        <v>103</v>
      </c>
      <c r="AL12" s="389" t="s">
        <v>111</v>
      </c>
      <c r="AM12" s="380" t="s">
        <v>103</v>
      </c>
    </row>
    <row r="13" spans="1:39">
      <c r="A13" s="184">
        <v>11204</v>
      </c>
      <c r="B13" s="184">
        <v>1200</v>
      </c>
      <c r="C13" s="184">
        <v>1499</v>
      </c>
      <c r="D13" s="416">
        <v>3.8720000000000003</v>
      </c>
      <c r="E13" s="416">
        <v>4.2570000000000006</v>
      </c>
      <c r="F13" s="383"/>
      <c r="G13" s="417">
        <v>7.4</v>
      </c>
      <c r="H13" s="186">
        <v>9.99</v>
      </c>
      <c r="I13" s="186">
        <v>14.7</v>
      </c>
      <c r="J13" s="384"/>
      <c r="K13" s="186">
        <v>8.14</v>
      </c>
      <c r="L13" s="186">
        <v>10.98</v>
      </c>
      <c r="M13" s="186">
        <v>13.73</v>
      </c>
      <c r="N13" s="384"/>
      <c r="O13" s="186" t="s">
        <v>64</v>
      </c>
      <c r="P13" s="186" t="s">
        <v>64</v>
      </c>
      <c r="Q13" s="186" t="s">
        <v>64</v>
      </c>
      <c r="R13" s="331"/>
      <c r="T13" s="380" t="s">
        <v>112</v>
      </c>
      <c r="U13" s="380">
        <v>23210</v>
      </c>
      <c r="V13" t="s">
        <v>113</v>
      </c>
      <c r="W13" s="101">
        <v>223</v>
      </c>
      <c r="Y13" s="427">
        <v>1</v>
      </c>
      <c r="AD13" s="101">
        <v>15</v>
      </c>
      <c r="AH13" s="388" t="s">
        <v>114</v>
      </c>
      <c r="AI13" s="380" t="s">
        <v>103</v>
      </c>
      <c r="AJ13" s="405" t="s">
        <v>115</v>
      </c>
      <c r="AK13" s="404" t="s">
        <v>103</v>
      </c>
      <c r="AL13" s="389" t="s">
        <v>116</v>
      </c>
      <c r="AM13" s="380" t="s">
        <v>103</v>
      </c>
    </row>
    <row r="14" spans="1:39">
      <c r="A14" s="184">
        <v>11204</v>
      </c>
      <c r="B14" s="184">
        <v>1500</v>
      </c>
      <c r="C14" s="184">
        <v>1799</v>
      </c>
      <c r="D14" s="416">
        <v>4.07</v>
      </c>
      <c r="E14" s="416">
        <v>4.4770000000000003</v>
      </c>
      <c r="F14" s="383"/>
      <c r="G14" s="417">
        <v>7.79</v>
      </c>
      <c r="H14" s="186">
        <v>10.49</v>
      </c>
      <c r="I14" s="186">
        <v>15.43</v>
      </c>
      <c r="J14" s="384"/>
      <c r="K14" s="186">
        <v>8.5500000000000007</v>
      </c>
      <c r="L14" s="186">
        <v>11.56</v>
      </c>
      <c r="M14" s="186">
        <v>14.44</v>
      </c>
      <c r="N14" s="384"/>
      <c r="O14" s="186" t="s">
        <v>64</v>
      </c>
      <c r="P14" s="186" t="s">
        <v>64</v>
      </c>
      <c r="Q14" s="186" t="s">
        <v>64</v>
      </c>
      <c r="R14" s="331"/>
      <c r="T14" s="380" t="s">
        <v>117</v>
      </c>
      <c r="U14" s="380">
        <v>23310</v>
      </c>
      <c r="V14" t="s">
        <v>118</v>
      </c>
      <c r="W14" s="101">
        <v>224</v>
      </c>
      <c r="Y14" s="427">
        <v>2</v>
      </c>
      <c r="AD14" s="101">
        <v>16</v>
      </c>
      <c r="AH14" s="388" t="s">
        <v>119</v>
      </c>
      <c r="AI14" s="380" t="s">
        <v>103</v>
      </c>
      <c r="AJ14" s="405" t="s">
        <v>120</v>
      </c>
      <c r="AK14" s="404" t="s">
        <v>103</v>
      </c>
      <c r="AL14" s="389" t="s">
        <v>121</v>
      </c>
      <c r="AM14" s="380" t="s">
        <v>103</v>
      </c>
    </row>
    <row r="15" spans="1:39">
      <c r="A15" s="184">
        <v>11204</v>
      </c>
      <c r="B15" s="184">
        <v>1800</v>
      </c>
      <c r="C15" s="184">
        <v>2099</v>
      </c>
      <c r="D15" s="416">
        <v>4.2679999999999998</v>
      </c>
      <c r="E15" s="416">
        <v>4.6970000000000001</v>
      </c>
      <c r="F15" s="383"/>
      <c r="G15" s="417">
        <v>8.17</v>
      </c>
      <c r="H15" s="186">
        <v>11.01</v>
      </c>
      <c r="I15" s="186">
        <v>10.51</v>
      </c>
      <c r="J15" s="384"/>
      <c r="K15" s="186">
        <v>8.98</v>
      </c>
      <c r="L15" s="186">
        <v>12.13</v>
      </c>
      <c r="M15" s="186">
        <v>15.16</v>
      </c>
      <c r="N15" s="384"/>
      <c r="O15" s="186" t="s">
        <v>64</v>
      </c>
      <c r="P15" s="186" t="s">
        <v>64</v>
      </c>
      <c r="Q15" s="186" t="s">
        <v>64</v>
      </c>
      <c r="R15" s="331"/>
      <c r="T15" s="380" t="s">
        <v>122</v>
      </c>
      <c r="U15" s="380">
        <v>23211</v>
      </c>
      <c r="V15" t="s">
        <v>123</v>
      </c>
      <c r="W15" s="101">
        <v>288</v>
      </c>
      <c r="Y15" s="428" t="str">
        <f>IF(OR(U21=U2,U21=U3),"","4")</f>
        <v>4</v>
      </c>
      <c r="AD15" s="101">
        <v>17</v>
      </c>
      <c r="AH15" s="388" t="s">
        <v>124</v>
      </c>
      <c r="AI15" s="380" t="s">
        <v>103</v>
      </c>
      <c r="AJ15" s="405" t="s">
        <v>125</v>
      </c>
      <c r="AK15" s="404" t="s">
        <v>103</v>
      </c>
      <c r="AL15" s="389" t="s">
        <v>126</v>
      </c>
      <c r="AM15" s="380" t="s">
        <v>103</v>
      </c>
    </row>
    <row r="16" spans="1:39">
      <c r="A16" s="184">
        <v>12104</v>
      </c>
      <c r="B16" s="184">
        <v>1</v>
      </c>
      <c r="C16" s="184">
        <v>299</v>
      </c>
      <c r="D16" s="416">
        <v>3.09</v>
      </c>
      <c r="E16" s="416">
        <v>3.4</v>
      </c>
      <c r="F16" s="383"/>
      <c r="G16" s="186" t="s">
        <v>64</v>
      </c>
      <c r="H16" s="186" t="s">
        <v>64</v>
      </c>
      <c r="I16" s="186" t="s">
        <v>64</v>
      </c>
      <c r="J16" s="384"/>
      <c r="K16" s="186" t="s">
        <v>64</v>
      </c>
      <c r="L16" s="186" t="s">
        <v>64</v>
      </c>
      <c r="M16" s="186" t="s">
        <v>64</v>
      </c>
      <c r="N16" s="384"/>
      <c r="O16" s="186" t="s">
        <v>64</v>
      </c>
      <c r="P16" s="186" t="s">
        <v>64</v>
      </c>
      <c r="Q16" s="186" t="s">
        <v>64</v>
      </c>
      <c r="R16" s="331"/>
      <c r="T16" s="380" t="s">
        <v>127</v>
      </c>
      <c r="U16" s="380">
        <v>23311</v>
      </c>
      <c r="V16" t="s">
        <v>128</v>
      </c>
      <c r="W16" s="101">
        <v>232</v>
      </c>
      <c r="AD16" s="101">
        <v>18</v>
      </c>
      <c r="AH16" s="388" t="s">
        <v>129</v>
      </c>
      <c r="AI16" s="380" t="s">
        <v>103</v>
      </c>
      <c r="AJ16" s="405" t="s">
        <v>130</v>
      </c>
      <c r="AK16" s="404" t="s">
        <v>103</v>
      </c>
      <c r="AL16" s="389" t="s">
        <v>131</v>
      </c>
      <c r="AM16" s="380" t="s">
        <v>103</v>
      </c>
    </row>
    <row r="17" spans="1:39" ht="25.5" customHeight="1">
      <c r="A17" s="184">
        <v>12104</v>
      </c>
      <c r="B17" s="184">
        <v>300</v>
      </c>
      <c r="C17" s="184">
        <v>599</v>
      </c>
      <c r="D17" s="416">
        <v>3.25</v>
      </c>
      <c r="E17" s="416">
        <v>3.58</v>
      </c>
      <c r="F17" s="383"/>
      <c r="G17" s="186" t="s">
        <v>64</v>
      </c>
      <c r="H17" s="186" t="s">
        <v>64</v>
      </c>
      <c r="I17" s="186" t="s">
        <v>64</v>
      </c>
      <c r="J17" s="384"/>
      <c r="K17" s="186" t="s">
        <v>64</v>
      </c>
      <c r="L17" s="186" t="s">
        <v>64</v>
      </c>
      <c r="M17" s="186" t="s">
        <v>64</v>
      </c>
      <c r="N17" s="384"/>
      <c r="O17" s="186" t="s">
        <v>64</v>
      </c>
      <c r="P17" s="186" t="s">
        <v>64</v>
      </c>
      <c r="Q17" s="186" t="s">
        <v>64</v>
      </c>
      <c r="R17" s="331"/>
      <c r="T17" s="380" t="s">
        <v>132</v>
      </c>
      <c r="U17" s="380">
        <v>23213</v>
      </c>
      <c r="V17" t="s">
        <v>133</v>
      </c>
      <c r="W17" s="101">
        <v>287</v>
      </c>
      <c r="AD17" s="101">
        <v>19</v>
      </c>
      <c r="AH17" s="388" t="s">
        <v>134</v>
      </c>
      <c r="AI17" s="380" t="s">
        <v>103</v>
      </c>
      <c r="AJ17" s="405" t="s">
        <v>135</v>
      </c>
      <c r="AK17" s="404" t="s">
        <v>103</v>
      </c>
      <c r="AL17" s="389" t="s">
        <v>136</v>
      </c>
      <c r="AM17" s="380" t="s">
        <v>103</v>
      </c>
    </row>
    <row r="18" spans="1:39" ht="18" customHeight="1">
      <c r="A18" s="184">
        <v>12104</v>
      </c>
      <c r="B18" s="184">
        <v>600</v>
      </c>
      <c r="C18" s="184">
        <v>899</v>
      </c>
      <c r="D18" s="416">
        <v>3.41</v>
      </c>
      <c r="E18" s="416">
        <v>3.75</v>
      </c>
      <c r="F18" s="383"/>
      <c r="G18" s="186" t="s">
        <v>64</v>
      </c>
      <c r="H18" s="186" t="s">
        <v>64</v>
      </c>
      <c r="I18" s="186" t="s">
        <v>64</v>
      </c>
      <c r="J18" s="384"/>
      <c r="K18" s="186" t="s">
        <v>64</v>
      </c>
      <c r="L18" s="186" t="s">
        <v>64</v>
      </c>
      <c r="M18" s="186" t="s">
        <v>64</v>
      </c>
      <c r="N18" s="384"/>
      <c r="O18" s="186" t="s">
        <v>64</v>
      </c>
      <c r="P18" s="186" t="s">
        <v>64</v>
      </c>
      <c r="Q18" s="186" t="s">
        <v>64</v>
      </c>
      <c r="R18" s="331"/>
      <c r="T18" s="380"/>
      <c r="U18" s="380"/>
      <c r="AD18" s="101">
        <v>20</v>
      </c>
      <c r="AH18" s="388" t="s">
        <v>137</v>
      </c>
      <c r="AI18" s="380" t="s">
        <v>103</v>
      </c>
      <c r="AJ18" s="405" t="s">
        <v>138</v>
      </c>
      <c r="AK18" s="404" t="s">
        <v>103</v>
      </c>
      <c r="AL18" s="389" t="s">
        <v>139</v>
      </c>
      <c r="AM18" s="380" t="s">
        <v>103</v>
      </c>
    </row>
    <row r="19" spans="1:39">
      <c r="A19" s="184">
        <v>12104</v>
      </c>
      <c r="B19" s="184">
        <v>900</v>
      </c>
      <c r="C19" s="184">
        <v>1199</v>
      </c>
      <c r="D19" s="416">
        <v>3.58</v>
      </c>
      <c r="E19" s="416">
        <v>3.94</v>
      </c>
      <c r="F19" s="383"/>
      <c r="G19" s="186" t="s">
        <v>64</v>
      </c>
      <c r="H19" s="186" t="s">
        <v>64</v>
      </c>
      <c r="I19" s="186" t="s">
        <v>64</v>
      </c>
      <c r="J19" s="384"/>
      <c r="K19" s="186" t="s">
        <v>64</v>
      </c>
      <c r="L19" s="186" t="s">
        <v>64</v>
      </c>
      <c r="M19" s="186" t="s">
        <v>64</v>
      </c>
      <c r="N19" s="384"/>
      <c r="O19" s="186" t="s">
        <v>64</v>
      </c>
      <c r="P19" s="186" t="s">
        <v>64</v>
      </c>
      <c r="Q19" s="186" t="s">
        <v>64</v>
      </c>
      <c r="R19" s="331"/>
      <c r="T19" s="452" t="s">
        <v>140</v>
      </c>
      <c r="U19" s="452"/>
      <c r="V19" s="452"/>
      <c r="W19" s="452"/>
      <c r="X19" s="452"/>
      <c r="Y19" s="452"/>
      <c r="Z19" s="452"/>
      <c r="AA19" s="452"/>
      <c r="AD19" s="101">
        <v>21</v>
      </c>
      <c r="AH19" s="388" t="s">
        <v>141</v>
      </c>
      <c r="AI19" s="380" t="s">
        <v>103</v>
      </c>
      <c r="AJ19" s="405" t="s">
        <v>142</v>
      </c>
      <c r="AK19" s="404" t="s">
        <v>103</v>
      </c>
      <c r="AL19" s="389" t="s">
        <v>143</v>
      </c>
      <c r="AM19" s="380" t="s">
        <v>103</v>
      </c>
    </row>
    <row r="20" spans="1:39">
      <c r="A20" s="184">
        <v>12104</v>
      </c>
      <c r="B20" s="184">
        <v>1200</v>
      </c>
      <c r="C20" s="184">
        <v>1499</v>
      </c>
      <c r="D20" s="416">
        <v>3.76</v>
      </c>
      <c r="E20" s="416">
        <v>4.1399999999999997</v>
      </c>
      <c r="F20" s="383"/>
      <c r="G20" s="186" t="s">
        <v>64</v>
      </c>
      <c r="H20" s="186" t="s">
        <v>64</v>
      </c>
      <c r="I20" s="186" t="s">
        <v>64</v>
      </c>
      <c r="J20" s="384"/>
      <c r="K20" s="186" t="s">
        <v>64</v>
      </c>
      <c r="L20" s="186" t="s">
        <v>64</v>
      </c>
      <c r="M20" s="186" t="s">
        <v>64</v>
      </c>
      <c r="N20" s="384"/>
      <c r="O20" s="186" t="s">
        <v>64</v>
      </c>
      <c r="P20" s="186" t="s">
        <v>64</v>
      </c>
      <c r="Q20" s="186" t="s">
        <v>64</v>
      </c>
      <c r="R20" s="331"/>
      <c r="T20" s="452" t="s">
        <v>144</v>
      </c>
      <c r="U20" s="452"/>
      <c r="V20" s="110" t="s">
        <v>145</v>
      </c>
      <c r="W20" s="110"/>
      <c r="X20" s="110" t="s">
        <v>146</v>
      </c>
      <c r="Y20" s="16" t="s">
        <v>147</v>
      </c>
      <c r="Z20" s="16" t="s">
        <v>146</v>
      </c>
      <c r="AD20" s="101">
        <v>22</v>
      </c>
      <c r="AH20" s="388" t="s">
        <v>105</v>
      </c>
      <c r="AI20" s="380" t="s">
        <v>103</v>
      </c>
      <c r="AJ20" s="405" t="s">
        <v>148</v>
      </c>
      <c r="AK20" s="404" t="s">
        <v>103</v>
      </c>
      <c r="AL20" s="389" t="s">
        <v>149</v>
      </c>
      <c r="AM20" s="380" t="s">
        <v>103</v>
      </c>
    </row>
    <row r="21" spans="1:39">
      <c r="A21" s="184">
        <v>12104</v>
      </c>
      <c r="B21" s="184">
        <v>1500</v>
      </c>
      <c r="C21" s="184">
        <v>1799</v>
      </c>
      <c r="D21" s="416">
        <v>3.95</v>
      </c>
      <c r="E21" s="416">
        <v>4.3499999999999996</v>
      </c>
      <c r="F21" s="383"/>
      <c r="G21" s="186" t="s">
        <v>64</v>
      </c>
      <c r="H21" s="186" t="s">
        <v>64</v>
      </c>
      <c r="I21" s="186" t="s">
        <v>64</v>
      </c>
      <c r="J21" s="384"/>
      <c r="K21" s="186" t="s">
        <v>64</v>
      </c>
      <c r="L21" s="186" t="s">
        <v>64</v>
      </c>
      <c r="M21" s="186" t="s">
        <v>64</v>
      </c>
      <c r="N21" s="384"/>
      <c r="O21" s="186" t="s">
        <v>64</v>
      </c>
      <c r="P21" s="186" t="s">
        <v>64</v>
      </c>
      <c r="Q21" s="186" t="s">
        <v>64</v>
      </c>
      <c r="R21" s="331"/>
      <c r="T21" s="16" t="s">
        <v>25</v>
      </c>
      <c r="U21" s="380">
        <f>IFERROR(VLOOKUP('Pleats Calc'!F7,'Pricing Logic Pleats'!$T$1:$U$18,2,FALSE),"")</f>
        <v>23211</v>
      </c>
      <c r="V21" s="406">
        <f>'Pleats Calc'!F10</f>
        <v>17</v>
      </c>
      <c r="W21" s="172"/>
      <c r="X21" s="380">
        <f>IFERROR(VLOOKUP('Pleats Calc'!G10,$X$4:$AA$10,4,FALSE),"")</f>
        <v>5</v>
      </c>
      <c r="Y21" s="412">
        <f>'Pleats Calc'!F11</f>
        <v>12</v>
      </c>
      <c r="Z21" s="380">
        <f>IFERROR(VLOOKUP('Pleats Calc'!G11,$X$4:$AA$10,4,FALSE),"")</f>
        <v>875</v>
      </c>
      <c r="AA21" t="s">
        <v>150</v>
      </c>
      <c r="AD21" s="101">
        <v>23</v>
      </c>
      <c r="AH21" s="388" t="s">
        <v>151</v>
      </c>
      <c r="AI21" s="380" t="s">
        <v>103</v>
      </c>
      <c r="AJ21" s="405" t="s">
        <v>152</v>
      </c>
      <c r="AK21" s="404" t="s">
        <v>103</v>
      </c>
      <c r="AL21" s="389" t="s">
        <v>153</v>
      </c>
      <c r="AM21" s="380" t="s">
        <v>103</v>
      </c>
    </row>
    <row r="22" spans="1:39">
      <c r="A22" s="184">
        <v>12104</v>
      </c>
      <c r="B22" s="184">
        <v>1800</v>
      </c>
      <c r="C22" s="184">
        <v>2099</v>
      </c>
      <c r="D22" s="416">
        <v>4.1500000000000004</v>
      </c>
      <c r="E22" s="416">
        <v>4.57</v>
      </c>
      <c r="F22" s="383"/>
      <c r="G22" s="186" t="s">
        <v>64</v>
      </c>
      <c r="H22" s="186" t="s">
        <v>64</v>
      </c>
      <c r="I22" s="186" t="s">
        <v>64</v>
      </c>
      <c r="J22" s="384"/>
      <c r="K22" s="186" t="s">
        <v>64</v>
      </c>
      <c r="L22" s="186" t="s">
        <v>64</v>
      </c>
      <c r="M22" s="186" t="s">
        <v>64</v>
      </c>
      <c r="N22" s="384"/>
      <c r="O22" s="186" t="s">
        <v>64</v>
      </c>
      <c r="P22" s="186" t="s">
        <v>64</v>
      </c>
      <c r="Q22" s="186" t="s">
        <v>64</v>
      </c>
      <c r="R22" s="331"/>
      <c r="T22" s="16" t="s">
        <v>154</v>
      </c>
      <c r="U22" s="381">
        <f>('Pleats Calc'!F10+'Pleats Calc'!G10)*('Pleats Calc'!F11+'Pleats Calc'!G11)</f>
        <v>225.3125</v>
      </c>
      <c r="V22" s="406">
        <f>V21-0.5</f>
        <v>16.5</v>
      </c>
      <c r="W22" s="172"/>
      <c r="Y22" s="413">
        <f>Y21-0.5</f>
        <v>11.5</v>
      </c>
      <c r="AA22" t="s">
        <v>155</v>
      </c>
      <c r="AD22" s="101">
        <v>24</v>
      </c>
      <c r="AE22" t="s">
        <v>156</v>
      </c>
      <c r="AH22" s="388" t="s">
        <v>157</v>
      </c>
      <c r="AI22" s="380" t="s">
        <v>103</v>
      </c>
      <c r="AJ22" s="405" t="s">
        <v>158</v>
      </c>
      <c r="AK22" s="404" t="s">
        <v>103</v>
      </c>
      <c r="AL22" s="389" t="s">
        <v>159</v>
      </c>
      <c r="AM22" s="380" t="s">
        <v>103</v>
      </c>
    </row>
    <row r="23" spans="1:39">
      <c r="A23" s="184">
        <v>12204</v>
      </c>
      <c r="B23" s="184">
        <v>1</v>
      </c>
      <c r="C23" s="184">
        <v>299</v>
      </c>
      <c r="D23" s="416">
        <v>3.399</v>
      </c>
      <c r="E23" s="416">
        <v>3.74</v>
      </c>
      <c r="F23" s="383"/>
      <c r="G23" s="186">
        <v>6.12</v>
      </c>
      <c r="H23" s="186">
        <v>8.26</v>
      </c>
      <c r="I23" s="186">
        <v>11.28</v>
      </c>
      <c r="J23" s="384"/>
      <c r="K23" s="186">
        <v>6.72</v>
      </c>
      <c r="L23" s="186">
        <v>8.75</v>
      </c>
      <c r="M23" s="186">
        <v>10.94</v>
      </c>
      <c r="N23" s="384"/>
      <c r="O23" s="186" t="s">
        <v>64</v>
      </c>
      <c r="P23" s="186" t="s">
        <v>64</v>
      </c>
      <c r="Q23" s="186" t="s">
        <v>64</v>
      </c>
      <c r="R23" s="331"/>
      <c r="T23" s="16" t="s">
        <v>160</v>
      </c>
      <c r="U23" s="380" t="str">
        <f>'Pleats Calc'!F15</f>
        <v>4</v>
      </c>
      <c r="V23" s="171"/>
      <c r="W23" s="172"/>
      <c r="Y23" s="173"/>
      <c r="AB23" s="176" t="s">
        <v>161</v>
      </c>
      <c r="AD23" s="101">
        <v>25</v>
      </c>
      <c r="AE23" t="s">
        <v>162</v>
      </c>
      <c r="AH23" s="388" t="s">
        <v>163</v>
      </c>
      <c r="AI23" s="380" t="s">
        <v>103</v>
      </c>
      <c r="AJ23" s="405" t="s">
        <v>164</v>
      </c>
      <c r="AK23" s="404" t="s">
        <v>103</v>
      </c>
      <c r="AL23" s="389" t="s">
        <v>165</v>
      </c>
      <c r="AM23" s="380" t="s">
        <v>103</v>
      </c>
    </row>
    <row r="24" spans="1:39">
      <c r="A24" s="184">
        <v>12204</v>
      </c>
      <c r="B24" s="184">
        <v>300</v>
      </c>
      <c r="C24" s="184">
        <v>599</v>
      </c>
      <c r="D24" s="416">
        <v>3.5750000000000002</v>
      </c>
      <c r="E24" s="416">
        <v>3.9380000000000006</v>
      </c>
      <c r="F24" s="383"/>
      <c r="G24" s="186">
        <v>6.42</v>
      </c>
      <c r="H24" s="186">
        <v>8.68</v>
      </c>
      <c r="I24" s="186">
        <v>11.84</v>
      </c>
      <c r="J24" s="384"/>
      <c r="K24" s="186">
        <v>7.09</v>
      </c>
      <c r="L24" s="186">
        <v>9.1999999999999993</v>
      </c>
      <c r="M24" s="186">
        <v>11.51</v>
      </c>
      <c r="N24" s="384"/>
      <c r="O24" s="186" t="s">
        <v>64</v>
      </c>
      <c r="P24" s="186" t="s">
        <v>64</v>
      </c>
      <c r="Q24" s="186" t="s">
        <v>64</v>
      </c>
      <c r="R24" s="331"/>
      <c r="W24" s="177"/>
      <c r="Y24" t="s">
        <v>166</v>
      </c>
      <c r="AA24" s="382" t="str">
        <f>IF(AND('Pleats Calc'!G13="Yes",'Pleats Calc'!G10=0,'Pleats Calc'!G11=0),"CE",AA25)</f>
        <v>C</v>
      </c>
      <c r="AB24" s="178" t="s">
        <v>150</v>
      </c>
      <c r="AD24" s="101">
        <v>26</v>
      </c>
      <c r="AH24" s="388" t="s">
        <v>167</v>
      </c>
      <c r="AI24" s="380" t="s">
        <v>103</v>
      </c>
      <c r="AJ24" s="405" t="s">
        <v>168</v>
      </c>
      <c r="AK24" s="404" t="s">
        <v>103</v>
      </c>
      <c r="AL24" s="389" t="s">
        <v>169</v>
      </c>
      <c r="AM24" s="380" t="s">
        <v>103</v>
      </c>
    </row>
    <row r="25" spans="1:39">
      <c r="A25" s="184">
        <v>12204</v>
      </c>
      <c r="B25" s="184">
        <v>600</v>
      </c>
      <c r="C25" s="184">
        <v>899</v>
      </c>
      <c r="D25" s="416">
        <v>3.7510000000000003</v>
      </c>
      <c r="E25" s="416">
        <v>4.125</v>
      </c>
      <c r="F25" s="383"/>
      <c r="G25" s="186">
        <v>6.75</v>
      </c>
      <c r="H25" s="186">
        <v>9.1</v>
      </c>
      <c r="I25" s="186">
        <v>12.42</v>
      </c>
      <c r="J25" s="384"/>
      <c r="K25" s="186">
        <v>7.42</v>
      </c>
      <c r="L25" s="186">
        <v>9.65</v>
      </c>
      <c r="M25" s="186">
        <v>12.05</v>
      </c>
      <c r="N25" s="384"/>
      <c r="O25" s="186" t="s">
        <v>64</v>
      </c>
      <c r="P25" s="186" t="s">
        <v>64</v>
      </c>
      <c r="Q25" s="186" t="s">
        <v>64</v>
      </c>
      <c r="R25" s="331"/>
      <c r="T25" s="177"/>
      <c r="U25" s="177"/>
      <c r="V25" s="177"/>
      <c r="W25" s="177"/>
      <c r="Y25" s="386" t="str">
        <f>IF(AA24="CQ","Contact Customer Service",IF(AA25="CQ","Contact Customer Service",CONCATENATE(U21,IF('Pleats Calc'!G13='Pricing Logic Pleats'!AC8,'Pricing Logic Pleats'!AA24,'Pricing Logic Pleats'!AA25),"0",U23,IF(V21&lt;10,CONCATENATE("0",V21),V21),X21,IF(Y21&lt;10,CONCATENATE("0",Y21),Y21),Z21)))</f>
        <v>23211C0417512875</v>
      </c>
      <c r="AA25" s="380" t="str">
        <f>IF(U23="4",IF(V28=4,"CQ",IF(V28=3,"CT",IF(V28=2,"CD","C"))),IF(U23=2,IF(U28=4,"CQ",IF(U28=3,"CT",IF(U28=2,"CD","C"))),IF(U23=1,IF(T28=4,"CQ",IF(T28=3,"CT",IF(T28=2,"CD","C"))))))</f>
        <v>C</v>
      </c>
      <c r="AB25" t="s">
        <v>155</v>
      </c>
      <c r="AD25" s="101">
        <v>27</v>
      </c>
      <c r="AH25" s="388" t="s">
        <v>170</v>
      </c>
      <c r="AI25" s="380" t="s">
        <v>103</v>
      </c>
      <c r="AJ25" s="405" t="s">
        <v>171</v>
      </c>
      <c r="AK25" s="404" t="s">
        <v>103</v>
      </c>
      <c r="AL25" s="389" t="s">
        <v>172</v>
      </c>
      <c r="AM25" s="380" t="s">
        <v>103</v>
      </c>
    </row>
    <row r="26" spans="1:39">
      <c r="A26" s="184">
        <v>12204</v>
      </c>
      <c r="B26" s="184">
        <v>900</v>
      </c>
      <c r="C26" s="184">
        <v>1199</v>
      </c>
      <c r="D26" s="416">
        <v>3.9380000000000006</v>
      </c>
      <c r="E26" s="416">
        <v>4.3340000000000005</v>
      </c>
      <c r="F26" s="383"/>
      <c r="G26" s="186">
        <v>7.09</v>
      </c>
      <c r="H26" s="186">
        <v>9.57</v>
      </c>
      <c r="I26" s="186">
        <v>13.05</v>
      </c>
      <c r="J26" s="384"/>
      <c r="K26" s="186">
        <v>7.8</v>
      </c>
      <c r="L26" s="186">
        <v>10.130000000000001</v>
      </c>
      <c r="M26" s="186">
        <v>12.67</v>
      </c>
      <c r="N26" s="384"/>
      <c r="O26" s="186" t="s">
        <v>64</v>
      </c>
      <c r="P26" s="186" t="s">
        <v>64</v>
      </c>
      <c r="Q26" s="186" t="s">
        <v>64</v>
      </c>
      <c r="R26" s="331"/>
      <c r="AD26" s="101">
        <v>28</v>
      </c>
      <c r="AH26" s="388" t="s">
        <v>173</v>
      </c>
      <c r="AI26" s="380" t="s">
        <v>103</v>
      </c>
      <c r="AJ26" s="405" t="s">
        <v>174</v>
      </c>
      <c r="AK26" s="404" t="s">
        <v>103</v>
      </c>
      <c r="AL26" s="389" t="s">
        <v>175</v>
      </c>
      <c r="AM26" s="380" t="s">
        <v>103</v>
      </c>
    </row>
    <row r="27" spans="1:39">
      <c r="A27" s="184">
        <v>12204</v>
      </c>
      <c r="B27" s="184">
        <v>1200</v>
      </c>
      <c r="C27" s="184">
        <v>1499</v>
      </c>
      <c r="D27" s="416">
        <v>4.1360000000000001</v>
      </c>
      <c r="E27" s="416">
        <v>4.5540000000000003</v>
      </c>
      <c r="F27" s="383"/>
      <c r="G27" s="186">
        <v>7.44</v>
      </c>
      <c r="H27" s="186">
        <v>10.039999999999999</v>
      </c>
      <c r="I27" s="186">
        <v>13.71</v>
      </c>
      <c r="J27" s="384"/>
      <c r="K27" s="186">
        <v>8.19</v>
      </c>
      <c r="L27" s="186">
        <v>10.64</v>
      </c>
      <c r="M27" s="186">
        <v>13.31</v>
      </c>
      <c r="N27" s="384"/>
      <c r="O27" s="186" t="s">
        <v>64</v>
      </c>
      <c r="P27" s="186" t="s">
        <v>64</v>
      </c>
      <c r="Q27" s="186" t="s">
        <v>64</v>
      </c>
      <c r="R27" s="331"/>
      <c r="T27" s="385" t="s">
        <v>176</v>
      </c>
      <c r="U27" s="385" t="s">
        <v>177</v>
      </c>
      <c r="V27" s="385" t="s">
        <v>178</v>
      </c>
      <c r="W27" s="177"/>
      <c r="AD27" s="101">
        <v>29</v>
      </c>
      <c r="AH27" s="388" t="s">
        <v>179</v>
      </c>
      <c r="AI27" s="380" t="s">
        <v>103</v>
      </c>
      <c r="AJ27" s="405" t="s">
        <v>180</v>
      </c>
      <c r="AK27" s="404" t="s">
        <v>103</v>
      </c>
      <c r="AL27" s="389" t="s">
        <v>181</v>
      </c>
      <c r="AM27" s="380" t="s">
        <v>103</v>
      </c>
    </row>
    <row r="28" spans="1:39">
      <c r="A28" s="184">
        <v>12204</v>
      </c>
      <c r="B28" s="184">
        <v>1500</v>
      </c>
      <c r="C28" s="184">
        <v>1799</v>
      </c>
      <c r="D28" s="416">
        <v>4.3450000000000006</v>
      </c>
      <c r="E28" s="416">
        <v>4.7850000000000001</v>
      </c>
      <c r="F28" s="383"/>
      <c r="G28" s="186">
        <v>7.81</v>
      </c>
      <c r="H28" s="186">
        <v>10.55</v>
      </c>
      <c r="I28" s="186">
        <v>14.41</v>
      </c>
      <c r="J28" s="384"/>
      <c r="K28" s="186">
        <v>8.6</v>
      </c>
      <c r="L28" s="186">
        <v>11.19</v>
      </c>
      <c r="M28" s="186">
        <v>13.97</v>
      </c>
      <c r="N28" s="384"/>
      <c r="O28" s="186" t="s">
        <v>64</v>
      </c>
      <c r="P28" s="186" t="s">
        <v>64</v>
      </c>
      <c r="Q28" s="186" t="s">
        <v>64</v>
      </c>
      <c r="R28" s="331"/>
      <c r="T28" s="385">
        <f>U57</f>
        <v>1</v>
      </c>
      <c r="U28" s="385">
        <f>U57</f>
        <v>1</v>
      </c>
      <c r="V28" s="385">
        <f>U58</f>
        <v>1</v>
      </c>
      <c r="W28" s="177"/>
      <c r="X28" s="16" t="s">
        <v>160</v>
      </c>
      <c r="Y28" s="16" t="s">
        <v>27</v>
      </c>
      <c r="AD28" s="101">
        <v>30</v>
      </c>
      <c r="AH28" s="388" t="s">
        <v>182</v>
      </c>
      <c r="AI28" s="380" t="s">
        <v>103</v>
      </c>
      <c r="AJ28" s="405" t="s">
        <v>183</v>
      </c>
      <c r="AK28" s="404" t="s">
        <v>103</v>
      </c>
      <c r="AL28" s="389" t="s">
        <v>184</v>
      </c>
      <c r="AM28" s="380" t="s">
        <v>103</v>
      </c>
    </row>
    <row r="29" spans="1:39">
      <c r="A29" s="184">
        <v>12204</v>
      </c>
      <c r="B29" s="184">
        <v>1800</v>
      </c>
      <c r="C29" s="184">
        <v>2099</v>
      </c>
      <c r="D29" s="416">
        <v>4.5650000000000004</v>
      </c>
      <c r="E29" s="416">
        <v>5.027000000000001</v>
      </c>
      <c r="F29" s="383"/>
      <c r="G29" s="186">
        <v>8.1999999999999993</v>
      </c>
      <c r="H29" s="186">
        <v>11.09</v>
      </c>
      <c r="I29" s="186">
        <v>16.86</v>
      </c>
      <c r="J29" s="384"/>
      <c r="K29" s="186">
        <v>9.0399999999999991</v>
      </c>
      <c r="L29" s="186">
        <v>11.76</v>
      </c>
      <c r="M29" s="186">
        <v>14.7</v>
      </c>
      <c r="N29" s="384"/>
      <c r="O29" s="186" t="s">
        <v>64</v>
      </c>
      <c r="P29" s="186" t="s">
        <v>64</v>
      </c>
      <c r="Q29" s="186" t="s">
        <v>64</v>
      </c>
      <c r="R29" s="331"/>
      <c r="T29" s="390">
        <f>U22</f>
        <v>225.3125</v>
      </c>
      <c r="U29" s="390">
        <f>U22</f>
        <v>225.3125</v>
      </c>
      <c r="V29" s="390">
        <f>U22</f>
        <v>225.3125</v>
      </c>
      <c r="W29" s="179"/>
      <c r="X29" t="s">
        <v>185</v>
      </c>
      <c r="Y29" s="401">
        <f>IF(VLOOKUP(U21,$S$30:$V$47,2,FALSE)=FALSE,"CONTACT CUSTOMER SERVICE",VLOOKUP(U21,$S$30:$V$47,2,FALSE))</f>
        <v>12.83</v>
      </c>
      <c r="AD29" s="101">
        <v>31</v>
      </c>
      <c r="AH29" s="388" t="s">
        <v>186</v>
      </c>
      <c r="AI29" s="380" t="s">
        <v>103</v>
      </c>
      <c r="AJ29" s="405" t="s">
        <v>187</v>
      </c>
      <c r="AK29" s="404" t="s">
        <v>103</v>
      </c>
      <c r="AL29" s="389" t="s">
        <v>188</v>
      </c>
      <c r="AM29" s="380" t="s">
        <v>103</v>
      </c>
    </row>
    <row r="30" spans="1:39">
      <c r="A30" s="184">
        <v>21208</v>
      </c>
      <c r="B30" s="184">
        <v>1</v>
      </c>
      <c r="C30" s="184">
        <v>299</v>
      </c>
      <c r="D30" s="185">
        <v>5.77</v>
      </c>
      <c r="E30" s="185">
        <v>6.06</v>
      </c>
      <c r="F30" s="383"/>
      <c r="G30" s="186">
        <v>8</v>
      </c>
      <c r="H30" s="186">
        <v>10.98</v>
      </c>
      <c r="I30" s="186">
        <v>14.27</v>
      </c>
      <c r="J30" s="384"/>
      <c r="K30" s="186">
        <v>8.7899999999999991</v>
      </c>
      <c r="L30" s="186">
        <v>12.47</v>
      </c>
      <c r="M30" s="186">
        <v>16.21</v>
      </c>
      <c r="N30" s="384"/>
      <c r="O30" s="186">
        <v>14.95</v>
      </c>
      <c r="P30" s="186">
        <v>21.2</v>
      </c>
      <c r="Q30" s="186">
        <v>27.56</v>
      </c>
      <c r="R30" s="331"/>
      <c r="S30" s="380">
        <v>11204</v>
      </c>
      <c r="T30" s="391" cm="1">
        <f t="array" ref="T30">IF(T28=1,LOOKUP(U22,1/((U22&gt;=min_11204)*(U22&lt;=max_11204)),Single_11204_1),LOOKUP(U22,1/((U22&gt;=min_11204)*(U22&lt;=max_11204)),Double_11204_1))</f>
        <v>6.1</v>
      </c>
      <c r="U30" s="380" cm="1">
        <f t="array" ref="U30">IF(T28=1,LOOKUP(U22,1/((U22&gt;=min_11204)*(U22&lt;=max_11204)),Single_11204_2),LOOKUP(U22,1/((U22&gt;=min_11204)*(U22&lt;=max_11204)),Double_11204_2))</f>
        <v>6.71</v>
      </c>
      <c r="V30" s="392" t="s">
        <v>189</v>
      </c>
      <c r="W30" s="183"/>
      <c r="X30" t="s">
        <v>190</v>
      </c>
      <c r="Y30" s="401">
        <f>IF(VLOOKUP(U21,$S$30:$V$47,3,FALSE)=FALSE,"CONTACT CUSTOMER SERVICE",VLOOKUP(U21,$S$30:$V$47,3,FALSE))</f>
        <v>14.11</v>
      </c>
      <c r="AD30" s="101">
        <v>32</v>
      </c>
      <c r="AH30" s="388" t="s">
        <v>191</v>
      </c>
      <c r="AI30" s="380" t="s">
        <v>103</v>
      </c>
      <c r="AJ30" s="405" t="s">
        <v>192</v>
      </c>
      <c r="AK30" s="404" t="s">
        <v>103</v>
      </c>
      <c r="AL30" s="389" t="s">
        <v>193</v>
      </c>
      <c r="AM30" s="380" t="s">
        <v>103</v>
      </c>
    </row>
    <row r="31" spans="1:39">
      <c r="A31" s="184">
        <v>21208</v>
      </c>
      <c r="B31" s="184">
        <v>300</v>
      </c>
      <c r="C31" s="184">
        <v>599</v>
      </c>
      <c r="D31" s="185">
        <v>7.31</v>
      </c>
      <c r="E31" s="185">
        <v>7.68</v>
      </c>
      <c r="F31" s="383"/>
      <c r="G31" s="186">
        <v>10.98</v>
      </c>
      <c r="H31" s="186">
        <v>13.18</v>
      </c>
      <c r="I31" s="186">
        <v>17.13</v>
      </c>
      <c r="J31" s="384"/>
      <c r="K31" s="186">
        <v>13.21</v>
      </c>
      <c r="L31" s="186">
        <v>14.24</v>
      </c>
      <c r="M31" s="186">
        <v>18.510000000000002</v>
      </c>
      <c r="N31" s="384"/>
      <c r="O31" s="186">
        <v>22.45</v>
      </c>
      <c r="P31" s="186">
        <v>24.21</v>
      </c>
      <c r="Q31" s="186">
        <v>31.47</v>
      </c>
      <c r="R31" s="331"/>
      <c r="S31" s="380">
        <v>12204</v>
      </c>
      <c r="T31" s="391" cm="1">
        <f t="array" ref="T31">IF(T28=1,LOOKUP($U$22,1/(($U$22&gt;=min_12204)*($U$22&lt;=max_12204)),Single_12204_1),LOOKUP($U$22,1/(($U$22&gt;=min_12204)*($U$22&lt;=max_12204)),Double_12204_1))</f>
        <v>6.12</v>
      </c>
      <c r="U31" s="391" cm="1">
        <f t="array" ref="U31">IF(U28=1,LOOKUP($U$22,1/(($U$22&gt;=min_12204)*($U$22&lt;=max_12204)),Single_12204_2),LOOKUP($U$22,1/(($U$22&gt;=min_12204)*($U$22&lt;=max_12204)),Double_12204_2))</f>
        <v>6.72</v>
      </c>
      <c r="V31" s="392" t="s">
        <v>189</v>
      </c>
      <c r="W31" s="183"/>
      <c r="X31" t="s">
        <v>194</v>
      </c>
      <c r="Y31" s="401">
        <f>IF(VLOOKUP(U21,$S$30:$V$47,4,FALSE)=FALSE,"CONTACT CUSTOMER SERVICE",VLOOKUP(U21,$S$30:$V$47,4,FALSE))</f>
        <v>23.98</v>
      </c>
      <c r="AD31" s="101">
        <v>33</v>
      </c>
      <c r="AH31" s="388" t="s">
        <v>195</v>
      </c>
      <c r="AI31" s="380" t="s">
        <v>103</v>
      </c>
      <c r="AJ31" s="405" t="s">
        <v>196</v>
      </c>
      <c r="AK31" s="404" t="s">
        <v>103</v>
      </c>
      <c r="AL31" s="389" t="s">
        <v>197</v>
      </c>
      <c r="AM31" s="380" t="s">
        <v>103</v>
      </c>
    </row>
    <row r="32" spans="1:39">
      <c r="A32" s="184">
        <v>21208</v>
      </c>
      <c r="B32" s="184">
        <v>600</v>
      </c>
      <c r="C32" s="184">
        <v>899</v>
      </c>
      <c r="D32" s="185" t="s">
        <v>198</v>
      </c>
      <c r="E32" s="185">
        <v>9.56</v>
      </c>
      <c r="F32" s="383"/>
      <c r="G32" s="186">
        <v>12.05</v>
      </c>
      <c r="H32" s="186">
        <v>15.81</v>
      </c>
      <c r="I32" s="186">
        <v>20.55</v>
      </c>
      <c r="J32" s="384"/>
      <c r="K32" s="186">
        <v>15.85</v>
      </c>
      <c r="L32" s="186">
        <v>17.09</v>
      </c>
      <c r="M32" s="186">
        <v>22.22</v>
      </c>
      <c r="N32" s="384"/>
      <c r="O32" s="186">
        <v>26.94</v>
      </c>
      <c r="P32" s="186">
        <v>29.05</v>
      </c>
      <c r="Q32" s="186">
        <v>37.770000000000003</v>
      </c>
      <c r="R32" s="331"/>
      <c r="S32" s="380">
        <v>21208</v>
      </c>
      <c r="T32" s="391">
        <f>IF(T29&lt;=C30,IF(T28=1,G30,IF(T28=2,H30,I30)),IF(T29&lt;=C31,IF(T28=1,G31,IF(T28=2,H31,I31)),IF(T29&lt;=C32,IF(T28=1,G32,IF(T28=2,H32,I32)),IF(T29&lt;=C33,IF(T28=1,G33,IF(T28=2,H33,I33)),IF(T29&lt;=C34,IF(T28=1,G34,IF(T28=2,H34,I34)),IF(T29&lt;=C35,IF(T28=1,G35,IF(T28=2,H35,I35))))))))</f>
        <v>8</v>
      </c>
      <c r="U32" s="391">
        <f>IF(U29&lt;=C30,IF(U28=1,K30,IF(U28=2,L30,M30)),IF(U29&lt;=C31,IF(U28=1,K31,IF(U28=2,L31,M31)),IF(U29&lt;=C32,IF(U28=1,K32,IF(U28=2,L32,M32)),IF(U29&lt;=C33,IF(U28=1,K33,IF(U28=2,L33,M33)),IF(U29&lt;=C34,IF(U28=1,K34,IF(U28=2,L34,M34)),IF(U29&lt;=C35,IF(U28=1,K35,IF(U28=2,L35,M35))))))))</f>
        <v>8.7899999999999991</v>
      </c>
      <c r="V32" s="391">
        <f>IF(V29&lt;=C30,IF(V28=1,O30,IF(V28=2,P30,Q30)),IF(V29&lt;=C31,IF(V28=1,O31,IF(V28=2,P31,Q31)),IF(V29&lt;=C32,IF(V28=1,O32,IF(V28=2,P32,Q32)),IF(V29&lt;=C33,IF(V28=1,O33,IF(V28=2,P33,Q33)),IF(V29&lt;=C34,IF(V28=1,O34,IF(V28=2,P34,Q34)),IF(V29&lt;=C35,IF(V28=1,O35,IF(V28=2,P35,Q35))))))))</f>
        <v>14.95</v>
      </c>
      <c r="W32" s="183"/>
      <c r="X32" t="s">
        <v>199</v>
      </c>
      <c r="Y32" s="401">
        <f>IF(AND(U23=1,U57=4),T60,IF(AND(U23=2,U57=4),T60,IF(AND(U23="4",U58=4),T60,IF(U23=1,Y29,IF(U23=2,Y30,IF(U23="4",Y31))))))</f>
        <v>23.98</v>
      </c>
      <c r="AD32" s="101">
        <v>34</v>
      </c>
      <c r="AH32" s="388" t="s">
        <v>200</v>
      </c>
      <c r="AI32" s="380" t="s">
        <v>103</v>
      </c>
      <c r="AJ32" s="405" t="s">
        <v>201</v>
      </c>
      <c r="AK32" s="404" t="s">
        <v>103</v>
      </c>
      <c r="AL32" s="389" t="s">
        <v>202</v>
      </c>
      <c r="AM32" s="380" t="s">
        <v>103</v>
      </c>
    </row>
    <row r="33" spans="1:39">
      <c r="A33" s="184">
        <v>21208</v>
      </c>
      <c r="B33" s="184">
        <v>900</v>
      </c>
      <c r="C33" s="184">
        <v>1199</v>
      </c>
      <c r="D33" s="185">
        <v>10.63</v>
      </c>
      <c r="E33" s="185">
        <v>11.16</v>
      </c>
      <c r="F33" s="383"/>
      <c r="G33" s="186">
        <v>13.86</v>
      </c>
      <c r="H33" s="186">
        <v>18.97</v>
      </c>
      <c r="I33" s="186">
        <v>24.66</v>
      </c>
      <c r="J33" s="384"/>
      <c r="K33" s="186">
        <v>18.23</v>
      </c>
      <c r="L33" s="186">
        <v>20.51</v>
      </c>
      <c r="M33" s="186">
        <v>26.66</v>
      </c>
      <c r="N33" s="384"/>
      <c r="O33" s="186">
        <v>30.98</v>
      </c>
      <c r="P33" s="186">
        <v>34.86</v>
      </c>
      <c r="Q33" s="186">
        <v>45.32</v>
      </c>
      <c r="R33" s="331"/>
      <c r="S33" s="380">
        <v>21308</v>
      </c>
      <c r="T33" s="391">
        <f>IF(T29&lt;=C36,IF(T28=1,G36,IF(T28=2,H36,I36)),IF(T29&lt;=C37,IF(T28=1,G37,IF(T28=2,H37,I37)),IF(T29&lt;=C38,IF(T28=1,G38,IF(T28=2,H38,I38)),IF(T29&lt;=C39,IF(T28=1,G39,IF(T28=2,H39,I39)),IF(T29&lt;=C40,IF(T28=1,G40,IF(T28=2,H40,I40)),IF(T29&lt;=C41,IF(T28=1,G41,IF(T28=2,H41,I41))))))))</f>
        <v>8.8000000000000007</v>
      </c>
      <c r="U33" s="391">
        <f>IF(U29&lt;=C36,IF(U28=1,K36,IF(U28=2,L36,M36)),IF(U29&lt;=C37,IF(U28=1,K37,IF(U28=2,L37,M37)),IF(U29&lt;=C38,IF(U28=1,K38,IF(U28=2,L38,M38)),IF(U29&lt;=C39,IF(U28=1,K39,IF(U28=2,L39,M39)),IF(U29&lt;=C40,IF(U28=1,K40,IF(U28=2,L40,M40)),IF(U29&lt;=C41,IF(U28=1,K41,IF(U28=2,L41,M41))))))))</f>
        <v>9.67</v>
      </c>
      <c r="V33" s="391">
        <f>IF(V29&lt;=C36,IF(V28=1,O36,IF(V28=2,P36,Q36)),IF(V29&lt;=C37,IF(V28=1,O37,IF(V28=2,P37,Q37)),IF(V29&lt;=C38,IF(V28=1,O38,IF(V28=2,P38,Q38)),IF(V29&lt;=C39,IF(V28=1,O39,IF(V28=2,P39,Q39)),IF(V29&lt;=C40,IF(V28=1,O40,IF(V28=2,P40,Q40)),IF(V29&lt;=C41,IF(V28=1,O41,IF(V28=2,P41,Q41))))))))</f>
        <v>16.440000000000001</v>
      </c>
      <c r="W33" s="183"/>
      <c r="AD33" s="101">
        <v>35</v>
      </c>
      <c r="AH33" s="388" t="s">
        <v>203</v>
      </c>
      <c r="AI33" s="380" t="s">
        <v>103</v>
      </c>
      <c r="AJ33" s="405" t="s">
        <v>204</v>
      </c>
      <c r="AK33" s="404" t="s">
        <v>103</v>
      </c>
      <c r="AL33" s="389" t="s">
        <v>205</v>
      </c>
      <c r="AM33" s="380" t="s">
        <v>103</v>
      </c>
    </row>
    <row r="34" spans="1:39">
      <c r="A34" s="184">
        <v>21208</v>
      </c>
      <c r="B34" s="184">
        <v>1200</v>
      </c>
      <c r="C34" s="184">
        <v>1499</v>
      </c>
      <c r="D34" s="185">
        <v>12.37</v>
      </c>
      <c r="E34" s="185">
        <v>12.99</v>
      </c>
      <c r="F34" s="383"/>
      <c r="G34" s="186">
        <v>15.94</v>
      </c>
      <c r="H34" s="186">
        <v>22.77</v>
      </c>
      <c r="I34" s="186">
        <v>29.6</v>
      </c>
      <c r="J34" s="384"/>
      <c r="K34" s="186">
        <v>20.96</v>
      </c>
      <c r="L34" s="186">
        <v>24.61</v>
      </c>
      <c r="M34" s="186">
        <v>31.99</v>
      </c>
      <c r="N34" s="384"/>
      <c r="O34" s="186">
        <v>35.630000000000003</v>
      </c>
      <c r="P34" s="186">
        <v>41.84</v>
      </c>
      <c r="Q34" s="186">
        <v>54.39</v>
      </c>
      <c r="R34" s="331"/>
      <c r="S34" s="380">
        <v>21211</v>
      </c>
      <c r="T34" s="391">
        <f>IF(T29&lt;=C42,IF(T28=1,G42,IF(T28=2,H42,I42)),IF(T29&lt;=C43,IF(T28=1,G43,IF(T28=2,H43,I43)),IF(T29&lt;=C44,IF(T28=1,G44,IF(T28=2,H44,I44)),IF(T29&lt;=C45,IF(T28=1,G45,IF(T28=2,H45,I45)),IF(T29&lt;=C46,IF(T28=1,G46,IF(T28=2,H46,I46)),IF(T29&lt;=C47,IF(T28=1,G47,IF(T28=2,H47,I47))))))))</f>
        <v>9.44</v>
      </c>
      <c r="U34" s="391">
        <f>IF(U29&lt;=C42,IF(U28=1,K42,IF(U28=2,L42,M42)),IF(U29&lt;=C43,IF(U28=1,K43,IF(U28=2,L43,M43)),IF(U29&lt;=C44,IF(U28=1,K44,IF(U28=2,L44,M44)),IF(U29&lt;=C45,IF(U28=1,K45,IF(U28=2,L45,M45)),IF(U29&lt;=C46,IF(U28=1,K46,IF(U28=2,L46,M46)),IF(U29&lt;=C47,IF(U28=1,K47,IF(U28=2,L47,M47))))))))</f>
        <v>10.37</v>
      </c>
      <c r="V34" s="391">
        <f>IF(V29&lt;=C42,IF(V28=1,O42,IF(V28=2,P42,Q42)),IF(V29&lt;=C43,IF(V28=1,O43,IF(V28=2,P43,Q43)),IF(V29&lt;=C44,IF(V28=1,O44,IF(V28=2,P44,Q44)),IF(V29&lt;=C45,IF(V28=1,O45,IF(V28=2,P45,Q45)),IF(V29&lt;=C46,IF(V28=1,O46,IF(V28=2,P46,Q46)),IF(V29&lt;=C47,IF(V28=1,O47,IF(V28=2,P47,Q47))))))))</f>
        <v>17.64</v>
      </c>
      <c r="W34" s="172"/>
      <c r="Y34" s="119" t="s">
        <v>206</v>
      </c>
      <c r="AD34" s="101">
        <v>36</v>
      </c>
      <c r="AH34" s="388" t="s">
        <v>207</v>
      </c>
      <c r="AI34" s="380" t="s">
        <v>103</v>
      </c>
      <c r="AJ34" s="405" t="s">
        <v>208</v>
      </c>
      <c r="AK34" s="404" t="s">
        <v>103</v>
      </c>
      <c r="AL34" s="389" t="s">
        <v>209</v>
      </c>
      <c r="AM34" s="380" t="s">
        <v>103</v>
      </c>
    </row>
    <row r="35" spans="1:39">
      <c r="A35" s="184">
        <v>21208</v>
      </c>
      <c r="B35" s="184">
        <v>1500</v>
      </c>
      <c r="C35" s="184">
        <v>1799</v>
      </c>
      <c r="D35" s="185">
        <v>14.39</v>
      </c>
      <c r="E35" s="185">
        <v>15.11</v>
      </c>
      <c r="F35" s="383"/>
      <c r="G35" s="186">
        <v>18.329999999999998</v>
      </c>
      <c r="H35" s="186">
        <v>27.32</v>
      </c>
      <c r="I35" s="186">
        <v>35.520000000000003</v>
      </c>
      <c r="J35" s="384"/>
      <c r="K35" s="186">
        <v>24.1</v>
      </c>
      <c r="L35" s="186">
        <v>29.53</v>
      </c>
      <c r="M35" s="186">
        <v>38.39</v>
      </c>
      <c r="N35" s="384"/>
      <c r="O35" s="186">
        <v>40.98</v>
      </c>
      <c r="P35" s="186">
        <v>50.2</v>
      </c>
      <c r="Q35" s="186">
        <v>65.260000000000005</v>
      </c>
      <c r="R35" s="331"/>
      <c r="S35" s="380">
        <v>21311</v>
      </c>
      <c r="T35" s="391">
        <f>IF(T29&lt;=C48,IF(T28=1,G48,IF(T28=2,H48,I48)),IF(T29&lt;=C49,IF(T28=1,G49,IF(T28=2,H49,I49)),IF(T29&lt;=C50,IF(T28=1,G50,IF(T28=2,H50,I50)),IF(T29&lt;=C51,IF(T28=1,G51,IF(T28=2,H51,I51)),IF(T29&lt;=C52,IF(T28=1,G52,IF(T28=2,H52,I52)),IF(T29&lt;=C53,IF(T28=1,G53,IF(T28=2,H53,I53))))))))</f>
        <v>10.38</v>
      </c>
      <c r="U35" s="391">
        <f>IF(U29&lt;=C48,IF(U28=1,K48,IF(U28=2,L48,M48)),IF(U29&lt;=C49,IF(U28=1,K49,IF(U28=2,L49,M49)),IF(U29&lt;=C50,IF(U28=1,K50,IF(U28=2,L50,M50)),IF(U29&lt;=C51,IF(U28=1,K51,IF(U28=2,L51,M51)),IF(U29&lt;=C52,IF(U28=1,K52,IF(U28=2,L52,M52)),IF(U29&lt;=C53,IF(U28=1,K53,IF(U28=2,L53,M53))))))))</f>
        <v>11.41</v>
      </c>
      <c r="V35" s="391">
        <f>IF(V29&lt;=C48,IF(V28=1,O48,IF(V28=2,P48,Q48)),IF(V29&lt;=C49,IF(V28=1,O49,IF(V28=2,P49,Q49)),IF(V29&lt;=C50,IF(V28=1,O50,IF(V28=2,P50,Q50)),IF(V29&lt;=C51,IF(V28=1,O51,IF(V28=2,P51,Q51)),IF(V29&lt;=C52,IF(V28=1,O52,IF(V28=2,P52,Q52)),IF(V29&lt;=C53,IF(V28=1,O53,IF(V28=2,P53,Q53))))))))</f>
        <v>19.399999999999999</v>
      </c>
      <c r="W35" s="172"/>
      <c r="AD35" s="101">
        <v>37</v>
      </c>
      <c r="AH35" s="388" t="s">
        <v>210</v>
      </c>
      <c r="AI35" s="380" t="s">
        <v>103</v>
      </c>
      <c r="AJ35" s="405" t="s">
        <v>211</v>
      </c>
      <c r="AK35" s="404" t="s">
        <v>103</v>
      </c>
      <c r="AL35" s="389" t="s">
        <v>212</v>
      </c>
      <c r="AM35" s="380" t="s">
        <v>103</v>
      </c>
    </row>
    <row r="36" spans="1:39">
      <c r="A36" s="184">
        <v>21308</v>
      </c>
      <c r="B36" s="184">
        <v>1</v>
      </c>
      <c r="C36" s="184">
        <v>299</v>
      </c>
      <c r="D36" s="185">
        <v>6.82</v>
      </c>
      <c r="E36" s="185">
        <v>7.16</v>
      </c>
      <c r="F36" s="383"/>
      <c r="G36" s="186">
        <v>8.8000000000000007</v>
      </c>
      <c r="H36" s="186">
        <v>12.08</v>
      </c>
      <c r="I36" s="186">
        <v>15.7</v>
      </c>
      <c r="J36" s="384"/>
      <c r="K36" s="186">
        <v>9.67</v>
      </c>
      <c r="L36" s="186">
        <v>13.72</v>
      </c>
      <c r="M36" s="186">
        <v>17.829999999999998</v>
      </c>
      <c r="N36" s="384"/>
      <c r="O36" s="186">
        <v>16.440000000000001</v>
      </c>
      <c r="P36" s="186">
        <v>23.32</v>
      </c>
      <c r="Q36" s="186">
        <v>30.32</v>
      </c>
      <c r="R36" s="331"/>
      <c r="S36" s="380">
        <v>21213</v>
      </c>
      <c r="T36" s="391">
        <f>IF(T29&lt;=C54,IF(T28=1,G54,IF(T28=2,H54,I54)),IF(T29&lt;=C55,IF(T28=1,G55,IF(T28=2,H55,I55)),IF(T29&lt;=C56,IF(T28=1,G56,IF(T28=2,H56,I56)),IF(T29&lt;=C57,IF(T28=1,G57,IF(T28=2,H57,I57)),IF(T29&lt;=C58,IF(T28=1,G58,IF(T28=2,H58,I58)),IF(T29&lt;=C59,IF(T28=1,G59,IF(T28=2,H59,I59))))))))</f>
        <v>12.25</v>
      </c>
      <c r="U36" s="391">
        <f>IF(U29&lt;=C54,IF(U28=1,K54,IF(U28=2,L54,M54)),IF(U29&lt;=C55,IF(U28=1,K55,IF(U28=2,L55,M55)),IF(U29&lt;=C56,IF(U28=1,K56,IF(U28=2,L56,M56)),IF(U29&lt;=C57,IF(U28=1,K57,IF(U28=2,L57,M57)),IF(U29&lt;=C58,IF(U28=1,K58,IF(U28=2,L58,M58)),IF(U29&lt;=C59,IF(U28=1,K59,IF(U28=2,L59,M59))))))))</f>
        <v>13.47</v>
      </c>
      <c r="V36" s="391">
        <f>IF(V29&lt;=C54,IF(V28=1,O54,IF(V28=2,P54,Q54)),IF(V29&lt;=C55,IF(V28=1,O55,IF(V28=2,P55,Q55)),IF(V29&lt;=C56,IF(V28=1,O56,IF(V28=2,P56,Q56)),IF(V29&lt;=C57,IF(V28=1,O57,IF(V28=2,P57,Q57)),IF(V29&lt;=C58,IF(V28=1,O58,IF(V28=2,P58,Q58)),IF(V29&lt;=C59,IF(V28=1,O59,IF(V28=2,P59,Q59))))))))</f>
        <v>22.89</v>
      </c>
      <c r="W36" s="172"/>
      <c r="Y36" t="s">
        <v>213</v>
      </c>
      <c r="AD36" s="101">
        <v>38</v>
      </c>
      <c r="AH36" s="388" t="s">
        <v>111</v>
      </c>
      <c r="AI36" s="380" t="s">
        <v>103</v>
      </c>
      <c r="AJ36" s="405" t="s">
        <v>214</v>
      </c>
      <c r="AK36" s="404" t="s">
        <v>103</v>
      </c>
      <c r="AL36" s="389" t="s">
        <v>215</v>
      </c>
      <c r="AM36" s="380" t="s">
        <v>103</v>
      </c>
    </row>
    <row r="37" spans="1:39">
      <c r="A37" s="184">
        <v>21308</v>
      </c>
      <c r="B37" s="184">
        <v>300</v>
      </c>
      <c r="C37" s="184">
        <v>599</v>
      </c>
      <c r="D37" s="185">
        <v>8.36</v>
      </c>
      <c r="E37" s="185">
        <v>8.7799999999999994</v>
      </c>
      <c r="F37" s="383"/>
      <c r="G37" s="186">
        <v>12.08</v>
      </c>
      <c r="H37" s="186">
        <v>14.49</v>
      </c>
      <c r="I37" s="186">
        <v>18.84</v>
      </c>
      <c r="J37" s="384"/>
      <c r="K37" s="186">
        <v>14.53</v>
      </c>
      <c r="L37" s="186">
        <v>15.67</v>
      </c>
      <c r="M37" s="186">
        <v>20.36</v>
      </c>
      <c r="N37" s="384"/>
      <c r="O37" s="186">
        <v>24.7</v>
      </c>
      <c r="P37" s="186">
        <v>26.63</v>
      </c>
      <c r="Q37" s="186">
        <v>34.619999999999997</v>
      </c>
      <c r="R37" s="331"/>
      <c r="S37" s="380">
        <v>21210</v>
      </c>
      <c r="T37" s="391">
        <f>IF(T29&lt;=C60,IF(T28=1,G60,IF(T28=2,H60,I60)),IF(T29&lt;=C61,IF(T28=1,G61,IF(T28=2,H61,I61)),IF(T29&lt;=C62,IF(T28=1,G62,IF(T28=2,H62,I62)),IF(T29&lt;=C63,IF(T28=1,G63,IF(T28=2,H63,I63)),IF(T29&lt;=C64,IF(T28=1,G64,IF(T28=2,H64,I64)),IF(T29&lt;=C65,IF(T28=1,G65,IF(T28=2,H65,I65))))))))</f>
        <v>8.4</v>
      </c>
      <c r="U37" s="391">
        <f>IF(U29&lt;=C60,IF(U28=1,K60,IF(U28=2,L60,M60)),IF(U29&lt;=C61,IF(U28=1,K61,IF(U28=2,L61,M61)),IF(U29&lt;=C62,IF(U28=1,K62,IF(U28=2,L62,M62)),IF(U29&lt;=C63,IF(U28=1,K63,IF(U28=2,L63,M63)),IF(U29&lt;=C64,IF(U28=1,K64,IF(U28=2,L64,M64)),IF(U29&lt;=C65,IF(U28=1,K65,IF(U28=2,L65,M65))))))))</f>
        <v>9.23</v>
      </c>
      <c r="V37" s="391">
        <f>IF(V29&lt;=C60,IF(V28=1,O60,IF(V28=2,P60,Q60)),IF(V29&lt;=C61,IF(V28=1,O61,IF(V28=2,P61,Q61)),IF(V29&lt;=C62,IF(V28=1,O62,IF(V28=2,P62,Q62)),IF(V29&lt;=C63,IF(V28=1,O63,IF(V28=2,P63,Q63)),IF(V29&lt;=C64,IF(V28=1,O64,IF(V28=2,P64,Q64)),IF(V29&lt;=C65,IF(V28=1,O65,IF(V28=2,P65,Q65))))))))</f>
        <v>15.69</v>
      </c>
      <c r="W37" s="172"/>
      <c r="Y37" s="380" t="str">
        <f>CONCATENATE(V21,IF(X21="","",CONCATENATE(".",X21)),"x",Y21,IF(Z21="","",CONCATENATE(".",Z21)),"x",U23)</f>
        <v>17.5x12.875x4</v>
      </c>
      <c r="Z37" s="380" t="str">
        <f>IFERROR(IF(VLOOKUP(U21,U11:U17,1,FALSE),"Yes","No"),"")</f>
        <v>Yes</v>
      </c>
      <c r="AD37" s="101">
        <v>39</v>
      </c>
      <c r="AH37" s="388" t="s">
        <v>116</v>
      </c>
      <c r="AI37" s="380" t="s">
        <v>103</v>
      </c>
      <c r="AJ37" s="405" t="s">
        <v>216</v>
      </c>
      <c r="AK37" s="404" t="s">
        <v>103</v>
      </c>
      <c r="AL37" s="389" t="s">
        <v>217</v>
      </c>
      <c r="AM37" s="380" t="s">
        <v>103</v>
      </c>
    </row>
    <row r="38" spans="1:39">
      <c r="A38" s="184">
        <v>21308</v>
      </c>
      <c r="B38" s="184">
        <v>600</v>
      </c>
      <c r="C38" s="184">
        <v>899</v>
      </c>
      <c r="D38" s="185">
        <v>10.15</v>
      </c>
      <c r="E38" s="185">
        <v>10.66</v>
      </c>
      <c r="F38" s="383"/>
      <c r="G38" s="186">
        <v>13.26</v>
      </c>
      <c r="H38" s="186">
        <v>17.39</v>
      </c>
      <c r="I38" s="186">
        <v>22.61</v>
      </c>
      <c r="J38" s="384"/>
      <c r="K38" s="186">
        <v>17.43</v>
      </c>
      <c r="L38" s="186">
        <v>18.8</v>
      </c>
      <c r="M38" s="186">
        <v>24.44</v>
      </c>
      <c r="N38" s="384"/>
      <c r="O38" s="186">
        <v>29.64</v>
      </c>
      <c r="P38" s="186">
        <v>31.96</v>
      </c>
      <c r="Q38" s="186">
        <v>41.54</v>
      </c>
      <c r="R38" s="331"/>
      <c r="S38" s="380">
        <v>21310</v>
      </c>
      <c r="T38" s="391">
        <f>IF(T29&lt;=C66,IF(T28=1,G66,IF(T28=2,H66,I66)),IF(T29&lt;=C67,IF(T28=1,G67,IF(T28=2,H67,I67)),IF(T29&lt;=C68,IF(T28=1,G68,IF(T28=2,H68,I68)),IF(T29&lt;=C69,IF(T28=1,G69,IF(T28=2,H69,I69)),IF(T29&lt;=C70,IF(T28=1,G70,IF(T28=2,H70,I70)),IF(T29&lt;=C71,IF(T28=1,G71,IF(T28=2,H71,I71))))))))</f>
        <v>9.24</v>
      </c>
      <c r="U38" s="391">
        <f>IF(U29&lt;=C66,IF(U28=1,K66,IF(U28=2,L66,M66)),IF(U29&lt;=C67,IF(U28=1,K67,IF(U28=2,L67,M67)),IF(U29&lt;=C68,IF(U28=1,K68,IF(U29=0,L68,M68)),IF(U29&lt;=C69,IF(U28=1,K69,IF(U28=2,L69,M69)),IF(U29&lt;=C70,IF(U28=1,K70,IF(U28=2,L70,M70)),IF(U29&lt;=C71,IF(U28=1,K71,IF(U28=2,L71,M71))))))))</f>
        <v>10.15</v>
      </c>
      <c r="V38" s="391">
        <f>IF(V29&lt;=C66,IF(V28=1,O66,IF(V28=2,P66,Q66)),IF(V29&lt;=C67,IF(V28=1,O67,IF(V28=2,P67,Q67)),IF(V29&lt;=C68,IF(V28=1,O68,IF(V28=2,P68,Q68)),IF(V29&lt;=C69,IF(V28=1,O69,IF(V28=2,P69,Q69)),IF(V29&lt;=C70,IF(V28=1,O70,IF(V28=2,P70,Q70)),IF(V29&lt;=C71,IF(V28=1,O71,IF(V28=2,P71,Q71))))))))</f>
        <v>17.260000000000002</v>
      </c>
      <c r="W38" s="172"/>
      <c r="X38" t="s">
        <v>218</v>
      </c>
      <c r="Y38" s="380" t="str">
        <f>IF('Pleats Calc'!G13='Pricing Logic Pleats'!AC8,"",IFERROR(IF(Z37="Yes",VLOOKUP(Y37,AL10:AM37,2,FALSE),VLOOKUP(Y37,AH11:AI99,2,FALSE)),""))</f>
        <v/>
      </c>
      <c r="AD38" s="101">
        <v>40</v>
      </c>
      <c r="AH38" s="388" t="s">
        <v>121</v>
      </c>
      <c r="AI38" s="380" t="s">
        <v>103</v>
      </c>
      <c r="AJ38" s="405" t="s">
        <v>219</v>
      </c>
      <c r="AK38" s="404" t="s">
        <v>103</v>
      </c>
    </row>
    <row r="39" spans="1:39">
      <c r="A39" s="184">
        <v>21308</v>
      </c>
      <c r="B39" s="184">
        <v>900</v>
      </c>
      <c r="C39" s="184">
        <v>1199</v>
      </c>
      <c r="D39" s="185" t="s">
        <v>220</v>
      </c>
      <c r="E39" s="185">
        <v>12.26</v>
      </c>
      <c r="F39" s="383"/>
      <c r="G39" s="186">
        <v>15.25</v>
      </c>
      <c r="H39" s="186">
        <v>20.87</v>
      </c>
      <c r="I39" s="186">
        <v>27.13</v>
      </c>
      <c r="J39" s="384"/>
      <c r="K39" s="186">
        <v>20.05</v>
      </c>
      <c r="L39" s="186">
        <v>22.56</v>
      </c>
      <c r="M39" s="186">
        <v>29.33</v>
      </c>
      <c r="N39" s="384"/>
      <c r="O39" s="186">
        <v>34.08</v>
      </c>
      <c r="P39" s="186">
        <v>38.35</v>
      </c>
      <c r="Q39" s="186">
        <v>49.85</v>
      </c>
      <c r="R39" s="331"/>
      <c r="S39" s="380">
        <v>22210</v>
      </c>
      <c r="T39" s="391">
        <f>IF(T29&lt;=C72,IF(T28=1,G72,IF(T28=2,H72,I72)),IF(T29&lt;=C73,IF(T28=1,G73,IF(T28=2,H73,I73)),IF(T29&lt;=C74,IF(T28=1,G74,IF(T28=2,H74,I74)),IF(T29&lt;=C75,IF(T28=1,G75,IF(T28=2,H75,I75)),IF(T29&lt;=C76,IF(T28=1,G76,IF(T28=2,H76,I76)),IF(T29&lt;=C77,IF(T28=1,G77,IF(T28=2,H77,I77))))))))</f>
        <v>9.4</v>
      </c>
      <c r="U39" s="391">
        <f>IF(U29&lt;=C72,IF(U28=1,K72,IF(U28=2,L72,M72)),IF(U29&lt;=C73,IF(U28=1,K73,IF(U28=2,L73,M73)),IF(U29&lt;=C74,IF(U28=1,K74,IF(U28=2,L74,M74)),IF(U29&lt;=C75,IF(U28=1,K75,IF(U28=2,L75,M75)),IF(U29&lt;=C76,IF(U28=1,K76,IF(U28=2,L76,M76)),IF(U29&lt;=C77,IF(U28=1,K77,IF(U28=2,L77,M77))))))))</f>
        <v>10.34</v>
      </c>
      <c r="V39" s="391">
        <f>IF(V29&lt;=C72,IF(V28=1,O72,IF(V28=2,P72,Q72)),IF(V29&lt;=C73,IF(V28=1,O73,IF(V28=2,P73,Q73)),IF(V29&lt;=C74,IF(V28=1,O74,IF(V28=2,P74,Q74)),IF(V29&lt;=C75,IF(V28=1,O75,IF(V28=2,P75,Q75)),IF(V29&lt;=C76,IF(V28=1,O76,IF(V28=2,P76,Q76)),IF(V29&lt;=C77,IF(V28=1,O77,IF(V28=2,P77,Q77))))))))</f>
        <v>17.579999999999998</v>
      </c>
      <c r="W39" s="172"/>
      <c r="X39" s="452" t="s">
        <v>221</v>
      </c>
      <c r="Y39" s="452"/>
      <c r="AD39" s="101">
        <v>41</v>
      </c>
      <c r="AH39" s="388" t="s">
        <v>222</v>
      </c>
      <c r="AI39" s="380" t="s">
        <v>103</v>
      </c>
      <c r="AJ39" s="405" t="s">
        <v>223</v>
      </c>
      <c r="AK39" s="404" t="s">
        <v>103</v>
      </c>
    </row>
    <row r="40" spans="1:39">
      <c r="A40" s="184">
        <v>21308</v>
      </c>
      <c r="B40" s="184">
        <v>1200</v>
      </c>
      <c r="C40" s="184">
        <v>1499</v>
      </c>
      <c r="D40" s="185" t="s">
        <v>224</v>
      </c>
      <c r="E40" s="185">
        <v>14.09</v>
      </c>
      <c r="F40" s="383"/>
      <c r="G40" s="186">
        <v>17.53</v>
      </c>
      <c r="H40" s="186">
        <v>25.04</v>
      </c>
      <c r="I40" s="186">
        <v>32.56</v>
      </c>
      <c r="J40" s="384"/>
      <c r="K40" s="186">
        <v>23.06</v>
      </c>
      <c r="L40" s="186">
        <v>27.07</v>
      </c>
      <c r="M40" s="186">
        <v>35.19</v>
      </c>
      <c r="N40" s="384"/>
      <c r="O40" s="186">
        <v>39.19</v>
      </c>
      <c r="P40" s="186">
        <v>46.02</v>
      </c>
      <c r="Q40" s="186">
        <v>59.82</v>
      </c>
      <c r="R40" s="331"/>
      <c r="S40" s="380">
        <v>23209</v>
      </c>
      <c r="T40" s="391" cm="1">
        <f t="array" ref="T40">IF($T$28=1,LOOKUP($U$22,1/(($U$22&gt;=min_23209)*($U$22&lt;=max_23209)),Single_23209_1),IF($T$28=2,LOOKUP($U$22,1/(($U$22&gt;=min_23209)*($U$22&lt;=max_23209)),Double_23209_1),LOOKUP($U$22,1/(($U$22&gt;=min_23209)*($U$22&lt;=max_23209)),Triple_23209_1)))</f>
        <v>10.87</v>
      </c>
      <c r="U40" s="391" cm="1">
        <f t="array" ref="U40">IF($T$28=1,LOOKUP($U$22,1/(($U$22&gt;=min_23209)*($U$22&lt;=max_23209)),Single_23209_2),IF($T$28=2,LOOKUP($U$22,1/(($U$22&gt;=min_23209)*($U$22&lt;=max_23209)),Double_23209_2),LOOKUP($U$22,1/(($U$22&gt;=min_23209)*($U$22&lt;=max_23209)),Triple_23209_2)))</f>
        <v>11.96</v>
      </c>
      <c r="V40" s="391" cm="1">
        <f t="array" ref="V40">IF($T$28=1,LOOKUP($U$22,1/(($U$22&gt;=min_23209)*($U$22&lt;=max_23209)),Single_23209_4),IF($T$28=2,LOOKUP($U$22,1/(($U$22&gt;=min_23209)*($U$22&lt;=max_23209)),Double_23209_4),LOOKUP($U$22,1/(($U$22&gt;=min_23209)*($U$22&lt;=max_23209)),Triple_23209_4)))</f>
        <v>20.329999999999998</v>
      </c>
      <c r="W40" s="172"/>
      <c r="X40" t="s">
        <v>225</v>
      </c>
      <c r="Y40" s="391">
        <f>'Pleats Calc'!F10+'Pleats Calc'!G10</f>
        <v>17.5</v>
      </c>
      <c r="AD40" s="101">
        <v>42</v>
      </c>
      <c r="AH40" s="380" t="s">
        <v>226</v>
      </c>
      <c r="AI40" s="380" t="s">
        <v>103</v>
      </c>
      <c r="AJ40" s="405" t="s">
        <v>227</v>
      </c>
      <c r="AK40" s="404" t="s">
        <v>103</v>
      </c>
    </row>
    <row r="41" spans="1:39">
      <c r="A41" s="184">
        <v>21308</v>
      </c>
      <c r="B41" s="184">
        <v>1500</v>
      </c>
      <c r="C41" s="184">
        <v>1799</v>
      </c>
      <c r="D41" s="185" t="s">
        <v>228</v>
      </c>
      <c r="E41" s="185">
        <v>16.21</v>
      </c>
      <c r="F41" s="383"/>
      <c r="G41" s="186">
        <v>20.16</v>
      </c>
      <c r="H41" s="186">
        <v>30.05</v>
      </c>
      <c r="I41" s="186">
        <v>39.07</v>
      </c>
      <c r="J41" s="384"/>
      <c r="K41" s="186">
        <v>26.51</v>
      </c>
      <c r="L41" s="186">
        <v>32.479999999999997</v>
      </c>
      <c r="M41" s="186">
        <v>42.23</v>
      </c>
      <c r="N41" s="384"/>
      <c r="O41" s="186">
        <v>45.07</v>
      </c>
      <c r="P41" s="186">
        <v>55.22</v>
      </c>
      <c r="Q41" s="186">
        <v>71.790000000000006</v>
      </c>
      <c r="R41" s="331"/>
      <c r="S41" s="380">
        <v>23309</v>
      </c>
      <c r="T41" s="391" cm="1">
        <f t="array" ref="T41">IF($T$28=1,LOOKUP($U$22,1/(($U$22&gt;=min_23309)*($U$22&lt;=max_23309)),Single_23309_1),IF($T$28=2,LOOKUP($U$22,1/(($U$22&gt;=min_23309)*($U$22&lt;=max_23309)),Double_23309_1),LOOKUP($U$22,1/(($U$22&gt;=min_23309)*($U$22&lt;=max_23309)),Triple_23309_1)))</f>
        <v>11.96</v>
      </c>
      <c r="U41" s="391" cm="1">
        <f t="array" ref="U41">IF($T$28=1,LOOKUP($U$22,1/(($U$22&gt;=min_23309)*($U$22&lt;=max_23309)),Single_23309_2),IF($T$28=2,LOOKUP($U$22,1/(($U$22&gt;=min_23309)*($U$22&lt;=max_23309)),Double_23309_2),LOOKUP($U$22,1/(($U$22&gt;=min_23309)*($U$22&lt;=max_23309)),Triple_23309_2)))</f>
        <v>13.15</v>
      </c>
      <c r="V41" s="391" cm="1">
        <f t="array" ref="V41">IF($T$28=1,LOOKUP($U$22,1/(($U$22&gt;=min_23309)*($U$22&lt;=max_23309)),Single_23309_4),IF($T$28=2,LOOKUP($U$22,1/(($U$22&gt;=min_23309)*($U$22&lt;=max_23309)),Double_23309_4),LOOKUP($U$22,1/(($U$22&gt;=min_23309)*($U$22&lt;=max_23309)),Triple_23309_4)))</f>
        <v>22.36</v>
      </c>
      <c r="W41" s="172"/>
      <c r="X41" t="s">
        <v>229</v>
      </c>
      <c r="Y41" s="391">
        <f>'Pleats Calc'!F11+'Pleats Calc'!G11</f>
        <v>12.875</v>
      </c>
      <c r="AD41" s="101">
        <v>43</v>
      </c>
      <c r="AH41" s="388" t="s">
        <v>230</v>
      </c>
      <c r="AI41" s="380" t="s">
        <v>103</v>
      </c>
      <c r="AJ41" s="405" t="s">
        <v>231</v>
      </c>
      <c r="AK41" s="404" t="s">
        <v>103</v>
      </c>
    </row>
    <row r="42" spans="1:39">
      <c r="A42" s="184">
        <v>21211</v>
      </c>
      <c r="B42" s="184">
        <v>1</v>
      </c>
      <c r="C42" s="184">
        <v>299</v>
      </c>
      <c r="D42" s="185">
        <v>7.84</v>
      </c>
      <c r="E42" s="185">
        <v>8.24</v>
      </c>
      <c r="F42" s="383"/>
      <c r="G42" s="186">
        <v>9.44</v>
      </c>
      <c r="H42" s="186">
        <v>12.96</v>
      </c>
      <c r="I42" s="186">
        <v>16.84</v>
      </c>
      <c r="J42" s="384"/>
      <c r="K42" s="186">
        <v>10.37</v>
      </c>
      <c r="L42" s="186">
        <v>14.72</v>
      </c>
      <c r="M42" s="186">
        <v>19.13</v>
      </c>
      <c r="N42" s="384"/>
      <c r="O42" s="186">
        <v>17.64</v>
      </c>
      <c r="P42" s="186">
        <v>25.02</v>
      </c>
      <c r="Q42" s="186">
        <v>32.520000000000003</v>
      </c>
      <c r="R42" s="331"/>
      <c r="S42" s="380">
        <v>23210</v>
      </c>
      <c r="T42" s="391" cm="1">
        <f t="array" ref="T42">IF($T$28=1,LOOKUP($U$22,1/(($U$22&gt;=min_23210)*($U$22&lt;=max_23210)),Single_23210_1),IF($T$28=2,LOOKUP($U$22,1/(($U$22&gt;=min_23210)*($U$22&lt;=max_23210)),Double_23210_1),LOOKUP($U$22,1/(($U$22&gt;=min_23210)*($U$22&lt;=max_23210)),Triple_23210_1)))</f>
        <v>11.42</v>
      </c>
      <c r="U42" s="391" cm="1">
        <f t="array" ref="U42">IF($T$28=1,LOOKUP($U$22,1/(($U$22&gt;=min_23210)*($U$22&lt;=max_23210)),Single_23210_2),IF($T$28=2,LOOKUP($U$22,1/(($U$22&gt;=min_23210)*($U$22&lt;=max_23210)),Double_23210_2),LOOKUP($U$22,1/(($U$22&gt;=min_23210)*($U$22&lt;=max_23210)),Triple_23210_2)))</f>
        <v>12.55</v>
      </c>
      <c r="V42" s="391" cm="1">
        <f t="array" ref="V42">IF($T$28=1,LOOKUP($U$22,1/(($U$22&gt;=min_23210)*($U$22&lt;=max_23210)),Single_23210_4),IF($T$28=2,LOOKUP($U$22,1/(($U$22&gt;=min_23210)*($U$22&lt;=max_23210)),Double_23210_4),LOOKUP($U$22,1/(($U$22&gt;=min_23210)*($U$22&lt;=max_23210)),Triple_23210_4)))</f>
        <v>21.34</v>
      </c>
      <c r="W42" s="172"/>
      <c r="X42" t="s">
        <v>160</v>
      </c>
      <c r="Y42" s="380" t="str" cm="1">
        <f t="array" ref="Y42:Z42">'Pleats Calc'!F15:G15</f>
        <v>4</v>
      </c>
      <c r="Z42">
        <v>0</v>
      </c>
      <c r="AD42" s="101">
        <v>44</v>
      </c>
      <c r="AH42" s="388" t="s">
        <v>232</v>
      </c>
      <c r="AI42" s="380" t="s">
        <v>103</v>
      </c>
      <c r="AJ42" s="405" t="s">
        <v>233</v>
      </c>
      <c r="AK42" s="404" t="s">
        <v>103</v>
      </c>
    </row>
    <row r="43" spans="1:39">
      <c r="A43" s="184">
        <v>21211</v>
      </c>
      <c r="B43" s="184">
        <v>300</v>
      </c>
      <c r="C43" s="184">
        <v>599</v>
      </c>
      <c r="D43" s="185">
        <v>9.61</v>
      </c>
      <c r="E43" s="185">
        <v>10.09</v>
      </c>
      <c r="F43" s="383"/>
      <c r="G43" s="186">
        <v>12.96</v>
      </c>
      <c r="H43" s="186">
        <v>15.55</v>
      </c>
      <c r="I43" s="186">
        <v>20.21</v>
      </c>
      <c r="J43" s="384"/>
      <c r="K43" s="186">
        <v>15.58</v>
      </c>
      <c r="L43" s="186">
        <v>16.8</v>
      </c>
      <c r="M43" s="186">
        <v>21.85</v>
      </c>
      <c r="N43" s="384"/>
      <c r="O43" s="186">
        <v>26.49</v>
      </c>
      <c r="P43" s="186">
        <v>28.57</v>
      </c>
      <c r="Q43" s="186">
        <v>37.14</v>
      </c>
      <c r="R43" s="331"/>
      <c r="S43" s="380">
        <v>23310</v>
      </c>
      <c r="T43" s="391" cm="1">
        <f t="array" ref="T43">IF($T$28=1,LOOKUP($U$22,1/(($U$22&gt;=min_23310)*($U$22&lt;=max_23310)),Single_23310_1),IF($T$28=2,LOOKUP($U$22,1/(($U$22&gt;=min_23310)*($U$22&lt;=max_23310)),Double_23310_1),LOOKUP($U$22,1/(($U$22&gt;=min_23310)*($U$22&lt;=max_23310)),Triple_23310_1)))</f>
        <v>12.56</v>
      </c>
      <c r="U43" s="391" cm="1">
        <f t="array" ref="U43">IF($T$28=1,LOOKUP($U$22,1/(($U$22&gt;=min_23310)*($U$22&lt;=max_23310)),Single_23310_2),IF($T$28=2,LOOKUP($U$22,1/(($U$22&gt;=min_23310)*($U$22&lt;=max_23310)),Double_23310_2),LOOKUP($U$22,1/(($U$22&gt;=min_23310)*($U$22&lt;=max_23310)),Triple_23310_2)))</f>
        <v>13.81</v>
      </c>
      <c r="V43" s="391" cm="1">
        <f t="array" ref="V43">IF($T$28=1,LOOKUP($U$22,1/(($U$22&gt;=min_23310)*($U$22&lt;=max_23310)),Single_23310_4),IF($T$28=2,LOOKUP($U$22,1/(($U$22&gt;=min_23310)*($U$22&lt;=max_23310)),Double_23310_4),LOOKUP($U$22,1/(($U$22&gt;=min_23310)*($U$22&lt;=max_23310)),Triple_23310_4)))</f>
        <v>23.48</v>
      </c>
      <c r="AD43" s="101">
        <v>45</v>
      </c>
      <c r="AH43" s="388" t="s">
        <v>126</v>
      </c>
      <c r="AI43" s="380" t="s">
        <v>103</v>
      </c>
      <c r="AJ43" s="405" t="s">
        <v>234</v>
      </c>
      <c r="AK43" s="404" t="s">
        <v>103</v>
      </c>
    </row>
    <row r="44" spans="1:39">
      <c r="A44" s="184">
        <v>21211</v>
      </c>
      <c r="B44" s="184">
        <v>600</v>
      </c>
      <c r="C44" s="184">
        <v>899</v>
      </c>
      <c r="D44" s="185">
        <v>11.67</v>
      </c>
      <c r="E44" s="185">
        <v>12.26</v>
      </c>
      <c r="F44" s="383"/>
      <c r="G44" s="186">
        <v>14.22</v>
      </c>
      <c r="H44" s="186">
        <v>18.66</v>
      </c>
      <c r="I44" s="186">
        <v>24.25</v>
      </c>
      <c r="J44" s="384"/>
      <c r="K44" s="186">
        <v>18.7</v>
      </c>
      <c r="L44" s="186">
        <v>20.170000000000002</v>
      </c>
      <c r="M44" s="186">
        <v>26.22</v>
      </c>
      <c r="N44" s="384"/>
      <c r="O44" s="186">
        <v>31.79</v>
      </c>
      <c r="P44" s="186">
        <v>34.28</v>
      </c>
      <c r="Q44" s="186">
        <v>44.57</v>
      </c>
      <c r="R44" s="331"/>
      <c r="S44" s="380">
        <v>23211</v>
      </c>
      <c r="T44" s="391" cm="1">
        <f t="array" ref="T44">IF($T$28=1,LOOKUP($U$22,1/(($U$22&gt;=min_23211)*($U$22&lt;=max_23211)),Single_23211_1),IF($T$28=2,LOOKUP($U$22,1/(($U$22&gt;=min_23211)*($U$22&lt;=max_23211)),Double_23211_1),LOOKUP($U$22,1/(($U$22&gt;=min_23211)*($U$22&lt;=max_23211)),Triple_23211_1)))</f>
        <v>12.83</v>
      </c>
      <c r="U44" s="391" cm="1">
        <f t="array" ref="U44">IF($T$28=1,LOOKUP($U$22,1/(($U$22&gt;=min_23211)*($U$22&lt;=max_23211)),Single_23211_2),IF($T$28=2,LOOKUP($U$22,1/(($U$22&gt;=min_23211)*($U$22&lt;=max_23211)),Double_23211_2),LOOKUP($U$22,1/(($U$22&gt;=min_23211)*($U$22&lt;=max_23211)),Triple_23211_2)))</f>
        <v>14.11</v>
      </c>
      <c r="V44" s="391" cm="1">
        <f t="array" ref="V44">IF($T$28=1,LOOKUP($U$22,1/(($U$22&gt;=min_23211)*($U$22&lt;=max_23211)),Single_23211_4),IF($T$28=2,LOOKUP($U$22,1/(($U$22&gt;=min_23211)*($U$22&lt;=max_23211)),Double_23211_4),LOOKUP($U$22,1/(($U$22&gt;=min_23211)*($U$22&lt;=max_23211)),Triple_23211_4)))</f>
        <v>23.98</v>
      </c>
      <c r="X44" s="452" t="s">
        <v>235</v>
      </c>
      <c r="Y44" s="452"/>
      <c r="AD44" s="101">
        <v>46</v>
      </c>
      <c r="AH44" s="388" t="s">
        <v>236</v>
      </c>
      <c r="AI44" s="380" t="s">
        <v>103</v>
      </c>
      <c r="AJ44" s="405" t="s">
        <v>237</v>
      </c>
      <c r="AK44" s="404" t="s">
        <v>103</v>
      </c>
    </row>
    <row r="45" spans="1:39">
      <c r="A45" s="184">
        <v>21211</v>
      </c>
      <c r="B45" s="184">
        <v>900</v>
      </c>
      <c r="C45" s="184">
        <v>1199</v>
      </c>
      <c r="D45" s="185">
        <v>13.42</v>
      </c>
      <c r="E45" s="185">
        <v>14.09</v>
      </c>
      <c r="F45" s="383"/>
      <c r="G45" s="186">
        <v>16.36</v>
      </c>
      <c r="H45" s="186">
        <v>22.39</v>
      </c>
      <c r="I45" s="186">
        <v>29.1</v>
      </c>
      <c r="J45" s="384"/>
      <c r="K45" s="186">
        <v>21.51</v>
      </c>
      <c r="L45" s="186">
        <v>24.2</v>
      </c>
      <c r="M45" s="186">
        <v>31.46</v>
      </c>
      <c r="N45" s="384"/>
      <c r="O45" s="186">
        <v>36.56</v>
      </c>
      <c r="P45" s="186">
        <v>41.14</v>
      </c>
      <c r="Q45" s="186">
        <v>53.48</v>
      </c>
      <c r="R45" s="331"/>
      <c r="S45" s="380">
        <v>23311</v>
      </c>
      <c r="T45" s="391" cm="1">
        <f t="array" ref="T45">IF($T$28=1,LOOKUP($U$22,1/(($U$22&gt;=min_23311)*($U$22&lt;=max_23311)),Single_23311_1),IF($T$28=2,LOOKUP($U$22,1/(($U$22&gt;=min_23311)*($U$22&lt;=max_23311)),Double_23311_1),LOOKUP($U$22,1/(($U$22&gt;=min_23311)*($U$22&lt;=max_23311)),Triple_23311_1)))</f>
        <v>14.11</v>
      </c>
      <c r="U45" s="391" cm="1">
        <f t="array" ref="U45">IF($T$28=1,LOOKUP($U$22,1/(($U$22&gt;=min_23311)*($U$22&lt;=max_23311)),Single_23311_2),IF($T$28=2,LOOKUP($U$22,1/(($U$22&gt;=min_23311)*($U$22&lt;=max_23311)),Double_23311_2),LOOKUP($U$22,1/(($U$22&gt;=min_23311)*($U$22&lt;=max_23311)),Triple_23311_2)))</f>
        <v>15.52</v>
      </c>
      <c r="V45" s="391" cm="1">
        <f t="array" ref="V45">IF($T$28=1,LOOKUP($U$22,1/(($U$22&gt;=min_23311)*($U$22&lt;=max_23311)),Single_23311_4),IF($T$28=2,LOOKUP($U$22,1/(($U$22&gt;=min_23311)*($U$22&lt;=max_23311)),Double_23311_4),LOOKUP($U$22,1/(($U$22&gt;=min_23311)*($U$22&lt;=max_23311)),Triple_23311_4)))</f>
        <v>26.38</v>
      </c>
      <c r="W45" s="110"/>
      <c r="X45" t="s">
        <v>28</v>
      </c>
      <c r="Y45" s="380">
        <f>IF(U23=4,6,12)</f>
        <v>12</v>
      </c>
      <c r="AD45" s="101">
        <v>47</v>
      </c>
      <c r="AH45" s="388" t="s">
        <v>238</v>
      </c>
      <c r="AI45" s="380" t="s">
        <v>103</v>
      </c>
      <c r="AJ45" s="405" t="s">
        <v>239</v>
      </c>
      <c r="AK45" s="404" t="s">
        <v>103</v>
      </c>
    </row>
    <row r="46" spans="1:39">
      <c r="A46" s="184">
        <v>21211</v>
      </c>
      <c r="B46" s="184">
        <v>1200</v>
      </c>
      <c r="C46" s="184">
        <v>1499</v>
      </c>
      <c r="D46" s="185">
        <v>15.44</v>
      </c>
      <c r="E46" s="185">
        <v>16.21</v>
      </c>
      <c r="F46" s="383"/>
      <c r="G46" s="186">
        <v>18.809999999999999</v>
      </c>
      <c r="H46" s="186">
        <v>26.86</v>
      </c>
      <c r="I46" s="186">
        <v>34.92</v>
      </c>
      <c r="J46" s="384"/>
      <c r="K46" s="186">
        <v>24.73</v>
      </c>
      <c r="L46" s="186">
        <v>29.04</v>
      </c>
      <c r="M46" s="186">
        <v>37.75</v>
      </c>
      <c r="N46" s="384"/>
      <c r="O46" s="186">
        <v>42.04</v>
      </c>
      <c r="P46" s="186">
        <v>49.37</v>
      </c>
      <c r="Q46" s="186">
        <v>64.17</v>
      </c>
      <c r="R46" s="331"/>
      <c r="S46" s="380">
        <v>23213</v>
      </c>
      <c r="T46" s="391" cm="1">
        <f t="array" ref="T46">IF($T$28=1,LOOKUP($U$22,1/(($U$22&gt;=min_23213)*($U$22&lt;=max_23213)),Single_23213_1),IF($T$28=2,LOOKUP($U$22,1/(($U$22&gt;=min_23213)*($U$22&lt;=max_23213)),Double_23213_1),LOOKUP($U$22,1/(($U$22&gt;=min_23213)*($U$22&lt;=max_23213)),Triple_23213_1)))</f>
        <v>15.14</v>
      </c>
      <c r="U46" s="391" cm="1">
        <f t="array" ref="U46">IF($T$28=1,LOOKUP($U$22,1/(($U$22&gt;=min_23213)*($U$22&lt;=max_23213)),Single_23213_2),IF($T$28=2,LOOKUP($U$22,1/(($U$22&gt;=min_23213)*($U$22&lt;=max_23213)),Double_23213_2),LOOKUP($U$22,1/(($U$22&gt;=min_23213)*($U$22&lt;=max_23213)),Triple_23213_2)))</f>
        <v>16.649999999999999</v>
      </c>
      <c r="V46" s="391" cm="1">
        <f t="array" ref="V46">IF($T$28=1,LOOKUP($U$22,1/(($U$22&gt;=min_23213)*($U$22&lt;=max_23213)),Single_23213_4),IF($T$28=2,LOOKUP($U$22,1/(($U$22&gt;=min_23213)*($U$22&lt;=max_23213)),Double_23213_4),LOOKUP($U$22,1/(($U$22&gt;=min_23213)*($U$22&lt;=max_23213)),Triple_23213_4)))</f>
        <v>28.3</v>
      </c>
      <c r="W46" s="110"/>
      <c r="X46" s="110" t="s">
        <v>29</v>
      </c>
      <c r="Y46" s="402">
        <f>IFERROR(ROUND(Y32*'Pricing Logic Pleats'!Y45,2),"Contact Regional Sales Director")</f>
        <v>287.76</v>
      </c>
      <c r="AD46" s="101">
        <v>48</v>
      </c>
      <c r="AH46" s="380" t="s">
        <v>240</v>
      </c>
      <c r="AI46" s="380" t="s">
        <v>103</v>
      </c>
      <c r="AJ46" s="405" t="s">
        <v>241</v>
      </c>
      <c r="AK46" s="404" t="s">
        <v>103</v>
      </c>
    </row>
    <row r="47" spans="1:39">
      <c r="A47" s="184">
        <v>21211</v>
      </c>
      <c r="B47" s="184">
        <v>1500</v>
      </c>
      <c r="C47" s="184">
        <v>1799</v>
      </c>
      <c r="D47" s="185" t="s">
        <v>242</v>
      </c>
      <c r="E47" s="185">
        <v>18.64</v>
      </c>
      <c r="F47" s="383"/>
      <c r="G47" s="186">
        <v>21.63</v>
      </c>
      <c r="H47" s="186">
        <v>32.24</v>
      </c>
      <c r="I47" s="186">
        <v>41.91</v>
      </c>
      <c r="J47" s="384"/>
      <c r="K47" s="186">
        <v>28.44</v>
      </c>
      <c r="L47" s="186">
        <v>34.85</v>
      </c>
      <c r="M47" s="186">
        <v>45.3</v>
      </c>
      <c r="N47" s="384"/>
      <c r="O47" s="186">
        <v>48.35</v>
      </c>
      <c r="P47" s="186">
        <v>59.24</v>
      </c>
      <c r="Q47" s="186">
        <v>77.010000000000005</v>
      </c>
      <c r="R47" s="331"/>
      <c r="T47" s="171"/>
      <c r="U47" s="171"/>
      <c r="V47" s="171"/>
      <c r="AD47" s="101">
        <v>49</v>
      </c>
      <c r="AH47" s="388" t="s">
        <v>131</v>
      </c>
      <c r="AI47" s="380" t="s">
        <v>103</v>
      </c>
      <c r="AJ47" s="405" t="s">
        <v>243</v>
      </c>
      <c r="AK47" s="404" t="s">
        <v>103</v>
      </c>
    </row>
    <row r="48" spans="1:39">
      <c r="A48" s="184">
        <v>21311</v>
      </c>
      <c r="B48" s="184">
        <v>1</v>
      </c>
      <c r="C48" s="184">
        <v>299</v>
      </c>
      <c r="D48" s="185">
        <v>8.24</v>
      </c>
      <c r="E48" s="185">
        <v>8.65</v>
      </c>
      <c r="F48" s="383"/>
      <c r="G48" s="186">
        <v>10.38</v>
      </c>
      <c r="H48" s="186">
        <v>14.25</v>
      </c>
      <c r="I48" s="186">
        <v>18.53</v>
      </c>
      <c r="J48" s="384"/>
      <c r="K48" s="186">
        <v>11.41</v>
      </c>
      <c r="L48" s="186">
        <v>16.190000000000001</v>
      </c>
      <c r="M48" s="186">
        <v>21.05</v>
      </c>
      <c r="N48" s="384"/>
      <c r="O48" s="186">
        <v>19.399999999999999</v>
      </c>
      <c r="P48" s="186">
        <v>27.52</v>
      </c>
      <c r="Q48" s="186">
        <v>35.78</v>
      </c>
      <c r="R48" s="331"/>
      <c r="T48" s="450" t="s">
        <v>244</v>
      </c>
      <c r="U48" s="450"/>
      <c r="V48" s="450"/>
      <c r="AD48" s="101">
        <v>50</v>
      </c>
      <c r="AH48" s="388" t="s">
        <v>245</v>
      </c>
      <c r="AI48" s="380" t="s">
        <v>103</v>
      </c>
      <c r="AJ48" s="405" t="s">
        <v>246</v>
      </c>
      <c r="AK48" s="404" t="s">
        <v>103</v>
      </c>
    </row>
    <row r="49" spans="1:37">
      <c r="A49" s="184">
        <v>21311</v>
      </c>
      <c r="B49" s="184">
        <v>300</v>
      </c>
      <c r="C49" s="184">
        <v>599</v>
      </c>
      <c r="D49" s="185">
        <v>10.09</v>
      </c>
      <c r="E49" s="185" t="s">
        <v>247</v>
      </c>
      <c r="F49" s="383"/>
      <c r="G49" s="186">
        <v>14.25</v>
      </c>
      <c r="H49" s="186">
        <v>17.100000000000001</v>
      </c>
      <c r="I49" s="186">
        <v>22.23</v>
      </c>
      <c r="J49" s="384"/>
      <c r="K49" s="186">
        <v>17.14</v>
      </c>
      <c r="L49" s="186">
        <v>18.489999999999998</v>
      </c>
      <c r="M49" s="186">
        <v>24.03</v>
      </c>
      <c r="N49" s="384"/>
      <c r="O49" s="186">
        <v>29.14</v>
      </c>
      <c r="P49" s="186">
        <v>31.42</v>
      </c>
      <c r="Q49" s="186">
        <v>40.85</v>
      </c>
      <c r="R49" s="331"/>
      <c r="T49" s="16" t="s">
        <v>248</v>
      </c>
      <c r="U49" s="16" t="s">
        <v>225</v>
      </c>
      <c r="V49" s="16" t="s">
        <v>229</v>
      </c>
      <c r="AD49" s="101">
        <v>51</v>
      </c>
      <c r="AH49" s="388" t="s">
        <v>249</v>
      </c>
      <c r="AI49" s="380" t="s">
        <v>103</v>
      </c>
      <c r="AJ49" s="405" t="s">
        <v>250</v>
      </c>
      <c r="AK49" s="404" t="s">
        <v>103</v>
      </c>
    </row>
    <row r="50" spans="1:37">
      <c r="A50" s="184">
        <v>21311</v>
      </c>
      <c r="B50" s="184">
        <v>600</v>
      </c>
      <c r="C50" s="184">
        <v>899</v>
      </c>
      <c r="D50" s="185">
        <v>12.26</v>
      </c>
      <c r="E50" s="185">
        <v>12.87</v>
      </c>
      <c r="F50" s="383"/>
      <c r="G50" s="186">
        <v>15.65</v>
      </c>
      <c r="H50" s="186">
        <v>20.52</v>
      </c>
      <c r="I50" s="186">
        <v>26.68</v>
      </c>
      <c r="J50" s="384"/>
      <c r="K50" s="186">
        <v>20.57</v>
      </c>
      <c r="L50" s="186">
        <v>22.18</v>
      </c>
      <c r="M50" s="186">
        <v>28.84</v>
      </c>
      <c r="N50" s="384"/>
      <c r="O50" s="186">
        <v>34.97</v>
      </c>
      <c r="P50" s="186">
        <v>37.71</v>
      </c>
      <c r="Q50" s="186">
        <v>49.02</v>
      </c>
      <c r="R50" s="331"/>
      <c r="T50" t="s">
        <v>251</v>
      </c>
      <c r="U50" s="380">
        <v>24</v>
      </c>
      <c r="V50" s="380">
        <v>30</v>
      </c>
      <c r="AD50" s="101">
        <v>52</v>
      </c>
      <c r="AH50" s="388" t="s">
        <v>136</v>
      </c>
      <c r="AI50" s="380" t="s">
        <v>103</v>
      </c>
      <c r="AJ50" s="405" t="s">
        <v>252</v>
      </c>
      <c r="AK50" s="404" t="s">
        <v>103</v>
      </c>
    </row>
    <row r="51" spans="1:37">
      <c r="A51" s="184">
        <v>21311</v>
      </c>
      <c r="B51" s="184">
        <v>900</v>
      </c>
      <c r="C51" s="184">
        <v>1199</v>
      </c>
      <c r="D51" s="185">
        <v>14.09</v>
      </c>
      <c r="E51" s="185" t="s">
        <v>253</v>
      </c>
      <c r="F51" s="383"/>
      <c r="G51" s="186">
        <v>17.989999999999998</v>
      </c>
      <c r="H51" s="186">
        <v>24.63</v>
      </c>
      <c r="I51" s="186">
        <v>32.01</v>
      </c>
      <c r="J51" s="384"/>
      <c r="K51" s="186">
        <v>23.66</v>
      </c>
      <c r="L51" s="186">
        <v>26.62</v>
      </c>
      <c r="M51" s="186">
        <v>34.6</v>
      </c>
      <c r="N51" s="384"/>
      <c r="O51" s="186">
        <v>40.22</v>
      </c>
      <c r="P51" s="186">
        <v>45.25</v>
      </c>
      <c r="Q51" s="186">
        <v>58.83</v>
      </c>
      <c r="R51" s="331"/>
      <c r="T51" t="s">
        <v>254</v>
      </c>
      <c r="U51" s="380">
        <f>U50*2</f>
        <v>48</v>
      </c>
      <c r="V51" s="380">
        <f>V50*2</f>
        <v>60</v>
      </c>
      <c r="AD51" s="101">
        <v>53</v>
      </c>
      <c r="AH51" s="388" t="s">
        <v>139</v>
      </c>
      <c r="AI51" s="380" t="s">
        <v>103</v>
      </c>
      <c r="AJ51" s="405" t="s">
        <v>255</v>
      </c>
      <c r="AK51" s="404" t="s">
        <v>103</v>
      </c>
    </row>
    <row r="52" spans="1:37">
      <c r="A52" s="184">
        <v>21311</v>
      </c>
      <c r="B52" s="184">
        <v>1200</v>
      </c>
      <c r="C52" s="184">
        <v>1499</v>
      </c>
      <c r="D52" s="185">
        <v>16.21</v>
      </c>
      <c r="E52" s="185">
        <v>17.02</v>
      </c>
      <c r="F52" s="383"/>
      <c r="G52" s="186">
        <v>20.69</v>
      </c>
      <c r="H52" s="186">
        <v>29.55</v>
      </c>
      <c r="I52" s="186">
        <v>38.42</v>
      </c>
      <c r="J52" s="384"/>
      <c r="K52" s="186">
        <v>27.21</v>
      </c>
      <c r="L52" s="186">
        <v>31.94</v>
      </c>
      <c r="M52" s="186">
        <v>41.52</v>
      </c>
      <c r="N52" s="384"/>
      <c r="O52" s="186">
        <v>46.25</v>
      </c>
      <c r="P52" s="186">
        <v>54.3</v>
      </c>
      <c r="Q52" s="186">
        <v>70.59</v>
      </c>
      <c r="R52" s="331"/>
      <c r="T52" t="s">
        <v>256</v>
      </c>
      <c r="U52" s="380">
        <v>25</v>
      </c>
      <c r="V52" s="380">
        <v>29</v>
      </c>
      <c r="AD52" s="101">
        <v>54</v>
      </c>
      <c r="AH52" s="388" t="s">
        <v>257</v>
      </c>
      <c r="AI52" s="380" t="s">
        <v>103</v>
      </c>
      <c r="AJ52" s="405" t="s">
        <v>258</v>
      </c>
      <c r="AK52" s="404" t="s">
        <v>103</v>
      </c>
    </row>
    <row r="53" spans="1:37">
      <c r="A53" s="184">
        <v>21311</v>
      </c>
      <c r="B53" s="184">
        <v>1500</v>
      </c>
      <c r="C53" s="184">
        <v>1799</v>
      </c>
      <c r="D53" s="185">
        <v>18.64</v>
      </c>
      <c r="E53" s="185">
        <v>19.57</v>
      </c>
      <c r="F53" s="383"/>
      <c r="G53" s="186">
        <v>23.79</v>
      </c>
      <c r="H53" s="186">
        <v>35.46</v>
      </c>
      <c r="I53" s="186">
        <v>46.1</v>
      </c>
      <c r="J53" s="384"/>
      <c r="K53" s="186">
        <v>31.29</v>
      </c>
      <c r="L53" s="186">
        <v>38.33</v>
      </c>
      <c r="M53" s="186">
        <v>49.83</v>
      </c>
      <c r="N53" s="384"/>
      <c r="O53" s="186">
        <v>53.19</v>
      </c>
      <c r="P53" s="186">
        <v>65.16</v>
      </c>
      <c r="Q53" s="186">
        <v>84.71</v>
      </c>
      <c r="R53" s="331"/>
      <c r="T53" t="s">
        <v>256</v>
      </c>
      <c r="U53" s="380">
        <f>U52*2</f>
        <v>50</v>
      </c>
      <c r="V53" s="380">
        <f>V52*2</f>
        <v>58</v>
      </c>
      <c r="AD53" s="101">
        <v>55</v>
      </c>
      <c r="AH53" s="388" t="s">
        <v>259</v>
      </c>
      <c r="AI53" s="380" t="s">
        <v>103</v>
      </c>
    </row>
    <row r="54" spans="1:37">
      <c r="A54" s="184">
        <v>21213</v>
      </c>
      <c r="B54" s="184">
        <v>1</v>
      </c>
      <c r="C54" s="184">
        <v>299</v>
      </c>
      <c r="D54" s="185">
        <v>8.65</v>
      </c>
      <c r="E54" s="185">
        <v>9.08</v>
      </c>
      <c r="F54" s="383"/>
      <c r="G54" s="186">
        <v>12.25</v>
      </c>
      <c r="H54" s="186">
        <v>16.82</v>
      </c>
      <c r="I54" s="186">
        <v>21.86</v>
      </c>
      <c r="J54" s="384"/>
      <c r="K54" s="186">
        <v>13.47</v>
      </c>
      <c r="L54" s="186">
        <v>19.100000000000001</v>
      </c>
      <c r="M54" s="186">
        <v>24.83</v>
      </c>
      <c r="N54" s="384"/>
      <c r="O54" s="186">
        <v>22.89</v>
      </c>
      <c r="P54" s="186">
        <v>32.47</v>
      </c>
      <c r="Q54" s="186">
        <v>42.22</v>
      </c>
      <c r="R54" s="331"/>
      <c r="T54" t="s">
        <v>260</v>
      </c>
      <c r="U54">
        <v>36</v>
      </c>
      <c r="AD54" s="101">
        <v>56</v>
      </c>
      <c r="AH54" s="388" t="s">
        <v>261</v>
      </c>
      <c r="AI54" s="380" t="s">
        <v>103</v>
      </c>
    </row>
    <row r="55" spans="1:37">
      <c r="A55" s="184">
        <v>21213</v>
      </c>
      <c r="B55" s="184">
        <v>300</v>
      </c>
      <c r="C55" s="184">
        <v>599</v>
      </c>
      <c r="D55" s="185" t="s">
        <v>247</v>
      </c>
      <c r="E55" s="185">
        <v>11.13</v>
      </c>
      <c r="F55" s="383"/>
      <c r="G55" s="186">
        <v>16.82</v>
      </c>
      <c r="H55" s="186">
        <v>20.18</v>
      </c>
      <c r="I55" s="186">
        <v>26.23</v>
      </c>
      <c r="J55" s="384"/>
      <c r="K55" s="186">
        <v>20.23</v>
      </c>
      <c r="L55" s="186">
        <v>21.81</v>
      </c>
      <c r="M55" s="186">
        <v>28.36</v>
      </c>
      <c r="N55" s="384"/>
      <c r="O55" s="186">
        <v>34.39</v>
      </c>
      <c r="P55" s="186">
        <v>37.08</v>
      </c>
      <c r="Q55" s="186">
        <v>48.21</v>
      </c>
      <c r="R55" s="331"/>
      <c r="AD55" s="101">
        <v>57</v>
      </c>
      <c r="AH55" s="388" t="s">
        <v>262</v>
      </c>
      <c r="AI55" s="380" t="s">
        <v>103</v>
      </c>
    </row>
    <row r="56" spans="1:37">
      <c r="A56" s="184">
        <v>21213</v>
      </c>
      <c r="B56" s="184">
        <v>600</v>
      </c>
      <c r="C56" s="184">
        <v>899</v>
      </c>
      <c r="D56" s="185">
        <v>12.87</v>
      </c>
      <c r="E56" s="185">
        <v>13.51</v>
      </c>
      <c r="F56" s="383"/>
      <c r="G56" s="186">
        <v>18.46</v>
      </c>
      <c r="H56" s="186">
        <v>24.22</v>
      </c>
      <c r="I56" s="186">
        <v>31.48</v>
      </c>
      <c r="J56" s="384"/>
      <c r="K56" s="186">
        <v>24.27</v>
      </c>
      <c r="L56" s="186">
        <v>26.17</v>
      </c>
      <c r="M56" s="186">
        <v>34.03</v>
      </c>
      <c r="N56" s="384"/>
      <c r="O56" s="186">
        <v>41.27</v>
      </c>
      <c r="P56" s="186">
        <v>44.5</v>
      </c>
      <c r="Q56" s="186">
        <v>57.85</v>
      </c>
      <c r="R56" s="331"/>
      <c r="U56" s="16" t="s">
        <v>263</v>
      </c>
      <c r="AD56" s="101">
        <v>58</v>
      </c>
      <c r="AH56" s="388" t="s">
        <v>143</v>
      </c>
      <c r="AI56" s="380" t="s">
        <v>103</v>
      </c>
    </row>
    <row r="57" spans="1:37">
      <c r="A57" s="184">
        <v>21213</v>
      </c>
      <c r="B57" s="184">
        <v>900</v>
      </c>
      <c r="C57" s="184">
        <v>1199</v>
      </c>
      <c r="D57" s="185">
        <v>14.8</v>
      </c>
      <c r="E57" s="185">
        <v>15.54</v>
      </c>
      <c r="F57" s="383"/>
      <c r="G57" s="186">
        <v>21.23</v>
      </c>
      <c r="H57" s="186">
        <v>29.06</v>
      </c>
      <c r="I57" s="186">
        <v>37.78</v>
      </c>
      <c r="J57" s="384"/>
      <c r="K57" s="186">
        <v>27.92</v>
      </c>
      <c r="L57" s="186">
        <v>31.41</v>
      </c>
      <c r="M57" s="186">
        <v>40.83</v>
      </c>
      <c r="N57" s="384"/>
      <c r="O57" s="186">
        <v>47.46</v>
      </c>
      <c r="P57" s="186">
        <v>53.4</v>
      </c>
      <c r="Q57" s="186">
        <v>69.42</v>
      </c>
      <c r="R57" s="331"/>
      <c r="T57" s="16" t="s">
        <v>264</v>
      </c>
      <c r="U57" s="380">
        <f>IF(AND(Y40&lt;=U50,Y41&lt;=V50),1,IF(AND(Y40&lt;=U50,Y41&lt;=V51),2,IF(AND(Y40&lt;=U51,Y41&lt;=V50),2,IF(AND(Y40&lt;=U50,Y41&gt;V51),3,IF(AND(Y40&gt;U51,Y41&lt;=V50),3,4)))))</f>
        <v>1</v>
      </c>
      <c r="AD57" s="101">
        <v>59</v>
      </c>
      <c r="AH57" s="388" t="s">
        <v>265</v>
      </c>
      <c r="AI57" s="380" t="s">
        <v>103</v>
      </c>
    </row>
    <row r="58" spans="1:37">
      <c r="A58" s="184">
        <v>21213</v>
      </c>
      <c r="B58" s="184">
        <v>1200</v>
      </c>
      <c r="C58" s="184">
        <v>1499</v>
      </c>
      <c r="D58" s="185">
        <v>17.02</v>
      </c>
      <c r="E58" s="185">
        <v>17.87</v>
      </c>
      <c r="F58" s="383"/>
      <c r="G58" s="186">
        <v>24.42</v>
      </c>
      <c r="H58" s="186">
        <v>34.869999999999997</v>
      </c>
      <c r="I58" s="186">
        <v>45.33</v>
      </c>
      <c r="J58" s="384"/>
      <c r="K58" s="186">
        <v>32.1</v>
      </c>
      <c r="L58" s="186">
        <v>37.69</v>
      </c>
      <c r="M58" s="186">
        <v>49</v>
      </c>
      <c r="N58" s="384"/>
      <c r="O58" s="186">
        <v>54.57</v>
      </c>
      <c r="P58" s="186">
        <v>64.08</v>
      </c>
      <c r="Q58" s="186">
        <v>83.3</v>
      </c>
      <c r="R58" s="331"/>
      <c r="T58" s="16" t="s">
        <v>266</v>
      </c>
      <c r="U58" s="380">
        <f>IF(AND(Y40&lt;=U52,Y41&lt;=V52),1,IF(AND(Y40&lt;=U52,Y41&lt;=V53),2,IF(AND(Y40&lt;=U53,Y41&lt;=V52),2,IF(AND(Y40&lt;=U52,Y41&gt;V53),3,IF(AND(Y40&gt;U53,Y41&lt;=V52),3,4)))))</f>
        <v>1</v>
      </c>
      <c r="AD58" s="101">
        <v>60</v>
      </c>
      <c r="AH58" s="388" t="s">
        <v>267</v>
      </c>
      <c r="AI58" s="380" t="s">
        <v>103</v>
      </c>
    </row>
    <row r="59" spans="1:37">
      <c r="A59" s="184">
        <v>21213</v>
      </c>
      <c r="B59" s="184">
        <v>1500</v>
      </c>
      <c r="C59" s="184">
        <v>1799</v>
      </c>
      <c r="D59" s="185">
        <v>19.57</v>
      </c>
      <c r="E59" s="185">
        <v>20.55</v>
      </c>
      <c r="F59" s="383"/>
      <c r="G59" s="186">
        <v>28.08</v>
      </c>
      <c r="H59" s="186">
        <v>41.84</v>
      </c>
      <c r="I59" s="186">
        <v>54.4</v>
      </c>
      <c r="J59" s="384"/>
      <c r="K59" s="186">
        <v>36.92</v>
      </c>
      <c r="L59" s="186">
        <v>45.23</v>
      </c>
      <c r="M59" s="186">
        <v>58.8</v>
      </c>
      <c r="N59" s="384"/>
      <c r="O59" s="186">
        <v>62.76</v>
      </c>
      <c r="P59" s="186">
        <v>76.89</v>
      </c>
      <c r="Q59" s="186">
        <v>99.96</v>
      </c>
      <c r="R59" s="331"/>
      <c r="AD59" s="101">
        <v>61</v>
      </c>
      <c r="AH59" s="388" t="s">
        <v>268</v>
      </c>
      <c r="AI59" s="380" t="s">
        <v>103</v>
      </c>
    </row>
    <row r="60" spans="1:37">
      <c r="A60" s="184">
        <v>21210</v>
      </c>
      <c r="B60" s="184">
        <v>1</v>
      </c>
      <c r="C60" s="184">
        <v>299</v>
      </c>
      <c r="D60" s="393">
        <v>6.0584999999999996</v>
      </c>
      <c r="E60" s="393">
        <v>6.3629999999999995</v>
      </c>
      <c r="F60" s="394"/>
      <c r="G60" s="186">
        <v>8.4</v>
      </c>
      <c r="H60" s="186">
        <v>11.53</v>
      </c>
      <c r="I60" s="186">
        <v>14.99</v>
      </c>
      <c r="J60" s="384"/>
      <c r="K60" s="186">
        <v>9.23</v>
      </c>
      <c r="L60" s="186">
        <v>13.1</v>
      </c>
      <c r="M60" s="186">
        <v>17.02</v>
      </c>
      <c r="N60" s="384"/>
      <c r="O60" s="186">
        <v>15.69</v>
      </c>
      <c r="P60" s="186">
        <v>22.26</v>
      </c>
      <c r="Q60" s="186">
        <v>28.94</v>
      </c>
      <c r="R60" s="331"/>
      <c r="T60" s="380" t="s">
        <v>269</v>
      </c>
      <c r="AD60" s="101">
        <v>62</v>
      </c>
      <c r="AH60" s="388" t="s">
        <v>270</v>
      </c>
      <c r="AI60" s="380" t="s">
        <v>103</v>
      </c>
    </row>
    <row r="61" spans="1:37">
      <c r="A61" s="184">
        <v>21210</v>
      </c>
      <c r="B61" s="184">
        <v>300</v>
      </c>
      <c r="C61" s="184">
        <v>599</v>
      </c>
      <c r="D61" s="393">
        <v>7.6754999999999995</v>
      </c>
      <c r="E61" s="393">
        <v>8.0640000000000001</v>
      </c>
      <c r="F61" s="394"/>
      <c r="G61" s="186">
        <v>11.53</v>
      </c>
      <c r="H61" s="186">
        <v>13.83</v>
      </c>
      <c r="I61" s="186">
        <v>17.98</v>
      </c>
      <c r="J61" s="384"/>
      <c r="K61" s="186">
        <v>13.87</v>
      </c>
      <c r="L61" s="186">
        <v>14.95</v>
      </c>
      <c r="M61" s="186">
        <v>19.440000000000001</v>
      </c>
      <c r="N61" s="384"/>
      <c r="O61" s="186">
        <v>23.57</v>
      </c>
      <c r="P61" s="186">
        <v>25.42</v>
      </c>
      <c r="Q61" s="186">
        <v>33.049999999999997</v>
      </c>
      <c r="R61" s="331"/>
      <c r="AD61" s="101">
        <v>63</v>
      </c>
      <c r="AH61" s="388" t="s">
        <v>271</v>
      </c>
      <c r="AI61" s="380" t="s">
        <v>103</v>
      </c>
    </row>
    <row r="62" spans="1:37">
      <c r="A62" s="184">
        <v>21210</v>
      </c>
      <c r="B62" s="184">
        <v>600</v>
      </c>
      <c r="C62" s="184">
        <v>899</v>
      </c>
      <c r="D62" s="393">
        <v>9.5549999999999997</v>
      </c>
      <c r="E62" s="393">
        <v>10.038</v>
      </c>
      <c r="F62" s="394"/>
      <c r="G62" s="186">
        <v>12.66</v>
      </c>
      <c r="H62" s="186">
        <v>16.600000000000001</v>
      </c>
      <c r="I62" s="186">
        <v>21.58</v>
      </c>
      <c r="J62" s="384"/>
      <c r="K62" s="186">
        <v>16.64</v>
      </c>
      <c r="L62" s="186">
        <v>17.940000000000001</v>
      </c>
      <c r="M62" s="186">
        <v>23.33</v>
      </c>
      <c r="N62" s="384"/>
      <c r="O62" s="186">
        <v>28.29</v>
      </c>
      <c r="P62" s="186">
        <v>30.5</v>
      </c>
      <c r="Q62" s="186">
        <v>39.659999999999997</v>
      </c>
      <c r="R62" s="331"/>
      <c r="AD62" s="101">
        <v>64</v>
      </c>
      <c r="AH62" s="388" t="s">
        <v>272</v>
      </c>
      <c r="AI62" s="380" t="s">
        <v>103</v>
      </c>
    </row>
    <row r="63" spans="1:37">
      <c r="A63" s="184">
        <v>21210</v>
      </c>
      <c r="B63" s="184">
        <v>900</v>
      </c>
      <c r="C63" s="184">
        <v>1199</v>
      </c>
      <c r="D63" s="393">
        <v>11.161500000000002</v>
      </c>
      <c r="E63" s="393">
        <v>11.718</v>
      </c>
      <c r="F63" s="394"/>
      <c r="G63" s="186">
        <v>14.55</v>
      </c>
      <c r="H63" s="186">
        <v>19.920000000000002</v>
      </c>
      <c r="I63" s="186">
        <v>25.9</v>
      </c>
      <c r="J63" s="384"/>
      <c r="K63" s="186">
        <v>19.14</v>
      </c>
      <c r="L63" s="186">
        <v>21.53</v>
      </c>
      <c r="M63" s="186">
        <v>27.99</v>
      </c>
      <c r="N63" s="384"/>
      <c r="O63" s="186">
        <v>32.53</v>
      </c>
      <c r="P63" s="186">
        <v>36.61</v>
      </c>
      <c r="Q63" s="186">
        <v>47.59</v>
      </c>
      <c r="R63" s="331"/>
      <c r="AD63" s="101">
        <v>65</v>
      </c>
      <c r="AH63" s="388" t="s">
        <v>149</v>
      </c>
      <c r="AI63" s="380" t="s">
        <v>103</v>
      </c>
    </row>
    <row r="64" spans="1:37">
      <c r="A64" s="184">
        <v>21210</v>
      </c>
      <c r="B64" s="184">
        <v>1200</v>
      </c>
      <c r="C64" s="184">
        <v>1499</v>
      </c>
      <c r="D64" s="393">
        <v>12.9885</v>
      </c>
      <c r="E64" s="393">
        <v>13.6395</v>
      </c>
      <c r="F64" s="394"/>
      <c r="G64" s="186">
        <v>16.739999999999998</v>
      </c>
      <c r="H64" s="186">
        <v>23.9</v>
      </c>
      <c r="I64" s="186">
        <v>31.08</v>
      </c>
      <c r="J64" s="384"/>
      <c r="K64" s="186">
        <v>22.01</v>
      </c>
      <c r="L64" s="186">
        <v>25.84</v>
      </c>
      <c r="M64" s="186">
        <v>33.590000000000003</v>
      </c>
      <c r="N64" s="384"/>
      <c r="O64" s="186">
        <v>37.409999999999997</v>
      </c>
      <c r="P64" s="186">
        <v>43.93</v>
      </c>
      <c r="Q64" s="186">
        <v>57.1</v>
      </c>
      <c r="R64" s="331"/>
      <c r="AD64" s="101">
        <v>66</v>
      </c>
      <c r="AH64" s="388" t="s">
        <v>273</v>
      </c>
      <c r="AI64" s="380" t="s">
        <v>103</v>
      </c>
    </row>
    <row r="65" spans="1:35">
      <c r="A65" s="184">
        <v>21210</v>
      </c>
      <c r="B65" s="184">
        <v>1500</v>
      </c>
      <c r="C65" s="184">
        <v>1799</v>
      </c>
      <c r="D65" s="393">
        <v>15.109500000000001</v>
      </c>
      <c r="E65" s="393">
        <v>15.865500000000001</v>
      </c>
      <c r="F65" s="394"/>
      <c r="G65" s="186">
        <v>19.25</v>
      </c>
      <c r="H65" s="186">
        <v>28.69</v>
      </c>
      <c r="I65" s="186">
        <v>37.29</v>
      </c>
      <c r="J65" s="384"/>
      <c r="K65" s="186">
        <v>25.31</v>
      </c>
      <c r="L65" s="186">
        <v>31.01</v>
      </c>
      <c r="M65" s="186">
        <v>40.31</v>
      </c>
      <c r="N65" s="384"/>
      <c r="O65" s="186">
        <v>43.02</v>
      </c>
      <c r="P65" s="186">
        <v>52.71</v>
      </c>
      <c r="Q65" s="186">
        <v>68.53</v>
      </c>
      <c r="R65" s="331"/>
      <c r="AD65" s="101">
        <v>67</v>
      </c>
      <c r="AH65" s="388" t="s">
        <v>274</v>
      </c>
      <c r="AI65" s="380" t="s">
        <v>103</v>
      </c>
    </row>
    <row r="66" spans="1:35">
      <c r="A66" s="395">
        <v>21310</v>
      </c>
      <c r="B66" s="395">
        <v>1</v>
      </c>
      <c r="C66" s="395">
        <v>299</v>
      </c>
      <c r="D66" s="396"/>
      <c r="E66" s="396"/>
      <c r="F66" s="397"/>
      <c r="G66" s="186">
        <v>9.24</v>
      </c>
      <c r="H66" s="186">
        <v>12.68</v>
      </c>
      <c r="I66" s="186">
        <v>16.489999999999998</v>
      </c>
      <c r="J66" s="384"/>
      <c r="K66" s="186">
        <v>10.15</v>
      </c>
      <c r="L66" s="186">
        <v>14.41</v>
      </c>
      <c r="M66" s="186">
        <v>18.73</v>
      </c>
      <c r="N66" s="384"/>
      <c r="O66" s="186">
        <v>17.260000000000002</v>
      </c>
      <c r="P66" s="186">
        <v>24.49</v>
      </c>
      <c r="Q66" s="186">
        <v>31.84</v>
      </c>
      <c r="R66" s="331"/>
      <c r="AD66" s="101">
        <v>68</v>
      </c>
      <c r="AH66" s="388" t="s">
        <v>275</v>
      </c>
      <c r="AI66" s="380" t="s">
        <v>103</v>
      </c>
    </row>
    <row r="67" spans="1:35">
      <c r="A67" s="395">
        <v>21310</v>
      </c>
      <c r="B67" s="395">
        <v>300</v>
      </c>
      <c r="C67" s="395">
        <v>599</v>
      </c>
      <c r="D67" s="396"/>
      <c r="E67" s="396"/>
      <c r="F67" s="397"/>
      <c r="G67" s="186">
        <v>12.68</v>
      </c>
      <c r="H67" s="186">
        <v>15.22</v>
      </c>
      <c r="I67" s="186">
        <v>19.78</v>
      </c>
      <c r="J67" s="384"/>
      <c r="K67" s="186">
        <v>15.25</v>
      </c>
      <c r="L67" s="186">
        <v>16.45</v>
      </c>
      <c r="M67" s="186">
        <v>21.38</v>
      </c>
      <c r="N67" s="384"/>
      <c r="O67" s="186">
        <v>25.93</v>
      </c>
      <c r="P67" s="186">
        <v>27.96</v>
      </c>
      <c r="Q67" s="186">
        <v>36.35</v>
      </c>
      <c r="R67" s="331"/>
      <c r="AD67" s="101">
        <v>69</v>
      </c>
      <c r="AH67" s="388" t="s">
        <v>276</v>
      </c>
      <c r="AI67" s="380" t="s">
        <v>103</v>
      </c>
    </row>
    <row r="68" spans="1:35">
      <c r="A68" s="395">
        <v>21310</v>
      </c>
      <c r="B68" s="395">
        <v>600</v>
      </c>
      <c r="C68" s="395">
        <v>899</v>
      </c>
      <c r="D68" s="396"/>
      <c r="E68" s="396"/>
      <c r="F68" s="397"/>
      <c r="G68" s="186">
        <v>13.92</v>
      </c>
      <c r="H68" s="186">
        <v>18.260000000000002</v>
      </c>
      <c r="I68" s="186">
        <v>23.74</v>
      </c>
      <c r="J68" s="384"/>
      <c r="K68" s="186">
        <v>18.3</v>
      </c>
      <c r="L68" s="186">
        <v>19.739999999999998</v>
      </c>
      <c r="M68" s="186">
        <v>25.66</v>
      </c>
      <c r="N68" s="384"/>
      <c r="O68" s="186">
        <v>31.12</v>
      </c>
      <c r="P68" s="186">
        <v>33.56</v>
      </c>
      <c r="Q68" s="186">
        <v>43.62</v>
      </c>
      <c r="R68" s="331"/>
      <c r="AD68" s="101">
        <v>70</v>
      </c>
      <c r="AH68" s="388" t="s">
        <v>277</v>
      </c>
      <c r="AI68" s="380" t="s">
        <v>103</v>
      </c>
    </row>
    <row r="69" spans="1:35">
      <c r="A69" s="395">
        <v>21310</v>
      </c>
      <c r="B69" s="395">
        <v>900</v>
      </c>
      <c r="C69" s="395">
        <v>1199</v>
      </c>
      <c r="D69" s="396"/>
      <c r="E69" s="396"/>
      <c r="F69" s="397"/>
      <c r="G69" s="186">
        <v>16.010000000000002</v>
      </c>
      <c r="H69" s="186">
        <v>21.91</v>
      </c>
      <c r="I69" s="186">
        <v>28.49</v>
      </c>
      <c r="J69" s="384"/>
      <c r="K69" s="186">
        <v>21.05</v>
      </c>
      <c r="L69" s="186">
        <v>23.69</v>
      </c>
      <c r="M69" s="186">
        <v>30.79</v>
      </c>
      <c r="N69" s="384"/>
      <c r="O69" s="186">
        <v>35.79</v>
      </c>
      <c r="P69" s="186">
        <v>40.270000000000003</v>
      </c>
      <c r="Q69" s="186">
        <v>52.35</v>
      </c>
      <c r="R69" s="331"/>
      <c r="AD69" s="101">
        <v>71</v>
      </c>
      <c r="AH69" s="388" t="s">
        <v>153</v>
      </c>
      <c r="AI69" s="380" t="s">
        <v>103</v>
      </c>
    </row>
    <row r="70" spans="1:35">
      <c r="A70" s="395">
        <v>21310</v>
      </c>
      <c r="B70" s="395">
        <v>1200</v>
      </c>
      <c r="C70" s="395">
        <v>1499</v>
      </c>
      <c r="D70" s="396"/>
      <c r="E70" s="396"/>
      <c r="F70" s="397"/>
      <c r="G70" s="186">
        <v>18.41</v>
      </c>
      <c r="H70" s="186">
        <v>26.3</v>
      </c>
      <c r="I70" s="186">
        <v>34.18</v>
      </c>
      <c r="J70" s="384"/>
      <c r="K70" s="186">
        <v>24.21</v>
      </c>
      <c r="L70" s="186">
        <v>28.42</v>
      </c>
      <c r="M70" s="186">
        <v>36.950000000000003</v>
      </c>
      <c r="N70" s="384"/>
      <c r="O70" s="186">
        <v>41.15</v>
      </c>
      <c r="P70" s="186">
        <v>48.32</v>
      </c>
      <c r="Q70" s="186">
        <v>62.82</v>
      </c>
      <c r="R70" s="331"/>
      <c r="AD70" s="101">
        <v>72</v>
      </c>
      <c r="AH70" s="388" t="s">
        <v>159</v>
      </c>
      <c r="AI70" s="380" t="s">
        <v>103</v>
      </c>
    </row>
    <row r="71" spans="1:35">
      <c r="A71" s="395">
        <v>21310</v>
      </c>
      <c r="B71" s="395">
        <v>1500</v>
      </c>
      <c r="C71" s="395">
        <v>1799</v>
      </c>
      <c r="D71" s="396"/>
      <c r="E71" s="396"/>
      <c r="F71" s="397"/>
      <c r="G71" s="186">
        <v>21.17</v>
      </c>
      <c r="H71" s="186">
        <v>31.55</v>
      </c>
      <c r="I71" s="186">
        <v>41.02</v>
      </c>
      <c r="J71" s="384"/>
      <c r="K71" s="186">
        <v>27.84</v>
      </c>
      <c r="L71" s="186">
        <v>34.11</v>
      </c>
      <c r="M71" s="186">
        <v>44.34</v>
      </c>
      <c r="N71" s="384"/>
      <c r="O71" s="186">
        <v>47.33</v>
      </c>
      <c r="P71" s="186">
        <v>57.98</v>
      </c>
      <c r="Q71" s="186">
        <v>75.38</v>
      </c>
      <c r="R71" s="331"/>
      <c r="AD71" s="101"/>
      <c r="AH71" s="388" t="s">
        <v>165</v>
      </c>
      <c r="AI71" s="380" t="s">
        <v>103</v>
      </c>
    </row>
    <row r="72" spans="1:35">
      <c r="A72" s="395">
        <v>22210</v>
      </c>
      <c r="B72" s="395">
        <v>1</v>
      </c>
      <c r="C72" s="395">
        <v>299</v>
      </c>
      <c r="D72" s="387"/>
      <c r="E72" s="387"/>
      <c r="F72" s="397"/>
      <c r="G72" s="398">
        <v>9.4</v>
      </c>
      <c r="H72" s="398">
        <v>12.91</v>
      </c>
      <c r="I72" s="398">
        <v>16.79</v>
      </c>
      <c r="J72" s="399"/>
      <c r="K72" s="398">
        <v>10.34</v>
      </c>
      <c r="L72" s="398">
        <v>14.67</v>
      </c>
      <c r="M72" s="398">
        <v>19.07</v>
      </c>
      <c r="N72" s="399"/>
      <c r="O72" s="398">
        <v>17.579999999999998</v>
      </c>
      <c r="P72" s="398">
        <v>24.93</v>
      </c>
      <c r="Q72" s="398">
        <v>32.409999999999997</v>
      </c>
      <c r="R72" s="332"/>
      <c r="AD72" s="101"/>
      <c r="AH72" s="388" t="s">
        <v>278</v>
      </c>
      <c r="AI72" s="380" t="s">
        <v>103</v>
      </c>
    </row>
    <row r="73" spans="1:35">
      <c r="A73" s="395">
        <v>22210</v>
      </c>
      <c r="B73" s="395">
        <v>300</v>
      </c>
      <c r="C73" s="395">
        <v>599</v>
      </c>
      <c r="D73" s="387"/>
      <c r="E73" s="387"/>
      <c r="F73" s="397"/>
      <c r="G73" s="398">
        <v>12.91</v>
      </c>
      <c r="H73" s="398">
        <v>15.49</v>
      </c>
      <c r="I73" s="398">
        <v>20.14</v>
      </c>
      <c r="J73" s="400"/>
      <c r="K73" s="398">
        <v>15.53</v>
      </c>
      <c r="L73" s="398">
        <v>16.75</v>
      </c>
      <c r="M73" s="398">
        <v>21.77</v>
      </c>
      <c r="N73" s="400"/>
      <c r="O73" s="398">
        <v>26.4</v>
      </c>
      <c r="P73" s="398">
        <v>28.47</v>
      </c>
      <c r="Q73" s="398">
        <v>37.01</v>
      </c>
      <c r="R73" s="332"/>
      <c r="AD73" s="101"/>
      <c r="AH73" s="388" t="s">
        <v>279</v>
      </c>
      <c r="AI73" s="380" t="s">
        <v>103</v>
      </c>
    </row>
    <row r="74" spans="1:35">
      <c r="A74" s="395">
        <v>22210</v>
      </c>
      <c r="B74" s="395">
        <v>600</v>
      </c>
      <c r="C74" s="395">
        <v>899</v>
      </c>
      <c r="D74" s="387"/>
      <c r="E74" s="387"/>
      <c r="F74" s="397"/>
      <c r="G74" s="398">
        <v>14.17</v>
      </c>
      <c r="H74" s="398">
        <v>18.59</v>
      </c>
      <c r="I74" s="398">
        <v>24.17</v>
      </c>
      <c r="J74" s="400"/>
      <c r="K74" s="398">
        <v>18.64</v>
      </c>
      <c r="L74" s="398">
        <v>20.100000000000001</v>
      </c>
      <c r="M74" s="398">
        <v>26.13</v>
      </c>
      <c r="N74" s="400"/>
      <c r="O74" s="398">
        <v>31.68</v>
      </c>
      <c r="P74" s="398">
        <v>34.17</v>
      </c>
      <c r="Q74" s="398">
        <v>44.41</v>
      </c>
      <c r="R74" s="332"/>
      <c r="AD74" s="101"/>
      <c r="AH74" s="388" t="s">
        <v>280</v>
      </c>
      <c r="AI74" s="380" t="s">
        <v>103</v>
      </c>
    </row>
    <row r="75" spans="1:35">
      <c r="A75" s="395">
        <v>22210</v>
      </c>
      <c r="B75" s="395">
        <v>900</v>
      </c>
      <c r="C75" s="395">
        <v>1199</v>
      </c>
      <c r="D75" s="387"/>
      <c r="E75" s="387"/>
      <c r="F75" s="397"/>
      <c r="G75" s="398">
        <v>16.3</v>
      </c>
      <c r="H75" s="398">
        <v>22.31</v>
      </c>
      <c r="I75" s="398">
        <v>29</v>
      </c>
      <c r="J75" s="400"/>
      <c r="K75" s="398">
        <v>21.43</v>
      </c>
      <c r="L75" s="398">
        <v>24.12</v>
      </c>
      <c r="M75" s="398">
        <v>31.35</v>
      </c>
      <c r="N75" s="400"/>
      <c r="O75" s="398">
        <v>36.44</v>
      </c>
      <c r="P75" s="398">
        <v>41</v>
      </c>
      <c r="Q75" s="398">
        <v>53.3</v>
      </c>
      <c r="R75" s="332"/>
      <c r="AD75" s="101"/>
      <c r="AH75" s="388" t="s">
        <v>169</v>
      </c>
      <c r="AI75" s="380" t="s">
        <v>103</v>
      </c>
    </row>
    <row r="76" spans="1:35">
      <c r="A76" s="395">
        <v>22210</v>
      </c>
      <c r="B76" s="395">
        <v>1200</v>
      </c>
      <c r="C76" s="395">
        <v>1499</v>
      </c>
      <c r="D76" s="387"/>
      <c r="E76" s="387"/>
      <c r="F76" s="397"/>
      <c r="G76" s="398">
        <v>18.75</v>
      </c>
      <c r="H76" s="398">
        <v>26.77</v>
      </c>
      <c r="I76" s="398">
        <v>34.81</v>
      </c>
      <c r="J76" s="400"/>
      <c r="K76" s="398">
        <v>24.65</v>
      </c>
      <c r="L76" s="398">
        <v>28.94</v>
      </c>
      <c r="M76" s="398">
        <v>37.619999999999997</v>
      </c>
      <c r="N76" s="400"/>
      <c r="O76" s="398">
        <v>41.9</v>
      </c>
      <c r="P76" s="398">
        <v>49.2</v>
      </c>
      <c r="Q76" s="398">
        <v>63.96</v>
      </c>
      <c r="R76" s="332"/>
      <c r="AD76" s="101"/>
      <c r="AH76" s="388" t="s">
        <v>281</v>
      </c>
      <c r="AI76" s="380" t="s">
        <v>103</v>
      </c>
    </row>
    <row r="77" spans="1:35">
      <c r="A77" s="395">
        <v>22210</v>
      </c>
      <c r="B77" s="395">
        <v>1500</v>
      </c>
      <c r="C77" s="395">
        <v>1799</v>
      </c>
      <c r="D77" s="387"/>
      <c r="E77" s="387"/>
      <c r="F77" s="397"/>
      <c r="G77" s="398">
        <v>21.56</v>
      </c>
      <c r="H77" s="398">
        <v>32.130000000000003</v>
      </c>
      <c r="I77" s="398">
        <v>41.77</v>
      </c>
      <c r="J77" s="400"/>
      <c r="K77" s="398">
        <v>28.35</v>
      </c>
      <c r="L77" s="398">
        <v>34.729999999999997</v>
      </c>
      <c r="M77" s="398">
        <v>45.15</v>
      </c>
      <c r="N77" s="400"/>
      <c r="O77" s="398">
        <v>48.19</v>
      </c>
      <c r="P77" s="398">
        <v>59.04</v>
      </c>
      <c r="Q77" s="398">
        <v>76.75</v>
      </c>
      <c r="R77" s="332"/>
      <c r="AH77" s="388" t="s">
        <v>282</v>
      </c>
      <c r="AI77" s="380" t="s">
        <v>103</v>
      </c>
    </row>
    <row r="78" spans="1:35">
      <c r="A78" s="418">
        <v>23209</v>
      </c>
      <c r="B78" s="418">
        <v>1</v>
      </c>
      <c r="C78" s="418">
        <v>299</v>
      </c>
      <c r="D78" s="419">
        <v>8.3648159999999994</v>
      </c>
      <c r="E78" s="419">
        <v>11.486015999999998</v>
      </c>
      <c r="F78" s="420"/>
      <c r="G78" s="421">
        <v>10.87</v>
      </c>
      <c r="H78" s="421">
        <v>14.93</v>
      </c>
      <c r="I78" s="421">
        <v>19.41</v>
      </c>
      <c r="J78" s="420"/>
      <c r="K78" s="421">
        <v>11.96</v>
      </c>
      <c r="L78" s="421">
        <v>16.96</v>
      </c>
      <c r="M78" s="421">
        <v>22.05</v>
      </c>
      <c r="N78" s="422"/>
      <c r="O78" s="421">
        <v>20.329999999999998</v>
      </c>
      <c r="P78" s="421">
        <v>28.84</v>
      </c>
      <c r="Q78" s="421">
        <v>37.49</v>
      </c>
      <c r="R78" s="333"/>
      <c r="AH78" s="388" t="s">
        <v>172</v>
      </c>
      <c r="AI78" s="380" t="s">
        <v>103</v>
      </c>
    </row>
    <row r="79" spans="1:35">
      <c r="A79" s="418">
        <v>23209</v>
      </c>
      <c r="B79" s="418">
        <v>300</v>
      </c>
      <c r="C79" s="418">
        <v>599</v>
      </c>
      <c r="D79" s="419">
        <v>11.486015999999998</v>
      </c>
      <c r="E79" s="419">
        <v>13.783219199999996</v>
      </c>
      <c r="F79" s="420"/>
      <c r="G79" s="421">
        <v>14.93</v>
      </c>
      <c r="H79" s="421">
        <v>17.920000000000002</v>
      </c>
      <c r="I79" s="421">
        <v>23.29</v>
      </c>
      <c r="J79" s="420"/>
      <c r="K79" s="421">
        <v>17.96</v>
      </c>
      <c r="L79" s="421">
        <v>19.37</v>
      </c>
      <c r="M79" s="421">
        <v>25.18</v>
      </c>
      <c r="N79" s="422"/>
      <c r="O79" s="421">
        <v>30.53</v>
      </c>
      <c r="P79" s="421">
        <v>32.93</v>
      </c>
      <c r="Q79" s="421">
        <v>42.8</v>
      </c>
      <c r="R79" s="333"/>
      <c r="AH79" s="388" t="s">
        <v>175</v>
      </c>
      <c r="AI79" s="380" t="s">
        <v>103</v>
      </c>
    </row>
    <row r="80" spans="1:35">
      <c r="A80" s="418">
        <v>23209</v>
      </c>
      <c r="B80" s="418">
        <v>600</v>
      </c>
      <c r="C80" s="418">
        <v>899</v>
      </c>
      <c r="D80" s="419">
        <v>12.609648</v>
      </c>
      <c r="E80" s="419">
        <v>16.539863039999997</v>
      </c>
      <c r="F80" s="420"/>
      <c r="G80" s="421">
        <v>16.39</v>
      </c>
      <c r="H80" s="421">
        <v>21.5</v>
      </c>
      <c r="I80" s="421">
        <v>27.95</v>
      </c>
      <c r="J80" s="420"/>
      <c r="K80" s="421">
        <v>21.55</v>
      </c>
      <c r="L80" s="421">
        <v>23.24</v>
      </c>
      <c r="M80" s="421">
        <v>30.21</v>
      </c>
      <c r="N80" s="422"/>
      <c r="O80" s="421">
        <v>36.64</v>
      </c>
      <c r="P80" s="421">
        <v>39.51</v>
      </c>
      <c r="Q80" s="421">
        <v>51.36</v>
      </c>
      <c r="R80" s="333"/>
      <c r="AH80" s="388" t="s">
        <v>181</v>
      </c>
      <c r="AI80" s="380" t="s">
        <v>103</v>
      </c>
    </row>
    <row r="81" spans="1:35">
      <c r="A81" s="418">
        <v>23209</v>
      </c>
      <c r="B81" s="418">
        <v>900</v>
      </c>
      <c r="C81" s="418">
        <v>1199</v>
      </c>
      <c r="D81" s="419">
        <v>14.501095199999996</v>
      </c>
      <c r="E81" s="419">
        <v>19.847835647999993</v>
      </c>
      <c r="F81" s="420"/>
      <c r="G81" s="421">
        <v>18.850000000000001</v>
      </c>
      <c r="H81" s="421">
        <v>25.8</v>
      </c>
      <c r="I81" s="421">
        <v>33.54</v>
      </c>
      <c r="J81" s="420"/>
      <c r="K81" s="421">
        <v>24.79</v>
      </c>
      <c r="L81" s="421">
        <v>27.89</v>
      </c>
      <c r="M81" s="421">
        <v>36.26</v>
      </c>
      <c r="N81" s="422"/>
      <c r="O81" s="421">
        <v>42.14</v>
      </c>
      <c r="P81" s="421">
        <v>47.41</v>
      </c>
      <c r="Q81" s="421">
        <v>61.64</v>
      </c>
      <c r="R81" s="333"/>
      <c r="AH81" s="388" t="s">
        <v>283</v>
      </c>
      <c r="AI81" s="380" t="s">
        <v>103</v>
      </c>
    </row>
    <row r="82" spans="1:35">
      <c r="A82" s="418">
        <v>23209</v>
      </c>
      <c r="B82" s="418">
        <v>1200</v>
      </c>
      <c r="C82" s="418">
        <v>1499</v>
      </c>
      <c r="D82" s="419">
        <v>16.676259479999995</v>
      </c>
      <c r="E82" s="419">
        <v>23.817402777599995</v>
      </c>
      <c r="F82" s="420"/>
      <c r="G82" s="421">
        <v>21.68</v>
      </c>
      <c r="H82" s="421">
        <v>30.96</v>
      </c>
      <c r="I82" s="421">
        <v>40.25</v>
      </c>
      <c r="J82" s="420"/>
      <c r="K82" s="421">
        <v>28.5</v>
      </c>
      <c r="L82" s="421">
        <v>33.47</v>
      </c>
      <c r="M82" s="421">
        <v>43.51</v>
      </c>
      <c r="N82" s="422"/>
      <c r="O82" s="421">
        <v>48.46</v>
      </c>
      <c r="P82" s="421">
        <v>56.9</v>
      </c>
      <c r="Q82" s="421">
        <v>73.959999999999994</v>
      </c>
      <c r="R82" s="333"/>
      <c r="AH82" s="388" t="s">
        <v>284</v>
      </c>
      <c r="AI82" s="380" t="s">
        <v>103</v>
      </c>
    </row>
    <row r="83" spans="1:35">
      <c r="A83" s="418">
        <v>23209</v>
      </c>
      <c r="B83" s="418">
        <v>1500</v>
      </c>
      <c r="C83" s="418">
        <v>1799</v>
      </c>
      <c r="D83" s="419">
        <v>19.177698401999994</v>
      </c>
      <c r="E83" s="419">
        <v>28.580883333119992</v>
      </c>
      <c r="F83" s="420"/>
      <c r="G83" s="421">
        <v>24.93</v>
      </c>
      <c r="H83" s="421">
        <v>37.159999999999997</v>
      </c>
      <c r="I83" s="421">
        <v>48.3</v>
      </c>
      <c r="J83" s="420"/>
      <c r="K83" s="421">
        <v>32.78</v>
      </c>
      <c r="L83" s="421">
        <v>40.159999999999997</v>
      </c>
      <c r="M83" s="421">
        <v>52.21</v>
      </c>
      <c r="N83" s="422"/>
      <c r="O83" s="421">
        <v>55.73</v>
      </c>
      <c r="P83" s="421">
        <v>68.27</v>
      </c>
      <c r="Q83" s="421">
        <v>88.76</v>
      </c>
      <c r="R83" s="333"/>
      <c r="AH83" s="388" t="s">
        <v>285</v>
      </c>
      <c r="AI83" s="380" t="s">
        <v>103</v>
      </c>
    </row>
    <row r="84" spans="1:35">
      <c r="A84" s="418">
        <v>23309</v>
      </c>
      <c r="B84" s="418">
        <v>1</v>
      </c>
      <c r="C84" s="418">
        <v>299</v>
      </c>
      <c r="D84" s="419">
        <v>9.4522420799999978</v>
      </c>
      <c r="E84" s="419">
        <v>12.979198079999996</v>
      </c>
      <c r="F84" s="420"/>
      <c r="G84" s="419">
        <v>11.96</v>
      </c>
      <c r="H84" s="419">
        <v>16.43</v>
      </c>
      <c r="I84" s="419">
        <v>21.35</v>
      </c>
      <c r="J84" s="420"/>
      <c r="K84" s="419">
        <v>13.15</v>
      </c>
      <c r="L84" s="419">
        <v>18.66</v>
      </c>
      <c r="M84" s="419">
        <v>24.26</v>
      </c>
      <c r="N84" s="422"/>
      <c r="O84" s="419">
        <v>22.36</v>
      </c>
      <c r="P84" s="419">
        <v>31.72</v>
      </c>
      <c r="Q84" s="419">
        <v>41.23</v>
      </c>
      <c r="R84" s="333"/>
      <c r="AH84" s="388" t="s">
        <v>184</v>
      </c>
      <c r="AI84" s="380" t="s">
        <v>103</v>
      </c>
    </row>
    <row r="85" spans="1:35">
      <c r="A85" s="418">
        <v>23309</v>
      </c>
      <c r="B85" s="418">
        <v>300</v>
      </c>
      <c r="C85" s="418">
        <v>599</v>
      </c>
      <c r="D85" s="419">
        <v>12.979198079999996</v>
      </c>
      <c r="E85" s="419">
        <v>15.575037695999994</v>
      </c>
      <c r="F85" s="420"/>
      <c r="G85" s="419">
        <v>16.43</v>
      </c>
      <c r="H85" s="419">
        <v>19.71</v>
      </c>
      <c r="I85" s="419">
        <v>25.62</v>
      </c>
      <c r="J85" s="420"/>
      <c r="K85" s="419">
        <v>19.760000000000002</v>
      </c>
      <c r="L85" s="419">
        <v>21.3</v>
      </c>
      <c r="M85" s="419">
        <v>27.7</v>
      </c>
      <c r="N85" s="422"/>
      <c r="O85" s="419">
        <v>33.590000000000003</v>
      </c>
      <c r="P85" s="419">
        <v>36.22</v>
      </c>
      <c r="Q85" s="419">
        <v>47.08</v>
      </c>
      <c r="R85" s="333"/>
      <c r="AH85" s="388" t="s">
        <v>286</v>
      </c>
      <c r="AI85" s="380" t="s">
        <v>103</v>
      </c>
    </row>
    <row r="86" spans="1:35">
      <c r="A86" s="418">
        <v>23309</v>
      </c>
      <c r="B86" s="418">
        <v>600</v>
      </c>
      <c r="C86" s="418">
        <v>899</v>
      </c>
      <c r="D86" s="419">
        <v>14.248902239999998</v>
      </c>
      <c r="E86" s="419">
        <v>18.690045235199996</v>
      </c>
      <c r="F86" s="420"/>
      <c r="G86" s="419">
        <v>18.03</v>
      </c>
      <c r="H86" s="419">
        <v>23.65</v>
      </c>
      <c r="I86" s="419">
        <v>30.75</v>
      </c>
      <c r="J86" s="420"/>
      <c r="K86" s="419">
        <v>23.71</v>
      </c>
      <c r="L86" s="419">
        <v>25.57</v>
      </c>
      <c r="M86" s="419">
        <v>33.24</v>
      </c>
      <c r="N86" s="422"/>
      <c r="O86" s="419">
        <v>40.31</v>
      </c>
      <c r="P86" s="419">
        <v>43.46</v>
      </c>
      <c r="Q86" s="419">
        <v>56.5</v>
      </c>
      <c r="R86" s="333"/>
      <c r="AH86" s="388" t="s">
        <v>287</v>
      </c>
      <c r="AI86" s="380" t="s">
        <v>103</v>
      </c>
    </row>
    <row r="87" spans="1:35">
      <c r="A87" s="418">
        <v>23309</v>
      </c>
      <c r="B87" s="418">
        <v>900</v>
      </c>
      <c r="C87" s="418">
        <v>1199</v>
      </c>
      <c r="D87" s="419">
        <v>16.386237575999996</v>
      </c>
      <c r="E87" s="419">
        <v>22.428054282239991</v>
      </c>
      <c r="F87" s="420"/>
      <c r="G87" s="419">
        <v>20.74</v>
      </c>
      <c r="H87" s="419">
        <v>28.38</v>
      </c>
      <c r="I87" s="419">
        <v>36.9</v>
      </c>
      <c r="J87" s="420"/>
      <c r="K87" s="419">
        <v>27.27</v>
      </c>
      <c r="L87" s="419">
        <v>30.68</v>
      </c>
      <c r="M87" s="419">
        <v>39.880000000000003</v>
      </c>
      <c r="N87" s="422"/>
      <c r="O87" s="419">
        <v>46.35</v>
      </c>
      <c r="P87" s="419">
        <v>52.15</v>
      </c>
      <c r="Q87" s="419">
        <v>67.8</v>
      </c>
      <c r="R87" s="333"/>
      <c r="AH87" s="388" t="s">
        <v>288</v>
      </c>
      <c r="AI87" s="380" t="s">
        <v>103</v>
      </c>
    </row>
    <row r="88" spans="1:35">
      <c r="A88" s="418">
        <v>23309</v>
      </c>
      <c r="B88" s="418">
        <v>1200</v>
      </c>
      <c r="C88" s="418">
        <v>1499</v>
      </c>
      <c r="D88" s="419">
        <v>18.844173212399994</v>
      </c>
      <c r="E88" s="419">
        <v>26.913665138687993</v>
      </c>
      <c r="F88" s="420"/>
      <c r="G88" s="419">
        <v>23.85</v>
      </c>
      <c r="H88" s="419">
        <v>34.06</v>
      </c>
      <c r="I88" s="419">
        <v>44.28</v>
      </c>
      <c r="J88" s="420"/>
      <c r="K88" s="419">
        <v>31.36</v>
      </c>
      <c r="L88" s="419">
        <v>36.81</v>
      </c>
      <c r="M88" s="419">
        <v>47.86</v>
      </c>
      <c r="N88" s="422"/>
      <c r="O88" s="419">
        <v>53.3</v>
      </c>
      <c r="P88" s="419">
        <v>62.59</v>
      </c>
      <c r="Q88" s="419">
        <v>81.36</v>
      </c>
      <c r="R88" s="333"/>
      <c r="AH88" s="388" t="s">
        <v>188</v>
      </c>
      <c r="AI88" s="380" t="s">
        <v>103</v>
      </c>
    </row>
    <row r="89" spans="1:35">
      <c r="A89" s="418">
        <v>23309</v>
      </c>
      <c r="B89" s="418">
        <v>1500</v>
      </c>
      <c r="C89" s="418">
        <v>1799</v>
      </c>
      <c r="D89" s="419">
        <v>21.670799194259992</v>
      </c>
      <c r="E89" s="419">
        <v>32.29639816642559</v>
      </c>
      <c r="F89" s="420"/>
      <c r="G89" s="419">
        <v>27.42</v>
      </c>
      <c r="H89" s="419">
        <v>40.869999999999997</v>
      </c>
      <c r="I89" s="419">
        <v>53.13</v>
      </c>
      <c r="J89" s="420"/>
      <c r="K89" s="419">
        <v>36.06</v>
      </c>
      <c r="L89" s="419">
        <v>44.18</v>
      </c>
      <c r="M89" s="419">
        <v>57.43</v>
      </c>
      <c r="N89" s="422"/>
      <c r="O89" s="419">
        <v>61.3</v>
      </c>
      <c r="P89" s="419">
        <v>75.099999999999994</v>
      </c>
      <c r="Q89" s="419">
        <v>97.63</v>
      </c>
      <c r="R89" s="333"/>
      <c r="AH89" s="388" t="s">
        <v>289</v>
      </c>
      <c r="AI89" s="380" t="s">
        <v>103</v>
      </c>
    </row>
    <row r="90" spans="1:35">
      <c r="A90" s="418">
        <v>23210</v>
      </c>
      <c r="B90" s="418">
        <v>1</v>
      </c>
      <c r="C90" s="418">
        <v>299</v>
      </c>
      <c r="D90" s="387"/>
      <c r="E90" s="387"/>
      <c r="F90" s="420"/>
      <c r="G90" s="419">
        <v>11.42</v>
      </c>
      <c r="H90" s="419">
        <v>15.68</v>
      </c>
      <c r="I90" s="419">
        <v>20.38</v>
      </c>
      <c r="J90" s="420"/>
      <c r="K90" s="419">
        <v>12.55</v>
      </c>
      <c r="L90" s="419">
        <v>17.809999999999999</v>
      </c>
      <c r="M90" s="419">
        <v>23.15</v>
      </c>
      <c r="N90" s="420"/>
      <c r="O90" s="419">
        <v>21.34</v>
      </c>
      <c r="P90" s="419">
        <v>30.28</v>
      </c>
      <c r="Q90" s="419">
        <v>39.36</v>
      </c>
      <c r="R90" s="333"/>
      <c r="AH90" s="388" t="s">
        <v>290</v>
      </c>
      <c r="AI90" s="380" t="s">
        <v>103</v>
      </c>
    </row>
    <row r="91" spans="1:35">
      <c r="A91" s="418">
        <v>23210</v>
      </c>
      <c r="B91" s="418">
        <v>300</v>
      </c>
      <c r="C91" s="418">
        <v>599</v>
      </c>
      <c r="D91" s="387"/>
      <c r="E91" s="387"/>
      <c r="F91" s="420"/>
      <c r="G91" s="419">
        <v>15.68</v>
      </c>
      <c r="H91" s="419">
        <v>18.809999999999999</v>
      </c>
      <c r="I91" s="419">
        <v>24.46</v>
      </c>
      <c r="J91" s="420"/>
      <c r="K91" s="419">
        <v>18.86</v>
      </c>
      <c r="L91" s="419">
        <v>20.34</v>
      </c>
      <c r="M91" s="419">
        <v>26.44</v>
      </c>
      <c r="N91" s="420"/>
      <c r="O91" s="419">
        <v>32.06</v>
      </c>
      <c r="P91" s="419">
        <v>34.57</v>
      </c>
      <c r="Q91" s="419">
        <v>44.94</v>
      </c>
      <c r="R91" s="333"/>
      <c r="AH91" s="388" t="s">
        <v>193</v>
      </c>
      <c r="AI91" s="380" t="s">
        <v>103</v>
      </c>
    </row>
    <row r="92" spans="1:35">
      <c r="A92" s="418">
        <v>23210</v>
      </c>
      <c r="B92" s="418">
        <v>600</v>
      </c>
      <c r="C92" s="418">
        <v>899</v>
      </c>
      <c r="D92" s="387"/>
      <c r="E92" s="387"/>
      <c r="F92" s="420"/>
      <c r="G92" s="419">
        <v>17.21</v>
      </c>
      <c r="H92" s="419">
        <v>22.58</v>
      </c>
      <c r="I92" s="419">
        <v>29.35</v>
      </c>
      <c r="J92" s="420"/>
      <c r="K92" s="419">
        <v>22.63</v>
      </c>
      <c r="L92" s="419">
        <v>24.4</v>
      </c>
      <c r="M92" s="419">
        <v>31.72</v>
      </c>
      <c r="N92" s="420"/>
      <c r="O92" s="419">
        <v>38.47</v>
      </c>
      <c r="P92" s="419">
        <v>41.49</v>
      </c>
      <c r="Q92" s="419">
        <v>53.93</v>
      </c>
      <c r="R92" s="333"/>
      <c r="AH92" s="388" t="s">
        <v>197</v>
      </c>
      <c r="AI92" s="380" t="s">
        <v>103</v>
      </c>
    </row>
    <row r="93" spans="1:35">
      <c r="A93" s="418">
        <v>23210</v>
      </c>
      <c r="B93" s="418">
        <v>900</v>
      </c>
      <c r="C93" s="418">
        <v>1199</v>
      </c>
      <c r="D93" s="387"/>
      <c r="E93" s="387"/>
      <c r="F93" s="420"/>
      <c r="G93" s="419">
        <v>19.79</v>
      </c>
      <c r="H93" s="419">
        <v>27.09</v>
      </c>
      <c r="I93" s="419">
        <v>35.22</v>
      </c>
      <c r="J93" s="420"/>
      <c r="K93" s="419">
        <v>26.03</v>
      </c>
      <c r="L93" s="419">
        <v>29.28</v>
      </c>
      <c r="M93" s="419">
        <v>38.07</v>
      </c>
      <c r="N93" s="420"/>
      <c r="O93" s="419">
        <v>44.24</v>
      </c>
      <c r="P93" s="419">
        <v>49.78</v>
      </c>
      <c r="Q93" s="419">
        <v>64.72</v>
      </c>
      <c r="R93" s="333"/>
      <c r="AH93" s="388" t="s">
        <v>202</v>
      </c>
      <c r="AI93" s="380" t="s">
        <v>103</v>
      </c>
    </row>
    <row r="94" spans="1:35">
      <c r="A94" s="418">
        <v>23210</v>
      </c>
      <c r="B94" s="418">
        <v>1200</v>
      </c>
      <c r="C94" s="418">
        <v>1499</v>
      </c>
      <c r="D94" s="387"/>
      <c r="E94" s="387"/>
      <c r="F94" s="420"/>
      <c r="G94" s="419">
        <v>22.76</v>
      </c>
      <c r="H94" s="419">
        <v>32.51</v>
      </c>
      <c r="I94" s="419">
        <v>42.26</v>
      </c>
      <c r="J94" s="420"/>
      <c r="K94" s="419">
        <v>29.93</v>
      </c>
      <c r="L94" s="419">
        <v>35.14</v>
      </c>
      <c r="M94" s="419">
        <v>45.68</v>
      </c>
      <c r="N94" s="420"/>
      <c r="O94" s="419">
        <v>50.88</v>
      </c>
      <c r="P94" s="419">
        <v>59.74</v>
      </c>
      <c r="Q94" s="419">
        <v>77.66</v>
      </c>
      <c r="R94" s="333"/>
      <c r="AH94" s="388" t="s">
        <v>205</v>
      </c>
      <c r="AI94" s="380" t="s">
        <v>103</v>
      </c>
    </row>
    <row r="95" spans="1:35">
      <c r="A95" s="418">
        <v>23210</v>
      </c>
      <c r="B95" s="418">
        <v>1500</v>
      </c>
      <c r="C95" s="418">
        <v>1799</v>
      </c>
      <c r="D95" s="387"/>
      <c r="E95" s="387"/>
      <c r="F95" s="420"/>
      <c r="G95" s="419">
        <v>26.18</v>
      </c>
      <c r="H95" s="419">
        <v>39.01</v>
      </c>
      <c r="I95" s="419">
        <v>50.72</v>
      </c>
      <c r="J95" s="420"/>
      <c r="K95" s="419">
        <v>34.42</v>
      </c>
      <c r="L95" s="419">
        <v>42.17</v>
      </c>
      <c r="M95" s="419">
        <v>54.82</v>
      </c>
      <c r="N95" s="420"/>
      <c r="O95" s="419">
        <v>58.51</v>
      </c>
      <c r="P95" s="419">
        <v>71.69</v>
      </c>
      <c r="Q95" s="419">
        <v>93.2</v>
      </c>
      <c r="R95" s="333"/>
      <c r="AH95" s="388" t="s">
        <v>209</v>
      </c>
      <c r="AI95" s="380" t="s">
        <v>103</v>
      </c>
    </row>
    <row r="96" spans="1:35">
      <c r="A96" s="418">
        <v>23310</v>
      </c>
      <c r="B96" s="418">
        <v>1</v>
      </c>
      <c r="C96" s="418">
        <v>299</v>
      </c>
      <c r="D96" s="387"/>
      <c r="E96" s="387"/>
      <c r="F96" s="420"/>
      <c r="G96" s="419">
        <v>12.56</v>
      </c>
      <c r="H96" s="419">
        <v>17.25</v>
      </c>
      <c r="I96" s="419">
        <v>22.42</v>
      </c>
      <c r="J96" s="420"/>
      <c r="K96" s="419">
        <v>13.81</v>
      </c>
      <c r="L96" s="419">
        <v>19.59</v>
      </c>
      <c r="M96" s="419">
        <v>25.47</v>
      </c>
      <c r="N96" s="420"/>
      <c r="O96" s="419">
        <v>23.48</v>
      </c>
      <c r="P96" s="419">
        <v>33.299999999999997</v>
      </c>
      <c r="Q96" s="419">
        <v>43.3</v>
      </c>
      <c r="R96" s="333"/>
      <c r="AH96" s="388" t="s">
        <v>212</v>
      </c>
      <c r="AI96" s="380" t="s">
        <v>103</v>
      </c>
    </row>
    <row r="97" spans="1:35">
      <c r="A97" s="418">
        <v>23310</v>
      </c>
      <c r="B97" s="418">
        <v>300</v>
      </c>
      <c r="C97" s="418">
        <v>599</v>
      </c>
      <c r="D97" s="387"/>
      <c r="E97" s="387"/>
      <c r="F97" s="420"/>
      <c r="G97" s="419">
        <v>17.25</v>
      </c>
      <c r="H97" s="419">
        <v>20.7</v>
      </c>
      <c r="I97" s="419">
        <v>26.9</v>
      </c>
      <c r="J97" s="420"/>
      <c r="K97" s="419">
        <v>20.75</v>
      </c>
      <c r="L97" s="419">
        <v>22.37</v>
      </c>
      <c r="M97" s="419">
        <v>29.08</v>
      </c>
      <c r="N97" s="422"/>
      <c r="O97" s="419">
        <v>35.270000000000003</v>
      </c>
      <c r="P97" s="419">
        <v>38.03</v>
      </c>
      <c r="Q97" s="419">
        <v>49.44</v>
      </c>
      <c r="R97" s="333"/>
      <c r="AH97" s="388" t="s">
        <v>215</v>
      </c>
      <c r="AI97" s="380" t="s">
        <v>103</v>
      </c>
    </row>
    <row r="98" spans="1:35">
      <c r="A98" s="418">
        <v>23310</v>
      </c>
      <c r="B98" s="418">
        <v>600</v>
      </c>
      <c r="C98" s="418">
        <v>899</v>
      </c>
      <c r="D98" s="387"/>
      <c r="E98" s="387"/>
      <c r="F98" s="420"/>
      <c r="G98" s="419">
        <v>18.93</v>
      </c>
      <c r="H98" s="419">
        <v>24.83</v>
      </c>
      <c r="I98" s="419">
        <v>32.28</v>
      </c>
      <c r="J98" s="420"/>
      <c r="K98" s="419">
        <v>24.89</v>
      </c>
      <c r="L98" s="419">
        <v>26.84</v>
      </c>
      <c r="M98" s="419">
        <v>34.9</v>
      </c>
      <c r="N98" s="422"/>
      <c r="O98" s="419">
        <v>42.32</v>
      </c>
      <c r="P98" s="419">
        <v>45.64</v>
      </c>
      <c r="Q98" s="419">
        <v>59.33</v>
      </c>
      <c r="R98" s="333"/>
      <c r="AH98" s="388" t="s">
        <v>217</v>
      </c>
      <c r="AI98" s="380" t="s">
        <v>103</v>
      </c>
    </row>
    <row r="99" spans="1:35">
      <c r="A99" s="418">
        <v>23310</v>
      </c>
      <c r="B99" s="418">
        <v>900</v>
      </c>
      <c r="C99" s="418">
        <v>1199</v>
      </c>
      <c r="D99" s="387"/>
      <c r="E99" s="387"/>
      <c r="F99" s="420"/>
      <c r="G99" s="419">
        <v>21.77</v>
      </c>
      <c r="H99" s="419">
        <v>29.8</v>
      </c>
      <c r="I99" s="419">
        <v>38.74</v>
      </c>
      <c r="J99" s="420"/>
      <c r="K99" s="419">
        <v>28.63</v>
      </c>
      <c r="L99" s="419">
        <v>32.21</v>
      </c>
      <c r="M99" s="419">
        <v>41.88</v>
      </c>
      <c r="N99" s="422"/>
      <c r="O99" s="419">
        <v>48.67</v>
      </c>
      <c r="P99" s="419">
        <v>54.76</v>
      </c>
      <c r="Q99" s="419">
        <v>71.19</v>
      </c>
      <c r="R99" s="333"/>
      <c r="AH99" s="388" t="s">
        <v>291</v>
      </c>
      <c r="AI99" s="380" t="s">
        <v>103</v>
      </c>
    </row>
    <row r="100" spans="1:35">
      <c r="A100" s="418">
        <v>23310</v>
      </c>
      <c r="B100" s="418">
        <v>1200</v>
      </c>
      <c r="C100" s="418">
        <v>1499</v>
      </c>
      <c r="D100" s="387"/>
      <c r="E100" s="387"/>
      <c r="F100" s="420"/>
      <c r="G100" s="419">
        <v>25.04</v>
      </c>
      <c r="H100" s="419">
        <v>35.76</v>
      </c>
      <c r="I100" s="419">
        <v>46.49</v>
      </c>
      <c r="J100" s="420"/>
      <c r="K100" s="419">
        <v>32.92</v>
      </c>
      <c r="L100" s="419">
        <v>38.659999999999997</v>
      </c>
      <c r="M100" s="419">
        <v>50.25</v>
      </c>
      <c r="N100" s="422"/>
      <c r="O100" s="419">
        <v>55.97</v>
      </c>
      <c r="P100" s="419">
        <v>65.709999999999994</v>
      </c>
      <c r="Q100" s="419">
        <v>85.43</v>
      </c>
      <c r="R100" s="333"/>
    </row>
    <row r="101" spans="1:35">
      <c r="A101" s="418">
        <v>23310</v>
      </c>
      <c r="B101" s="418">
        <v>1500</v>
      </c>
      <c r="C101" s="418">
        <v>1799</v>
      </c>
      <c r="D101" s="387"/>
      <c r="E101" s="387"/>
      <c r="F101" s="420"/>
      <c r="G101" s="419">
        <v>28.8</v>
      </c>
      <c r="H101" s="419">
        <v>42.91</v>
      </c>
      <c r="I101" s="419">
        <v>55.79</v>
      </c>
      <c r="J101" s="420"/>
      <c r="K101" s="419">
        <v>37.86</v>
      </c>
      <c r="L101" s="419">
        <v>46.39</v>
      </c>
      <c r="M101" s="419">
        <v>60.3</v>
      </c>
      <c r="N101" s="422"/>
      <c r="O101" s="419">
        <v>64.36</v>
      </c>
      <c r="P101" s="419">
        <v>78.86</v>
      </c>
      <c r="Q101" s="419">
        <v>102.51</v>
      </c>
      <c r="R101" s="333"/>
    </row>
    <row r="102" spans="1:35">
      <c r="A102" s="418">
        <v>23211</v>
      </c>
      <c r="B102" s="418">
        <v>1</v>
      </c>
      <c r="C102" s="418">
        <v>299</v>
      </c>
      <c r="D102" s="387"/>
      <c r="E102" s="387"/>
      <c r="F102" s="420"/>
      <c r="G102" s="419">
        <v>12.83</v>
      </c>
      <c r="H102" s="419">
        <v>17.62</v>
      </c>
      <c r="I102" s="419">
        <v>22.91</v>
      </c>
      <c r="J102" s="420"/>
      <c r="K102" s="419">
        <v>14.11</v>
      </c>
      <c r="L102" s="419">
        <v>20.010000000000002</v>
      </c>
      <c r="M102" s="419">
        <v>26.02</v>
      </c>
      <c r="N102" s="422"/>
      <c r="O102" s="419">
        <v>23.98</v>
      </c>
      <c r="P102" s="419">
        <v>34.03</v>
      </c>
      <c r="Q102" s="419">
        <v>44.23</v>
      </c>
      <c r="R102" s="333"/>
    </row>
    <row r="103" spans="1:35">
      <c r="A103" s="418">
        <v>23211</v>
      </c>
      <c r="B103" s="418">
        <v>300</v>
      </c>
      <c r="C103" s="418">
        <v>599</v>
      </c>
      <c r="D103" s="387"/>
      <c r="E103" s="387"/>
      <c r="F103" s="420"/>
      <c r="G103" s="419">
        <v>17.62</v>
      </c>
      <c r="H103" s="419">
        <v>21.14</v>
      </c>
      <c r="I103" s="419">
        <v>27.49</v>
      </c>
      <c r="J103" s="420"/>
      <c r="K103" s="419">
        <v>21.19</v>
      </c>
      <c r="L103" s="419">
        <v>22.85</v>
      </c>
      <c r="M103" s="419">
        <v>29.71</v>
      </c>
      <c r="N103" s="422"/>
      <c r="O103" s="419">
        <v>36.03</v>
      </c>
      <c r="P103" s="419">
        <v>38.85</v>
      </c>
      <c r="Q103" s="419">
        <v>50.51</v>
      </c>
      <c r="R103" s="333"/>
    </row>
    <row r="104" spans="1:35">
      <c r="A104" s="418">
        <v>23211</v>
      </c>
      <c r="B104" s="418">
        <v>600</v>
      </c>
      <c r="C104" s="418">
        <v>899</v>
      </c>
      <c r="D104" s="387"/>
      <c r="E104" s="387"/>
      <c r="F104" s="420"/>
      <c r="G104" s="419">
        <v>19.34</v>
      </c>
      <c r="H104" s="419">
        <v>25.37</v>
      </c>
      <c r="I104" s="419">
        <v>32.979999999999997</v>
      </c>
      <c r="J104" s="420"/>
      <c r="K104" s="419">
        <v>25.43</v>
      </c>
      <c r="L104" s="419">
        <v>27.43</v>
      </c>
      <c r="M104" s="419">
        <v>35.65</v>
      </c>
      <c r="N104" s="422"/>
      <c r="O104" s="419">
        <v>43.24</v>
      </c>
      <c r="P104" s="419">
        <v>46.62</v>
      </c>
      <c r="Q104" s="419">
        <v>60.61</v>
      </c>
      <c r="R104" s="333"/>
    </row>
    <row r="105" spans="1:35">
      <c r="A105" s="418">
        <v>23211</v>
      </c>
      <c r="B105" s="418">
        <v>900</v>
      </c>
      <c r="C105" s="418">
        <v>1199</v>
      </c>
      <c r="D105" s="387"/>
      <c r="E105" s="387"/>
      <c r="F105" s="420"/>
      <c r="G105" s="419">
        <v>22.24</v>
      </c>
      <c r="H105" s="419">
        <v>30.45</v>
      </c>
      <c r="I105" s="419">
        <v>39.58</v>
      </c>
      <c r="J105" s="420"/>
      <c r="K105" s="419">
        <v>29.25</v>
      </c>
      <c r="L105" s="419">
        <v>32.909999999999997</v>
      </c>
      <c r="M105" s="419">
        <v>42.78</v>
      </c>
      <c r="N105" s="422"/>
      <c r="O105" s="419">
        <v>49.72</v>
      </c>
      <c r="P105" s="419">
        <v>55.95</v>
      </c>
      <c r="Q105" s="419">
        <v>72.73</v>
      </c>
      <c r="R105" s="333"/>
    </row>
    <row r="106" spans="1:35">
      <c r="A106" s="418">
        <v>23211</v>
      </c>
      <c r="B106" s="418">
        <v>1200</v>
      </c>
      <c r="C106" s="418">
        <v>1499</v>
      </c>
      <c r="D106" s="387"/>
      <c r="E106" s="387"/>
      <c r="F106" s="420"/>
      <c r="G106" s="419">
        <v>25.58</v>
      </c>
      <c r="H106" s="419">
        <v>36.54</v>
      </c>
      <c r="I106" s="419">
        <v>47.5</v>
      </c>
      <c r="J106" s="420"/>
      <c r="K106" s="419">
        <v>33.64</v>
      </c>
      <c r="L106" s="419">
        <v>39.49</v>
      </c>
      <c r="M106" s="419">
        <v>51.34</v>
      </c>
      <c r="N106" s="422"/>
      <c r="O106" s="419">
        <v>57.18</v>
      </c>
      <c r="P106" s="419">
        <v>67.14</v>
      </c>
      <c r="Q106" s="419">
        <v>87.28</v>
      </c>
      <c r="R106" s="333"/>
    </row>
    <row r="107" spans="1:35">
      <c r="A107" s="418">
        <v>23211</v>
      </c>
      <c r="B107" s="418">
        <v>1500</v>
      </c>
      <c r="C107" s="418">
        <v>1799</v>
      </c>
      <c r="D107" s="387"/>
      <c r="E107" s="387"/>
      <c r="F107" s="420"/>
      <c r="G107" s="419">
        <v>29.42</v>
      </c>
      <c r="H107" s="419">
        <v>43.84</v>
      </c>
      <c r="I107" s="419">
        <v>57</v>
      </c>
      <c r="J107" s="420"/>
      <c r="K107" s="419">
        <v>38.68</v>
      </c>
      <c r="L107" s="419">
        <v>47.39</v>
      </c>
      <c r="M107" s="419">
        <v>61.61</v>
      </c>
      <c r="N107" s="422"/>
      <c r="O107" s="419">
        <v>65.760000000000005</v>
      </c>
      <c r="P107" s="419">
        <v>80.56</v>
      </c>
      <c r="Q107" s="419">
        <v>104.73</v>
      </c>
      <c r="R107" s="333"/>
    </row>
    <row r="108" spans="1:35">
      <c r="A108" s="418">
        <v>23311</v>
      </c>
      <c r="B108" s="418">
        <v>1</v>
      </c>
      <c r="C108" s="418">
        <v>299</v>
      </c>
      <c r="D108" s="387"/>
      <c r="E108" s="387"/>
      <c r="F108" s="420"/>
      <c r="G108" s="419">
        <v>14.11</v>
      </c>
      <c r="H108" s="419">
        <v>19.38</v>
      </c>
      <c r="I108" s="419">
        <v>25.2</v>
      </c>
      <c r="J108" s="420"/>
      <c r="K108" s="419">
        <v>15.52</v>
      </c>
      <c r="L108" s="419">
        <v>22.02</v>
      </c>
      <c r="M108" s="419">
        <v>28.62</v>
      </c>
      <c r="N108" s="422"/>
      <c r="O108" s="419">
        <v>26.38</v>
      </c>
      <c r="P108" s="419">
        <v>37.43</v>
      </c>
      <c r="Q108" s="419">
        <v>48.66</v>
      </c>
      <c r="R108" s="333"/>
    </row>
    <row r="109" spans="1:35">
      <c r="A109" s="418">
        <v>23311</v>
      </c>
      <c r="B109" s="418">
        <v>300</v>
      </c>
      <c r="C109" s="418">
        <v>599</v>
      </c>
      <c r="D109" s="387"/>
      <c r="E109" s="387"/>
      <c r="F109" s="420"/>
      <c r="G109" s="419">
        <v>19.38</v>
      </c>
      <c r="H109" s="419">
        <v>23.26</v>
      </c>
      <c r="I109" s="419">
        <v>30.24</v>
      </c>
      <c r="J109" s="420"/>
      <c r="K109" s="419">
        <v>23.31</v>
      </c>
      <c r="L109" s="419">
        <v>25.14</v>
      </c>
      <c r="M109" s="419">
        <v>32.68</v>
      </c>
      <c r="N109" s="422"/>
      <c r="O109" s="419">
        <v>39.630000000000003</v>
      </c>
      <c r="P109" s="419">
        <v>42.74</v>
      </c>
      <c r="Q109" s="419">
        <v>55.56</v>
      </c>
      <c r="R109" s="333"/>
    </row>
    <row r="110" spans="1:35">
      <c r="A110" s="418">
        <v>23311</v>
      </c>
      <c r="B110" s="418">
        <v>600</v>
      </c>
      <c r="C110" s="418">
        <v>899</v>
      </c>
      <c r="D110" s="387"/>
      <c r="E110" s="387"/>
      <c r="F110" s="420"/>
      <c r="G110" s="419">
        <v>21.28</v>
      </c>
      <c r="H110" s="419">
        <v>27.91</v>
      </c>
      <c r="I110" s="419">
        <v>36.28</v>
      </c>
      <c r="J110" s="420"/>
      <c r="K110" s="419">
        <v>27.98</v>
      </c>
      <c r="L110" s="419">
        <v>30.17</v>
      </c>
      <c r="M110" s="419">
        <v>39.22</v>
      </c>
      <c r="N110" s="422"/>
      <c r="O110" s="419">
        <v>47.56</v>
      </c>
      <c r="P110" s="419">
        <v>51.29</v>
      </c>
      <c r="Q110" s="419">
        <v>66.67</v>
      </c>
      <c r="R110" s="333"/>
    </row>
    <row r="111" spans="1:35">
      <c r="A111" s="418">
        <v>23311</v>
      </c>
      <c r="B111" s="418">
        <v>900</v>
      </c>
      <c r="C111" s="418">
        <v>1199</v>
      </c>
      <c r="D111" s="387"/>
      <c r="E111" s="387"/>
      <c r="F111" s="420"/>
      <c r="G111" s="419">
        <v>24.47</v>
      </c>
      <c r="H111" s="419">
        <v>33.49</v>
      </c>
      <c r="I111" s="419">
        <v>43.54</v>
      </c>
      <c r="J111" s="420"/>
      <c r="K111" s="419">
        <v>32.17</v>
      </c>
      <c r="L111" s="419">
        <v>36.200000000000003</v>
      </c>
      <c r="M111" s="419">
        <v>47.06</v>
      </c>
      <c r="N111" s="422"/>
      <c r="O111" s="419">
        <v>54.69</v>
      </c>
      <c r="P111" s="419">
        <v>61.54</v>
      </c>
      <c r="Q111" s="419">
        <v>80</v>
      </c>
      <c r="R111" s="333"/>
    </row>
    <row r="112" spans="1:35">
      <c r="A112" s="418">
        <v>23311</v>
      </c>
      <c r="B112" s="418">
        <v>1200</v>
      </c>
      <c r="C112" s="418">
        <v>1499</v>
      </c>
      <c r="D112" s="387"/>
      <c r="E112" s="387"/>
      <c r="F112" s="420"/>
      <c r="G112" s="419">
        <v>28.14</v>
      </c>
      <c r="H112" s="419">
        <v>40.19</v>
      </c>
      <c r="I112" s="419">
        <v>52.25</v>
      </c>
      <c r="J112" s="420"/>
      <c r="K112" s="419">
        <v>37</v>
      </c>
      <c r="L112" s="419">
        <v>43.44</v>
      </c>
      <c r="M112" s="419">
        <v>56.47</v>
      </c>
      <c r="N112" s="422"/>
      <c r="O112" s="419">
        <v>62.9</v>
      </c>
      <c r="P112" s="419">
        <v>73.849999999999994</v>
      </c>
      <c r="Q112" s="419">
        <v>96.01</v>
      </c>
      <c r="R112" s="333"/>
    </row>
    <row r="113" spans="1:18">
      <c r="A113" s="418">
        <v>23311</v>
      </c>
      <c r="B113" s="418">
        <v>1500</v>
      </c>
      <c r="C113" s="418">
        <v>1799</v>
      </c>
      <c r="D113" s="387"/>
      <c r="E113" s="387"/>
      <c r="F113" s="420"/>
      <c r="G113" s="419">
        <v>32.36</v>
      </c>
      <c r="H113" s="419">
        <v>48.23</v>
      </c>
      <c r="I113" s="419">
        <v>62.7</v>
      </c>
      <c r="J113" s="420"/>
      <c r="K113" s="419">
        <v>42.55</v>
      </c>
      <c r="L113" s="419">
        <v>52.13</v>
      </c>
      <c r="M113" s="419">
        <v>67.77</v>
      </c>
      <c r="N113" s="422"/>
      <c r="O113" s="419">
        <v>72.33</v>
      </c>
      <c r="P113" s="419">
        <v>88.62</v>
      </c>
      <c r="Q113" s="419">
        <v>115.21</v>
      </c>
      <c r="R113" s="333"/>
    </row>
    <row r="114" spans="1:18">
      <c r="A114" s="418">
        <v>23213</v>
      </c>
      <c r="B114" s="418">
        <v>1</v>
      </c>
      <c r="C114" s="418">
        <v>299</v>
      </c>
      <c r="D114" s="419">
        <v>11.304605980799998</v>
      </c>
      <c r="E114" s="419">
        <v>15.522742540799996</v>
      </c>
      <c r="F114" s="420"/>
      <c r="G114" s="419">
        <v>15.14</v>
      </c>
      <c r="H114" s="419">
        <v>20.79</v>
      </c>
      <c r="I114" s="419">
        <v>27.03</v>
      </c>
      <c r="J114" s="420"/>
      <c r="K114" s="419">
        <v>16.649999999999999</v>
      </c>
      <c r="L114" s="419">
        <v>23.62</v>
      </c>
      <c r="M114" s="419">
        <v>30.7</v>
      </c>
      <c r="N114" s="420"/>
      <c r="O114" s="419">
        <v>28.3</v>
      </c>
      <c r="P114" s="419">
        <v>40.15</v>
      </c>
      <c r="Q114" s="419">
        <v>52.19</v>
      </c>
      <c r="R114" s="333"/>
    </row>
    <row r="115" spans="1:18">
      <c r="A115" s="418">
        <v>23213</v>
      </c>
      <c r="B115" s="418">
        <v>300</v>
      </c>
      <c r="C115" s="418">
        <v>599</v>
      </c>
      <c r="D115" s="419">
        <v>15.522742540799996</v>
      </c>
      <c r="E115" s="419">
        <v>18.627291048959993</v>
      </c>
      <c r="F115" s="420"/>
      <c r="G115" s="419">
        <v>20.79</v>
      </c>
      <c r="H115" s="419">
        <v>24.95</v>
      </c>
      <c r="I115" s="419">
        <v>32.43</v>
      </c>
      <c r="J115" s="420"/>
      <c r="K115" s="419">
        <v>25.01</v>
      </c>
      <c r="L115" s="419">
        <v>26.97</v>
      </c>
      <c r="M115" s="419">
        <v>35.06</v>
      </c>
      <c r="N115" s="420"/>
      <c r="O115" s="419">
        <v>42.52</v>
      </c>
      <c r="P115" s="419">
        <v>45.85</v>
      </c>
      <c r="Q115" s="419">
        <v>59.6</v>
      </c>
      <c r="R115" s="333"/>
    </row>
    <row r="116" spans="1:18">
      <c r="A116" s="418">
        <v>23213</v>
      </c>
      <c r="B116" s="418">
        <v>600</v>
      </c>
      <c r="C116" s="418">
        <v>899</v>
      </c>
      <c r="D116" s="419">
        <v>17.0412717024</v>
      </c>
      <c r="E116" s="419">
        <v>22.352749258751995</v>
      </c>
      <c r="F116" s="420"/>
      <c r="G116" s="419">
        <v>22.82</v>
      </c>
      <c r="H116" s="419">
        <v>29.94</v>
      </c>
      <c r="I116" s="419">
        <v>38.92</v>
      </c>
      <c r="J116" s="420"/>
      <c r="K116" s="419">
        <v>30.01</v>
      </c>
      <c r="L116" s="419">
        <v>32.36</v>
      </c>
      <c r="M116" s="419">
        <v>42.07</v>
      </c>
      <c r="N116" s="420"/>
      <c r="O116" s="419">
        <v>51.02</v>
      </c>
      <c r="P116" s="419">
        <v>55.01</v>
      </c>
      <c r="Q116" s="419">
        <v>71.52</v>
      </c>
      <c r="R116" s="333"/>
    </row>
    <row r="117" spans="1:18">
      <c r="A117" s="418">
        <v>23213</v>
      </c>
      <c r="B117" s="418">
        <v>900</v>
      </c>
      <c r="C117" s="418">
        <v>1199</v>
      </c>
      <c r="D117" s="419">
        <v>19.597462457759999</v>
      </c>
      <c r="E117" s="419">
        <v>26.823299110502393</v>
      </c>
      <c r="F117" s="420"/>
      <c r="G117" s="419">
        <v>26.25</v>
      </c>
      <c r="H117" s="419">
        <v>35.93</v>
      </c>
      <c r="I117" s="419">
        <v>46.71</v>
      </c>
      <c r="J117" s="420"/>
      <c r="K117" s="419">
        <v>34.51</v>
      </c>
      <c r="L117" s="419">
        <v>38.83</v>
      </c>
      <c r="M117" s="419">
        <v>50.48</v>
      </c>
      <c r="N117" s="420"/>
      <c r="O117" s="419">
        <v>58.67</v>
      </c>
      <c r="P117" s="419">
        <v>66.02</v>
      </c>
      <c r="Q117" s="419">
        <v>85.82</v>
      </c>
      <c r="R117" s="333"/>
    </row>
    <row r="118" spans="1:18">
      <c r="A118" s="418">
        <v>23213</v>
      </c>
      <c r="B118" s="418">
        <v>1200</v>
      </c>
      <c r="C118" s="418">
        <v>1499</v>
      </c>
      <c r="D118" s="419">
        <v>22.537081826423993</v>
      </c>
      <c r="E118" s="419">
        <v>32.187958932602868</v>
      </c>
      <c r="F118" s="420"/>
      <c r="G118" s="419">
        <v>30.19</v>
      </c>
      <c r="H118" s="419">
        <v>43.11</v>
      </c>
      <c r="I118" s="419">
        <v>56.05</v>
      </c>
      <c r="J118" s="420"/>
      <c r="K118" s="419">
        <v>39.69</v>
      </c>
      <c r="L118" s="419">
        <v>46.6</v>
      </c>
      <c r="M118" s="419">
        <v>60.58</v>
      </c>
      <c r="N118" s="420"/>
      <c r="O118" s="419">
        <v>67.47</v>
      </c>
      <c r="P118" s="419">
        <v>79.22</v>
      </c>
      <c r="Q118" s="419">
        <v>102.99</v>
      </c>
      <c r="R118" s="333"/>
    </row>
    <row r="119" spans="1:18">
      <c r="A119" s="418">
        <v>23213</v>
      </c>
      <c r="B119" s="418">
        <v>1500</v>
      </c>
      <c r="C119" s="418">
        <v>1799</v>
      </c>
      <c r="D119" s="419">
        <v>25.917644100387591</v>
      </c>
      <c r="E119" s="419">
        <v>38.625550719123446</v>
      </c>
      <c r="F119" s="420"/>
      <c r="G119" s="419">
        <v>34.71</v>
      </c>
      <c r="H119" s="419">
        <v>51.73</v>
      </c>
      <c r="I119" s="419">
        <v>67.260000000000005</v>
      </c>
      <c r="J119" s="420"/>
      <c r="K119" s="419">
        <v>45.64</v>
      </c>
      <c r="L119" s="419">
        <v>55.92</v>
      </c>
      <c r="M119" s="419">
        <v>72.7</v>
      </c>
      <c r="N119" s="420"/>
      <c r="O119" s="419">
        <v>77.59</v>
      </c>
      <c r="P119" s="419">
        <v>95.07</v>
      </c>
      <c r="Q119" s="419">
        <v>123.59</v>
      </c>
      <c r="R119" s="333"/>
    </row>
    <row r="120" spans="1:18">
      <c r="A120" s="423">
        <v>21508</v>
      </c>
      <c r="B120" s="423">
        <v>1</v>
      </c>
      <c r="C120" s="423">
        <v>299</v>
      </c>
      <c r="D120" s="424">
        <v>6.27</v>
      </c>
      <c r="E120" s="424">
        <v>8.61</v>
      </c>
      <c r="F120" s="420"/>
      <c r="G120" s="425">
        <v>8.15</v>
      </c>
      <c r="H120" s="425">
        <v>11.19</v>
      </c>
      <c r="I120" s="425">
        <v>14.56</v>
      </c>
      <c r="J120" s="426"/>
      <c r="K120" s="425">
        <v>8.9700000000000006</v>
      </c>
      <c r="L120" s="425">
        <v>12.73</v>
      </c>
      <c r="M120" s="425">
        <v>16.54</v>
      </c>
      <c r="N120" s="426"/>
      <c r="O120" s="425">
        <v>15.25</v>
      </c>
      <c r="P120" s="425">
        <v>21.63</v>
      </c>
      <c r="Q120" s="425">
        <v>28.12</v>
      </c>
    </row>
    <row r="121" spans="1:18">
      <c r="A121" s="423">
        <v>21508</v>
      </c>
      <c r="B121" s="423">
        <v>300</v>
      </c>
      <c r="C121" s="423">
        <v>599</v>
      </c>
      <c r="D121" s="424">
        <v>8.61</v>
      </c>
      <c r="E121" s="424">
        <v>10.34</v>
      </c>
      <c r="F121" s="420"/>
      <c r="G121" s="425">
        <v>11.19</v>
      </c>
      <c r="H121" s="425">
        <v>13.44</v>
      </c>
      <c r="I121" s="425">
        <v>17.47</v>
      </c>
      <c r="J121" s="426"/>
      <c r="K121" s="425">
        <v>13.47</v>
      </c>
      <c r="L121" s="425">
        <v>14.52</v>
      </c>
      <c r="M121" s="425">
        <v>18.89</v>
      </c>
      <c r="N121" s="426"/>
      <c r="O121" s="425">
        <v>22.91</v>
      </c>
      <c r="P121" s="425">
        <v>24.7</v>
      </c>
      <c r="Q121" s="425">
        <v>32.1</v>
      </c>
    </row>
    <row r="122" spans="1:18">
      <c r="A122" s="423">
        <v>21508</v>
      </c>
      <c r="B122" s="423">
        <v>600</v>
      </c>
      <c r="C122" s="423">
        <v>899</v>
      </c>
      <c r="D122" s="424">
        <v>9.4600000000000009</v>
      </c>
      <c r="E122" s="424">
        <v>12.4</v>
      </c>
      <c r="F122" s="420"/>
      <c r="G122" s="425">
        <v>12.3</v>
      </c>
      <c r="H122" s="425">
        <v>16.12</v>
      </c>
      <c r="I122" s="425">
        <v>20.97</v>
      </c>
      <c r="J122" s="426"/>
      <c r="K122" s="425">
        <v>16.16</v>
      </c>
      <c r="L122" s="425">
        <v>17.43</v>
      </c>
      <c r="M122" s="425">
        <v>22.66</v>
      </c>
      <c r="N122" s="426"/>
      <c r="O122" s="425">
        <v>27.48</v>
      </c>
      <c r="P122" s="425">
        <v>29.63</v>
      </c>
      <c r="Q122" s="425">
        <v>38.520000000000003</v>
      </c>
    </row>
    <row r="123" spans="1:18">
      <c r="A123" s="423">
        <v>21508</v>
      </c>
      <c r="B123" s="423">
        <v>900</v>
      </c>
      <c r="C123" s="423">
        <v>1199</v>
      </c>
      <c r="D123" s="424">
        <v>10.88</v>
      </c>
      <c r="E123" s="424">
        <v>14.89</v>
      </c>
      <c r="F123" s="420"/>
      <c r="G123" s="425">
        <v>14.14</v>
      </c>
      <c r="H123" s="425">
        <v>19.36</v>
      </c>
      <c r="I123" s="425">
        <v>25.16</v>
      </c>
      <c r="J123" s="426"/>
      <c r="K123" s="425">
        <v>18.59</v>
      </c>
      <c r="L123" s="425">
        <v>20.92</v>
      </c>
      <c r="M123" s="425">
        <v>27.2</v>
      </c>
      <c r="N123" s="426"/>
      <c r="O123" s="425">
        <v>31.6</v>
      </c>
      <c r="P123" s="425">
        <v>35.56</v>
      </c>
      <c r="Q123" s="425">
        <v>46.23</v>
      </c>
    </row>
    <row r="124" spans="1:18">
      <c r="A124" s="423">
        <v>21508</v>
      </c>
      <c r="B124" s="423">
        <v>1200</v>
      </c>
      <c r="C124" s="423">
        <v>1499</v>
      </c>
      <c r="D124" s="424">
        <v>12.51</v>
      </c>
      <c r="E124" s="424">
        <v>17.86</v>
      </c>
      <c r="F124" s="420"/>
      <c r="G124" s="425">
        <v>16.260000000000002</v>
      </c>
      <c r="H124" s="425">
        <v>23.22</v>
      </c>
      <c r="I124" s="425">
        <v>30.19</v>
      </c>
      <c r="J124" s="426"/>
      <c r="K124" s="425">
        <v>21.39</v>
      </c>
      <c r="L124" s="425">
        <v>25.1</v>
      </c>
      <c r="M124" s="425">
        <v>32.630000000000003</v>
      </c>
      <c r="N124" s="426"/>
      <c r="O124" s="425">
        <v>36.35</v>
      </c>
      <c r="P124" s="425">
        <v>42.67</v>
      </c>
      <c r="Q124" s="425">
        <v>55.47</v>
      </c>
    </row>
    <row r="125" spans="1:18">
      <c r="A125" s="423">
        <v>21508</v>
      </c>
      <c r="B125" s="423">
        <v>1500</v>
      </c>
      <c r="C125" s="423">
        <v>1799</v>
      </c>
      <c r="D125" s="424">
        <v>14.38</v>
      </c>
      <c r="E125" s="424">
        <v>21.44</v>
      </c>
      <c r="F125" s="420"/>
      <c r="G125" s="425">
        <v>18.690000000000001</v>
      </c>
      <c r="H125" s="425">
        <v>27.87</v>
      </c>
      <c r="I125" s="425">
        <v>36.229999999999997</v>
      </c>
      <c r="J125" s="426"/>
      <c r="K125" s="425">
        <v>24.58</v>
      </c>
      <c r="L125" s="425">
        <v>30.12</v>
      </c>
      <c r="M125" s="425">
        <v>39.159999999999997</v>
      </c>
      <c r="N125" s="426"/>
      <c r="O125" s="425">
        <v>41.8</v>
      </c>
      <c r="P125" s="425">
        <v>51.21</v>
      </c>
      <c r="Q125" s="425">
        <v>66.569999999999993</v>
      </c>
    </row>
  </sheetData>
  <autoFilter ref="A1:Q65" xr:uid="{3D26CAEC-2429-452A-9EDA-6C88B71F5A65}"/>
  <mergeCells count="8">
    <mergeCell ref="T48:V48"/>
    <mergeCell ref="X1:AA1"/>
    <mergeCell ref="X2:AA2"/>
    <mergeCell ref="AG3:AJ3"/>
    <mergeCell ref="X39:Y39"/>
    <mergeCell ref="X44:Y44"/>
    <mergeCell ref="T19:AA19"/>
    <mergeCell ref="T20:U20"/>
  </mergeCells>
  <pageMargins left="0" right="0" top="0" bottom="0" header="0.3" footer="0.3"/>
  <pageSetup paperSize="17" scale="73" orientation="landscape" r:id="rId1"/>
  <headerFooter>
    <oddHeader>&amp;R&amp;"Arial"&amp;11&amp;KFF7300 MANN+HUMMEL - Confidential&amp;1#_x000D_</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33D841-7860-4D57-94A7-690D94334368}">
  <sheetPr codeName="Sheet13">
    <tabColor theme="4" tint="0.59999389629810485"/>
  </sheetPr>
  <dimension ref="B1:M34"/>
  <sheetViews>
    <sheetView showGridLines="0" topLeftCell="A5" workbookViewId="0">
      <selection activeCell="I7" sqref="I7:M18"/>
    </sheetView>
  </sheetViews>
  <sheetFormatPr defaultColWidth="8.81640625" defaultRowHeight="14.5"/>
  <cols>
    <col min="1" max="1" width="8.81640625" style="217"/>
    <col min="2" max="2" width="13.7265625" style="217" customWidth="1"/>
    <col min="3" max="3" width="31.453125" style="217" customWidth="1"/>
    <col min="4" max="4" width="6.7265625" style="217" customWidth="1"/>
    <col min="5" max="5" width="23.26953125" style="217" customWidth="1"/>
    <col min="6" max="6" width="21.1796875" style="217" customWidth="1"/>
    <col min="7" max="7" width="20.81640625" style="217" customWidth="1"/>
    <col min="8" max="8" width="8.81640625" style="217"/>
    <col min="9" max="9" width="9.453125" style="217" customWidth="1"/>
    <col min="10" max="10" width="10.26953125" style="217" customWidth="1"/>
    <col min="11" max="11" width="10.453125" style="217" customWidth="1"/>
    <col min="12" max="16384" width="8.81640625" style="217"/>
  </cols>
  <sheetData>
    <row r="1" spans="2:13" ht="15" thickBot="1"/>
    <row r="2" spans="2:13" ht="15" thickBot="1">
      <c r="B2" s="267"/>
      <c r="C2" s="268"/>
      <c r="D2" s="268"/>
      <c r="E2" s="268"/>
      <c r="F2" s="268"/>
      <c r="G2" s="269"/>
      <c r="I2" s="458" t="s">
        <v>292</v>
      </c>
      <c r="J2" s="459"/>
      <c r="K2" s="459"/>
      <c r="L2" s="459"/>
      <c r="M2" s="460"/>
    </row>
    <row r="3" spans="2:13" ht="42" customHeight="1">
      <c r="B3" s="270"/>
      <c r="C3" s="271"/>
      <c r="D3" s="461" t="s">
        <v>293</v>
      </c>
      <c r="E3" s="461"/>
      <c r="F3" s="461"/>
      <c r="G3" s="272"/>
      <c r="I3" s="462" t="s">
        <v>294</v>
      </c>
      <c r="J3" s="463"/>
      <c r="K3" s="463"/>
      <c r="L3" s="463"/>
      <c r="M3" s="464"/>
    </row>
    <row r="4" spans="2:13" ht="39" customHeight="1">
      <c r="B4" s="270"/>
      <c r="C4" s="271"/>
      <c r="D4" s="461"/>
      <c r="E4" s="461"/>
      <c r="F4" s="461"/>
      <c r="G4" s="272"/>
      <c r="I4" s="465"/>
      <c r="J4" s="466"/>
      <c r="K4" s="466"/>
      <c r="L4" s="466"/>
      <c r="M4" s="467"/>
    </row>
    <row r="5" spans="2:13" ht="19" customHeight="1" thickBot="1">
      <c r="B5" s="270"/>
      <c r="C5" s="271"/>
      <c r="D5" s="461"/>
      <c r="E5" s="461"/>
      <c r="F5" s="461"/>
      <c r="G5" s="272"/>
      <c r="I5" s="468"/>
      <c r="J5" s="469"/>
      <c r="K5" s="469"/>
      <c r="L5" s="469"/>
      <c r="M5" s="470"/>
    </row>
    <row r="6" spans="2:13" ht="19" thickBot="1">
      <c r="B6" s="270"/>
      <c r="C6" s="271"/>
      <c r="D6" s="271"/>
      <c r="E6" s="271"/>
      <c r="F6" s="271"/>
      <c r="G6" s="273"/>
      <c r="I6" s="471"/>
      <c r="J6" s="471"/>
      <c r="K6" s="471"/>
    </row>
    <row r="7" spans="2:13" ht="18.75" customHeight="1">
      <c r="B7" s="270"/>
      <c r="C7" s="274" t="s">
        <v>31</v>
      </c>
      <c r="D7" s="271"/>
      <c r="E7" s="472" t="s">
        <v>295</v>
      </c>
      <c r="F7" s="473"/>
      <c r="G7" s="273"/>
      <c r="I7" s="474" t="s">
        <v>296</v>
      </c>
      <c r="J7" s="475"/>
      <c r="K7" s="475"/>
      <c r="L7" s="475"/>
      <c r="M7" s="476"/>
    </row>
    <row r="8" spans="2:13" ht="18.5">
      <c r="B8" s="270"/>
      <c r="C8" s="274"/>
      <c r="D8" s="271"/>
      <c r="E8" s="271"/>
      <c r="F8" s="271"/>
      <c r="G8" s="273"/>
      <c r="I8" s="477"/>
      <c r="J8" s="478"/>
      <c r="K8" s="478"/>
      <c r="L8" s="478"/>
      <c r="M8" s="479"/>
    </row>
    <row r="9" spans="2:13" ht="18.5">
      <c r="B9" s="270"/>
      <c r="C9" s="274" t="s">
        <v>297</v>
      </c>
      <c r="D9" s="271"/>
      <c r="E9" s="472" t="s">
        <v>298</v>
      </c>
      <c r="F9" s="473"/>
      <c r="G9" s="273"/>
      <c r="I9" s="477"/>
      <c r="J9" s="478"/>
      <c r="K9" s="478"/>
      <c r="L9" s="478"/>
      <c r="M9" s="479"/>
    </row>
    <row r="10" spans="2:13" ht="18.5">
      <c r="B10" s="270"/>
      <c r="C10" s="274"/>
      <c r="D10" s="271"/>
      <c r="E10" s="271"/>
      <c r="F10" s="271"/>
      <c r="G10" s="273"/>
      <c r="I10" s="477"/>
      <c r="J10" s="478"/>
      <c r="K10" s="478"/>
      <c r="L10" s="478"/>
      <c r="M10" s="479"/>
    </row>
    <row r="11" spans="2:13" ht="18.5">
      <c r="B11" s="270"/>
      <c r="C11" s="274" t="s">
        <v>299</v>
      </c>
      <c r="D11" s="271"/>
      <c r="E11" s="483" t="s">
        <v>300</v>
      </c>
      <c r="F11" s="484"/>
      <c r="G11" s="273"/>
      <c r="I11" s="477"/>
      <c r="J11" s="478"/>
      <c r="K11" s="478"/>
      <c r="L11" s="478"/>
      <c r="M11" s="479"/>
    </row>
    <row r="12" spans="2:13" ht="18.5">
      <c r="B12" s="270"/>
      <c r="C12" s="274" t="s">
        <v>301</v>
      </c>
      <c r="D12" s="271"/>
      <c r="E12" s="483">
        <v>4</v>
      </c>
      <c r="F12" s="484"/>
      <c r="G12" s="273"/>
      <c r="I12" s="477"/>
      <c r="J12" s="478"/>
      <c r="K12" s="478"/>
      <c r="L12" s="478"/>
      <c r="M12" s="479"/>
    </row>
    <row r="13" spans="2:13" ht="18.5">
      <c r="B13" s="270"/>
      <c r="C13" s="274"/>
      <c r="D13" s="271"/>
      <c r="E13" s="271"/>
      <c r="F13" s="271"/>
      <c r="G13" s="273"/>
      <c r="I13" s="477"/>
      <c r="J13" s="478"/>
      <c r="K13" s="478"/>
      <c r="L13" s="478"/>
      <c r="M13" s="479"/>
    </row>
    <row r="14" spans="2:13" ht="18.5">
      <c r="B14" s="270"/>
      <c r="C14" s="274" t="s">
        <v>302</v>
      </c>
      <c r="D14" s="271"/>
      <c r="E14" s="485" t="s">
        <v>90</v>
      </c>
      <c r="F14" s="486"/>
      <c r="G14" s="273"/>
      <c r="I14" s="477"/>
      <c r="J14" s="478"/>
      <c r="K14" s="478"/>
      <c r="L14" s="478"/>
      <c r="M14" s="479"/>
    </row>
    <row r="15" spans="2:13" ht="18.5">
      <c r="B15" s="270"/>
      <c r="C15" s="274"/>
      <c r="D15" s="271"/>
      <c r="E15" s="271"/>
      <c r="F15" s="271"/>
      <c r="G15" s="273"/>
      <c r="I15" s="477"/>
      <c r="J15" s="478"/>
      <c r="K15" s="478"/>
      <c r="L15" s="478"/>
      <c r="M15" s="479"/>
    </row>
    <row r="16" spans="2:13" ht="18.5">
      <c r="B16" s="270"/>
      <c r="C16" s="271"/>
      <c r="D16" s="271"/>
      <c r="E16" s="275" t="s">
        <v>33</v>
      </c>
      <c r="F16" s="275" t="s">
        <v>34</v>
      </c>
      <c r="G16" s="273"/>
      <c r="I16" s="477"/>
      <c r="J16" s="478"/>
      <c r="K16" s="478"/>
      <c r="L16" s="478"/>
      <c r="M16" s="479"/>
    </row>
    <row r="17" spans="2:13" ht="18.5">
      <c r="B17" s="270"/>
      <c r="C17" s="274" t="s">
        <v>303</v>
      </c>
      <c r="D17" s="271"/>
      <c r="E17" s="276">
        <v>35</v>
      </c>
      <c r="F17" s="277">
        <v>0</v>
      </c>
      <c r="G17" s="273"/>
      <c r="I17" s="477"/>
      <c r="J17" s="478"/>
      <c r="K17" s="478"/>
      <c r="L17" s="478"/>
      <c r="M17" s="479"/>
    </row>
    <row r="18" spans="2:13" ht="19" thickBot="1">
      <c r="B18" s="270"/>
      <c r="C18" s="274" t="s">
        <v>304</v>
      </c>
      <c r="D18" s="271"/>
      <c r="E18" s="278">
        <v>20</v>
      </c>
      <c r="F18" s="279">
        <v>0</v>
      </c>
      <c r="G18" s="273"/>
      <c r="I18" s="480"/>
      <c r="J18" s="481"/>
      <c r="K18" s="481"/>
      <c r="L18" s="481"/>
      <c r="M18" s="482"/>
    </row>
    <row r="19" spans="2:13" ht="18.5">
      <c r="B19" s="270"/>
      <c r="C19" s="274" t="s">
        <v>305</v>
      </c>
      <c r="D19" s="271"/>
      <c r="E19" s="453" t="str">
        <f>'Pricing Logic Panels-Links'!M38</f>
        <v>77-83"</v>
      </c>
      <c r="F19" s="454"/>
      <c r="G19" s="273"/>
      <c r="I19" s="280"/>
      <c r="J19" s="280"/>
      <c r="K19" s="280"/>
      <c r="L19" s="280"/>
      <c r="M19" s="280"/>
    </row>
    <row r="20" spans="2:13" ht="18.5">
      <c r="B20" s="270"/>
      <c r="C20" s="274"/>
      <c r="D20" s="271"/>
      <c r="E20" s="271"/>
      <c r="F20" s="271"/>
      <c r="G20" s="273"/>
      <c r="I20" s="280"/>
      <c r="J20" s="280"/>
      <c r="K20" s="280"/>
      <c r="L20" s="280"/>
      <c r="M20" s="280"/>
    </row>
    <row r="21" spans="2:13" ht="18.5">
      <c r="B21" s="270"/>
      <c r="C21" s="274"/>
      <c r="D21" s="271"/>
      <c r="E21" s="271"/>
      <c r="F21" s="271"/>
      <c r="G21" s="273"/>
      <c r="I21" s="280"/>
      <c r="J21" s="280"/>
      <c r="K21" s="280"/>
      <c r="L21" s="280"/>
      <c r="M21" s="280"/>
    </row>
    <row r="22" spans="2:13" ht="18.5">
      <c r="B22" s="270"/>
      <c r="C22" s="274"/>
      <c r="D22" s="271"/>
      <c r="E22" s="271"/>
      <c r="F22" s="271"/>
      <c r="G22" s="273"/>
      <c r="I22" s="280"/>
      <c r="J22" s="280"/>
      <c r="K22" s="280"/>
      <c r="L22" s="280"/>
      <c r="M22" s="280"/>
    </row>
    <row r="23" spans="2:13" ht="24" customHeight="1">
      <c r="B23" s="270"/>
      <c r="C23" s="274" t="s">
        <v>41</v>
      </c>
      <c r="D23" s="271"/>
      <c r="E23" s="281" t="str">
        <f>IF(E11='Pricing Logic Panels-Links'!L14,'Pricing Logic Panels-Links'!M27,'Pricing Logic Panels-Links'!M26)</f>
        <v>05035E20E04</v>
      </c>
      <c r="F23" s="282"/>
      <c r="G23" s="273"/>
      <c r="I23" s="280"/>
      <c r="J23" s="280"/>
      <c r="K23" s="280"/>
      <c r="L23" s="280"/>
      <c r="M23" s="280"/>
    </row>
    <row r="24" spans="2:13" ht="17.25" customHeight="1">
      <c r="B24" s="270"/>
      <c r="G24" s="283"/>
      <c r="I24" s="280"/>
      <c r="J24" s="280"/>
      <c r="K24" s="280"/>
      <c r="L24" s="280"/>
      <c r="M24" s="280"/>
    </row>
    <row r="25" spans="2:13" ht="27.75" customHeight="1">
      <c r="B25" s="270"/>
      <c r="C25" s="274" t="s">
        <v>42</v>
      </c>
      <c r="D25" s="271"/>
      <c r="E25" s="284">
        <f>IF('Pricing Logic Panels-Links'!R46="",'Pricing Logic Panels-Links'!R27,'Pricing Logic Panels-Links'!R46)</f>
        <v>66.56</v>
      </c>
      <c r="F25" s="285"/>
      <c r="G25" s="283"/>
      <c r="I25" s="280"/>
      <c r="J25" s="280"/>
      <c r="K25" s="280"/>
      <c r="L25" s="286"/>
      <c r="M25" s="280"/>
    </row>
    <row r="26" spans="2:13" ht="27.75" customHeight="1">
      <c r="B26" s="270"/>
      <c r="C26" s="274"/>
      <c r="D26" s="271"/>
      <c r="E26" s="287"/>
      <c r="F26" s="287"/>
      <c r="G26" s="283"/>
      <c r="I26" s="280"/>
      <c r="J26" s="280"/>
      <c r="K26" s="280"/>
      <c r="L26" s="280"/>
      <c r="M26" s="288"/>
    </row>
    <row r="27" spans="2:13" ht="27.75" customHeight="1">
      <c r="B27" s="270"/>
      <c r="C27" s="274" t="s">
        <v>43</v>
      </c>
      <c r="D27" s="271"/>
      <c r="E27" s="289">
        <f>IF(E25='Pricing Logic Panels-Links'!R46,"",'Pricing Logic Panels-Links'!T30)</f>
        <v>3</v>
      </c>
      <c r="F27" s="290"/>
      <c r="G27" s="283"/>
      <c r="J27" s="214"/>
    </row>
    <row r="28" spans="2:13" ht="27.75" customHeight="1">
      <c r="B28" s="270"/>
      <c r="C28" s="274" t="s">
        <v>44</v>
      </c>
      <c r="E28" s="284">
        <f>IF(E25='Pricing Logic Panels-Links'!R46,"",'Pricing Logic Panels-Links'!T31)</f>
        <v>199.68</v>
      </c>
      <c r="F28" s="285"/>
      <c r="G28" s="283"/>
      <c r="J28" s="214"/>
    </row>
    <row r="29" spans="2:13" ht="27.75" customHeight="1" thickBot="1">
      <c r="B29" s="291"/>
      <c r="C29" s="292"/>
      <c r="D29" s="292"/>
      <c r="E29" s="292"/>
      <c r="F29" s="292"/>
      <c r="G29" s="293"/>
    </row>
    <row r="32" spans="2:13" ht="268.5" customHeight="1" thickBot="1">
      <c r="B32" s="455" t="s">
        <v>306</v>
      </c>
      <c r="C32" s="456"/>
      <c r="D32" s="456"/>
      <c r="E32" s="456"/>
      <c r="F32" s="456"/>
      <c r="G32" s="457"/>
    </row>
    <row r="33" spans="2:2">
      <c r="B33" s="294"/>
    </row>
    <row r="34" spans="2:2">
      <c r="B34" s="294"/>
    </row>
  </sheetData>
  <protectedRanges>
    <protectedRange sqref="E7:F18" name="Input"/>
  </protectedRanges>
  <mergeCells count="12">
    <mergeCell ref="E19:F19"/>
    <mergeCell ref="B32:G32"/>
    <mergeCell ref="I2:M2"/>
    <mergeCell ref="D3:F5"/>
    <mergeCell ref="I3:M5"/>
    <mergeCell ref="I6:K6"/>
    <mergeCell ref="E7:F7"/>
    <mergeCell ref="I7:M18"/>
    <mergeCell ref="E9:F9"/>
    <mergeCell ref="E11:F11"/>
    <mergeCell ref="E12:F12"/>
    <mergeCell ref="E14:F14"/>
  </mergeCells>
  <conditionalFormatting sqref="C12:F12">
    <cfRule type="expression" dxfId="6" priority="2">
      <formula>($E$11="Panel")</formula>
    </cfRule>
  </conditionalFormatting>
  <conditionalFormatting sqref="C19:F19">
    <cfRule type="expression" dxfId="5" priority="1">
      <formula>($E$11="Panel")</formula>
    </cfRule>
  </conditionalFormatting>
  <dataValidations count="3">
    <dataValidation type="whole" allowBlank="1" showInputMessage="1" showErrorMessage="1" sqref="E20:E22" xr:uid="{C11F8992-7D51-462C-9447-FA794CC329DD}">
      <formula1>8</formula1>
      <formula2>78</formula2>
    </dataValidation>
    <dataValidation allowBlank="1" showInputMessage="1" showErrorMessage="1" sqref="E8:F8" xr:uid="{3D4B4DAD-C720-4D29-8EBF-6F7D16B9AD4E}"/>
    <dataValidation type="whole" allowBlank="1" showInputMessage="1" showErrorMessage="1" sqref="E12:F12" xr:uid="{8078AF71-30EA-4EF8-9E10-A4C730B68429}">
      <formula1>2</formula1>
      <formula2>24</formula2>
    </dataValidation>
  </dataValidations>
  <pageMargins left="0.7" right="0.7" top="0.75" bottom="0.75" header="0.3" footer="0.3"/>
  <headerFooter>
    <oddHeader>&amp;R&amp;"Arial"&amp;11&amp;KFF7300 MANN+HUMMEL - Confidential&amp;1#_x000D_</oddHeader>
  </headerFooter>
  <drawing r:id="rId1"/>
  <extLst>
    <ext xmlns:x14="http://schemas.microsoft.com/office/spreadsheetml/2009/9/main" uri="{CCE6A557-97BC-4b89-ADB6-D9C93CAAB3DF}">
      <x14:dataValidations xmlns:xm="http://schemas.microsoft.com/office/excel/2006/main" count="8">
        <x14:dataValidation type="list" allowBlank="1" showInputMessage="1" showErrorMessage="1" xr:uid="{7CEDC221-33F6-4458-931E-53417F54F82F}">
          <x14:formula1>
            <xm:f>'Pricing Logic Panels-Links'!$L$3:$L$6</xm:f>
          </x14:formula1>
          <xm:sqref>E7:F7</xm:sqref>
        </x14:dataValidation>
        <x14:dataValidation type="list" allowBlank="1" showInputMessage="1" showErrorMessage="1" xr:uid="{B7AB706A-ACC5-45FD-B107-35ABC0AAB84E}">
          <x14:formula1>
            <xm:f>'Pricing Logic Panels-Links'!$L$9:$L$10</xm:f>
          </x14:formula1>
          <xm:sqref>E9:F9</xm:sqref>
        </x14:dataValidation>
        <x14:dataValidation type="list" allowBlank="1" showInputMessage="1" showErrorMessage="1" xr:uid="{19D66AF7-489A-4A34-8B20-367763CEC979}">
          <x14:formula1>
            <xm:f>'Pricing Logic Panels-Links'!$L$14:$L$15</xm:f>
          </x14:formula1>
          <xm:sqref>E11:F11</xm:sqref>
        </x14:dataValidation>
        <x14:dataValidation type="list" allowBlank="1" showInputMessage="1" showErrorMessage="1" xr:uid="{09FA5451-BA46-456F-B0A5-F4C583C8A2F5}">
          <x14:formula1>
            <xm:f>'Pricing Logic Panels-Links'!$M$8:$M$9</xm:f>
          </x14:formula1>
          <xm:sqref>E14:F14</xm:sqref>
        </x14:dataValidation>
        <x14:dataValidation type="list" allowBlank="1" showInputMessage="1" showErrorMessage="1" xr:uid="{9D103560-55F2-4D84-84F8-0EEABB81C48C}">
          <x14:formula1>
            <xm:f>'Pricing Logic Panels-Links'!$X$13:$X$61</xm:f>
          </x14:formula1>
          <xm:sqref>E17</xm:sqref>
        </x14:dataValidation>
        <x14:dataValidation type="list" allowBlank="1" showInputMessage="1" showErrorMessage="1" xr:uid="{3AFB0A91-52B8-4D62-BA67-86F1738DCAC0}">
          <x14:formula1>
            <xm:f>'Pricing Logic Panels-Links'!$V$13:$V$88</xm:f>
          </x14:formula1>
          <xm:sqref>E18</xm:sqref>
        </x14:dataValidation>
        <x14:dataValidation type="list" allowBlank="1" showInputMessage="1" showErrorMessage="1" xr:uid="{2B474E34-0CE0-447C-A45D-61231573BD85}">
          <x14:formula1>
            <xm:f>'Pricing Logic Panels-Links'!$R$4:$R$11</xm:f>
          </x14:formula1>
          <xm:sqref>F17</xm:sqref>
        </x14:dataValidation>
        <x14:dataValidation type="list" allowBlank="1" showInputMessage="1" showErrorMessage="1" xr:uid="{F49030E1-562B-4B50-9115-0E2B12121FE2}">
          <x14:formula1>
            <xm:f>IF($E$18=78,'Pricing Logic Panels-Links'!$R$4,'Pricing Logic Panels-Links'!$R$4:$R$11)</xm:f>
          </x14:formula1>
          <xm:sqref>F18</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0BFD95-BC62-42BE-B282-F5E0DADF62A6}">
  <sheetPr codeName="Sheet14"/>
  <dimension ref="A1:AE5779"/>
  <sheetViews>
    <sheetView workbookViewId="0">
      <pane ySplit="2" topLeftCell="A3" activePane="bottomLeft" state="frozen"/>
      <selection activeCell="I7" sqref="I7:M18"/>
      <selection pane="bottomLeft" activeCell="I7" sqref="I7:M18"/>
    </sheetView>
  </sheetViews>
  <sheetFormatPr defaultColWidth="8.81640625" defaultRowHeight="14.5"/>
  <cols>
    <col min="1" max="1" width="12.81640625" style="217" customWidth="1"/>
    <col min="2" max="5" width="20.453125" style="217" customWidth="1"/>
    <col min="6" max="6" width="25.54296875" style="217" customWidth="1"/>
    <col min="7" max="8" width="27" style="217" customWidth="1"/>
    <col min="9" max="9" width="27" style="217" hidden="1" customWidth="1"/>
    <col min="10" max="10" width="8.81640625" style="217"/>
    <col min="11" max="11" width="9.7265625" style="217" bestFit="1" customWidth="1"/>
    <col min="12" max="12" width="21" style="217" customWidth="1"/>
    <col min="13" max="13" width="25" style="217" customWidth="1"/>
    <col min="14" max="14" width="14.26953125" style="217" customWidth="1"/>
    <col min="15" max="15" width="30.26953125" style="217" bestFit="1" customWidth="1"/>
    <col min="16" max="16" width="30.26953125" style="217" customWidth="1"/>
    <col min="17" max="17" width="15.1796875" style="217" customWidth="1"/>
    <col min="18" max="18" width="10.7265625" style="217" customWidth="1"/>
    <col min="19" max="19" width="11.7265625" style="217" customWidth="1"/>
    <col min="20" max="20" width="10.54296875" style="217" customWidth="1"/>
    <col min="21" max="21" width="8.81640625" style="217"/>
    <col min="22" max="22" width="10.81640625" style="217" customWidth="1"/>
    <col min="23" max="23" width="8.81640625" style="217"/>
    <col min="24" max="24" width="11.54296875" style="217" customWidth="1"/>
    <col min="25" max="27" width="8.81640625" style="217"/>
    <col min="28" max="28" width="17" style="217" customWidth="1"/>
    <col min="29" max="29" width="28.54296875" style="217" bestFit="1" customWidth="1"/>
    <col min="30" max="30" width="17.26953125" style="217" customWidth="1"/>
    <col min="31" max="31" width="11.26953125" style="217" customWidth="1"/>
    <col min="32" max="16384" width="8.81640625" style="217"/>
  </cols>
  <sheetData>
    <row r="1" spans="1:31" ht="15" customHeight="1">
      <c r="A1" s="214"/>
      <c r="B1" s="214"/>
      <c r="C1" s="214"/>
      <c r="D1" s="214"/>
      <c r="E1" s="214"/>
      <c r="F1" s="214"/>
      <c r="G1" s="214"/>
      <c r="H1" s="215">
        <f>(H45-G45)/G45</f>
        <v>4.0899795501022532E-2</v>
      </c>
      <c r="I1" s="216" t="s">
        <v>307</v>
      </c>
    </row>
    <row r="2" spans="1:31" ht="57" customHeight="1">
      <c r="A2" s="218" t="s">
        <v>248</v>
      </c>
      <c r="B2" s="218" t="s">
        <v>308</v>
      </c>
      <c r="C2" s="218" t="s">
        <v>309</v>
      </c>
      <c r="D2" s="218" t="s">
        <v>225</v>
      </c>
      <c r="E2" s="218" t="s">
        <v>310</v>
      </c>
      <c r="F2" s="218" t="s">
        <v>311</v>
      </c>
      <c r="G2" s="219" t="s">
        <v>312</v>
      </c>
      <c r="H2" s="220" t="s">
        <v>313</v>
      </c>
      <c r="I2" s="221" t="s">
        <v>314</v>
      </c>
      <c r="L2" s="222" t="s">
        <v>59</v>
      </c>
      <c r="M2" s="222" t="s">
        <v>25</v>
      </c>
      <c r="N2" s="222"/>
      <c r="O2" s="222" t="s">
        <v>61</v>
      </c>
      <c r="P2" s="222" t="s">
        <v>62</v>
      </c>
      <c r="Q2" s="487" t="s">
        <v>63</v>
      </c>
      <c r="R2" s="488"/>
      <c r="S2" s="488"/>
      <c r="T2" s="489"/>
    </row>
    <row r="3" spans="1:31">
      <c r="A3" s="223">
        <v>31</v>
      </c>
      <c r="B3" s="223" t="s">
        <v>315</v>
      </c>
      <c r="C3" s="223" t="s">
        <v>316</v>
      </c>
      <c r="D3" s="223" t="s">
        <v>316</v>
      </c>
      <c r="E3" s="223">
        <v>16</v>
      </c>
      <c r="F3" s="223">
        <v>249</v>
      </c>
      <c r="G3" s="377">
        <v>3.81</v>
      </c>
      <c r="H3" s="116" t="s">
        <v>317</v>
      </c>
      <c r="I3" s="223"/>
      <c r="L3" s="217" t="s">
        <v>318</v>
      </c>
      <c r="M3" s="225" t="s">
        <v>319</v>
      </c>
      <c r="N3" s="225"/>
      <c r="O3" s="225" t="s">
        <v>320</v>
      </c>
      <c r="P3" s="226">
        <v>193</v>
      </c>
      <c r="Q3" s="487" t="s">
        <v>67</v>
      </c>
      <c r="R3" s="488"/>
      <c r="S3" s="488"/>
      <c r="T3" s="489"/>
    </row>
    <row r="4" spans="1:31">
      <c r="A4" s="227">
        <v>31</v>
      </c>
      <c r="B4" s="227" t="s">
        <v>315</v>
      </c>
      <c r="C4" s="227" t="s">
        <v>316</v>
      </c>
      <c r="D4" s="227" t="s">
        <v>316</v>
      </c>
      <c r="E4" s="227">
        <v>250</v>
      </c>
      <c r="F4" s="227">
        <v>299</v>
      </c>
      <c r="G4" s="377">
        <v>3.9</v>
      </c>
      <c r="H4" s="116"/>
      <c r="I4" s="227"/>
      <c r="L4" s="217" t="s">
        <v>321</v>
      </c>
      <c r="M4" s="225" t="s">
        <v>322</v>
      </c>
      <c r="N4" s="225"/>
      <c r="O4" s="217" t="s">
        <v>321</v>
      </c>
      <c r="P4" s="229">
        <v>88</v>
      </c>
      <c r="Q4" s="94">
        <v>0</v>
      </c>
      <c r="R4" s="94">
        <v>0</v>
      </c>
      <c r="S4" s="94">
        <v>0</v>
      </c>
      <c r="T4" s="94">
        <v>0</v>
      </c>
    </row>
    <row r="5" spans="1:31">
      <c r="A5" s="227">
        <v>31</v>
      </c>
      <c r="B5" s="227" t="s">
        <v>315</v>
      </c>
      <c r="C5" s="227" t="s">
        <v>316</v>
      </c>
      <c r="D5" s="227" t="s">
        <v>316</v>
      </c>
      <c r="E5" s="227">
        <v>300</v>
      </c>
      <c r="F5" s="227">
        <v>349</v>
      </c>
      <c r="G5" s="377">
        <v>3.98</v>
      </c>
      <c r="H5" s="116"/>
      <c r="I5" s="227"/>
      <c r="L5" s="217" t="s">
        <v>295</v>
      </c>
      <c r="M5" s="225" t="s">
        <v>323</v>
      </c>
      <c r="N5" s="225"/>
      <c r="O5" s="217" t="s">
        <v>295</v>
      </c>
      <c r="P5" s="229">
        <v>191</v>
      </c>
      <c r="Q5" s="94">
        <v>0.125</v>
      </c>
      <c r="R5" s="95">
        <v>0.125</v>
      </c>
      <c r="S5" s="94" t="s">
        <v>74</v>
      </c>
      <c r="T5" s="94">
        <v>125</v>
      </c>
    </row>
    <row r="6" spans="1:31">
      <c r="A6" s="227">
        <v>31</v>
      </c>
      <c r="B6" s="227" t="s">
        <v>315</v>
      </c>
      <c r="C6" s="227" t="s">
        <v>316</v>
      </c>
      <c r="D6" s="227" t="s">
        <v>316</v>
      </c>
      <c r="E6" s="227">
        <v>350</v>
      </c>
      <c r="F6" s="227">
        <v>399</v>
      </c>
      <c r="G6" s="377">
        <v>4.07</v>
      </c>
      <c r="H6" s="116"/>
      <c r="I6" s="227"/>
      <c r="L6" s="217" t="s">
        <v>324</v>
      </c>
      <c r="M6" s="225" t="s">
        <v>325</v>
      </c>
      <c r="N6" s="225"/>
      <c r="O6" s="225" t="s">
        <v>326</v>
      </c>
      <c r="P6" s="226">
        <v>199</v>
      </c>
      <c r="Q6" s="94">
        <v>0.25</v>
      </c>
      <c r="R6" s="95">
        <v>0.25</v>
      </c>
      <c r="S6" s="94" t="s">
        <v>79</v>
      </c>
      <c r="T6" s="94">
        <v>25</v>
      </c>
    </row>
    <row r="7" spans="1:31">
      <c r="A7" s="227">
        <v>31</v>
      </c>
      <c r="B7" s="227" t="s">
        <v>315</v>
      </c>
      <c r="C7" s="227" t="s">
        <v>316</v>
      </c>
      <c r="D7" s="227" t="s">
        <v>316</v>
      </c>
      <c r="E7" s="227">
        <v>400</v>
      </c>
      <c r="F7" s="227">
        <v>449</v>
      </c>
      <c r="G7" s="377">
        <v>4.1500000000000004</v>
      </c>
      <c r="H7" s="116"/>
      <c r="I7" s="227"/>
      <c r="Q7" s="94">
        <v>0.375</v>
      </c>
      <c r="R7" s="95">
        <v>0.375</v>
      </c>
      <c r="S7" s="94" t="s">
        <v>83</v>
      </c>
      <c r="T7" s="94">
        <v>375</v>
      </c>
      <c r="AB7" s="230" t="s">
        <v>327</v>
      </c>
      <c r="AC7" s="217" t="s">
        <v>328</v>
      </c>
      <c r="AD7" s="217" t="s">
        <v>329</v>
      </c>
      <c r="AE7" s="217" t="s">
        <v>330</v>
      </c>
    </row>
    <row r="8" spans="1:31">
      <c r="A8" s="227">
        <v>31</v>
      </c>
      <c r="B8" s="227" t="s">
        <v>315</v>
      </c>
      <c r="C8" s="227" t="s">
        <v>316</v>
      </c>
      <c r="D8" s="227" t="s">
        <v>316</v>
      </c>
      <c r="E8" s="227">
        <v>450</v>
      </c>
      <c r="F8" s="227">
        <v>499</v>
      </c>
      <c r="G8" s="377">
        <v>4.24</v>
      </c>
      <c r="H8" s="116"/>
      <c r="I8" s="227"/>
      <c r="L8" s="222" t="s">
        <v>331</v>
      </c>
      <c r="M8" s="217" t="s">
        <v>90</v>
      </c>
      <c r="Q8" s="96">
        <v>0.5</v>
      </c>
      <c r="R8" s="97">
        <v>0.5</v>
      </c>
      <c r="S8" s="96" t="s">
        <v>80</v>
      </c>
      <c r="T8" s="96">
        <v>5</v>
      </c>
      <c r="AB8" s="231" t="s">
        <v>332</v>
      </c>
      <c r="AC8" s="217" t="s">
        <v>333</v>
      </c>
      <c r="AD8" s="217" t="s">
        <v>334</v>
      </c>
      <c r="AE8" s="217" t="s">
        <v>334</v>
      </c>
    </row>
    <row r="9" spans="1:31">
      <c r="A9" s="227">
        <v>31</v>
      </c>
      <c r="B9" s="227" t="s">
        <v>315</v>
      </c>
      <c r="C9" s="227" t="s">
        <v>316</v>
      </c>
      <c r="D9" s="227" t="s">
        <v>316</v>
      </c>
      <c r="E9" s="227">
        <v>500</v>
      </c>
      <c r="F9" s="227">
        <v>549</v>
      </c>
      <c r="G9" s="377">
        <v>4.33</v>
      </c>
      <c r="H9" s="116"/>
      <c r="I9" s="227"/>
      <c r="L9" s="217" t="s">
        <v>298</v>
      </c>
      <c r="M9" s="217" t="s">
        <v>38</v>
      </c>
      <c r="Q9" s="96">
        <v>0.625</v>
      </c>
      <c r="R9" s="97">
        <v>0.625</v>
      </c>
      <c r="S9" s="96" t="s">
        <v>89</v>
      </c>
      <c r="T9" s="96">
        <v>625</v>
      </c>
      <c r="V9" s="217" t="s">
        <v>335</v>
      </c>
      <c r="W9" s="217">
        <v>4</v>
      </c>
      <c r="X9" s="217" t="s">
        <v>336</v>
      </c>
      <c r="Y9" s="217">
        <v>48</v>
      </c>
      <c r="AB9" s="231" t="s">
        <v>337</v>
      </c>
      <c r="AC9" s="217" t="s">
        <v>333</v>
      </c>
      <c r="AD9" s="217" t="s">
        <v>334</v>
      </c>
      <c r="AE9" s="217" t="s">
        <v>334</v>
      </c>
    </row>
    <row r="10" spans="1:31">
      <c r="A10" s="227">
        <v>31</v>
      </c>
      <c r="B10" s="227" t="s">
        <v>315</v>
      </c>
      <c r="C10" s="227" t="s">
        <v>316</v>
      </c>
      <c r="D10" s="227" t="s">
        <v>316</v>
      </c>
      <c r="E10" s="227">
        <v>550</v>
      </c>
      <c r="F10" s="227">
        <v>599</v>
      </c>
      <c r="G10" s="377">
        <v>4.41</v>
      </c>
      <c r="H10" s="116"/>
      <c r="I10" s="227"/>
      <c r="L10" s="217" t="str">
        <f>IF(M18=M3,"","Antimicrobial")</f>
        <v>Antimicrobial</v>
      </c>
      <c r="Q10" s="96">
        <v>0.75</v>
      </c>
      <c r="R10" s="97">
        <v>0.75</v>
      </c>
      <c r="S10" s="96" t="s">
        <v>93</v>
      </c>
      <c r="T10" s="96">
        <v>75</v>
      </c>
      <c r="V10" s="217" t="s">
        <v>338</v>
      </c>
      <c r="W10" s="217">
        <v>4</v>
      </c>
      <c r="X10" s="217" t="s">
        <v>339</v>
      </c>
      <c r="Y10" s="217">
        <v>78</v>
      </c>
      <c r="AB10" s="231" t="s">
        <v>340</v>
      </c>
      <c r="AC10" s="217" t="s">
        <v>333</v>
      </c>
      <c r="AD10" s="217" t="s">
        <v>334</v>
      </c>
      <c r="AE10" s="217" t="s">
        <v>334</v>
      </c>
    </row>
    <row r="11" spans="1:31">
      <c r="A11" s="223">
        <v>31</v>
      </c>
      <c r="B11" s="223" t="s">
        <v>315</v>
      </c>
      <c r="C11" s="223" t="s">
        <v>316</v>
      </c>
      <c r="D11" s="223" t="s">
        <v>341</v>
      </c>
      <c r="E11" s="223">
        <v>16</v>
      </c>
      <c r="F11" s="223">
        <v>249</v>
      </c>
      <c r="G11" s="377">
        <v>4.37</v>
      </c>
      <c r="H11" s="116"/>
      <c r="I11" s="223"/>
      <c r="L11" s="232" t="s">
        <v>342</v>
      </c>
      <c r="Q11" s="96">
        <v>0.875</v>
      </c>
      <c r="R11" s="97">
        <v>0.875</v>
      </c>
      <c r="S11" s="96" t="s">
        <v>96</v>
      </c>
      <c r="T11" s="96">
        <v>875</v>
      </c>
      <c r="AB11" s="231" t="s">
        <v>343</v>
      </c>
      <c r="AC11" s="217" t="s">
        <v>333</v>
      </c>
      <c r="AD11" s="217" t="s">
        <v>334</v>
      </c>
      <c r="AE11" s="217" t="s">
        <v>334</v>
      </c>
    </row>
    <row r="12" spans="1:31">
      <c r="A12" s="227">
        <v>31</v>
      </c>
      <c r="B12" s="227" t="s">
        <v>315</v>
      </c>
      <c r="C12" s="227" t="s">
        <v>316</v>
      </c>
      <c r="D12" s="227" t="s">
        <v>341</v>
      </c>
      <c r="E12" s="227">
        <v>250</v>
      </c>
      <c r="F12" s="227">
        <v>399</v>
      </c>
      <c r="G12" s="377">
        <v>4.5999999999999996</v>
      </c>
      <c r="H12" s="116"/>
      <c r="I12" s="227"/>
      <c r="V12" s="217" t="s">
        <v>225</v>
      </c>
      <c r="X12" s="217" t="s">
        <v>309</v>
      </c>
      <c r="AB12" s="231" t="s">
        <v>344</v>
      </c>
      <c r="AC12" s="217" t="s">
        <v>333</v>
      </c>
      <c r="AD12" s="217" t="s">
        <v>334</v>
      </c>
      <c r="AE12" s="217" t="s">
        <v>334</v>
      </c>
    </row>
    <row r="13" spans="1:31">
      <c r="A13" s="227">
        <v>31</v>
      </c>
      <c r="B13" s="227" t="s">
        <v>315</v>
      </c>
      <c r="C13" s="227" t="s">
        <v>316</v>
      </c>
      <c r="D13" s="227" t="s">
        <v>341</v>
      </c>
      <c r="E13" s="227">
        <v>400</v>
      </c>
      <c r="F13" s="227">
        <v>499</v>
      </c>
      <c r="G13" s="377">
        <v>4.75</v>
      </c>
      <c r="H13" s="116"/>
      <c r="I13" s="227"/>
      <c r="L13" s="222" t="s">
        <v>248</v>
      </c>
      <c r="V13" s="217">
        <v>3</v>
      </c>
      <c r="X13" s="217" cm="1">
        <f t="array" ref="X13:X61">IF(M18=M3,V13:V34,V13:V61)</f>
        <v>3</v>
      </c>
      <c r="AB13" s="231" t="s">
        <v>345</v>
      </c>
      <c r="AC13" s="217" t="s">
        <v>333</v>
      </c>
      <c r="AD13" s="217" t="s">
        <v>334</v>
      </c>
      <c r="AE13" s="217" t="s">
        <v>334</v>
      </c>
    </row>
    <row r="14" spans="1:31">
      <c r="A14" s="227">
        <v>31</v>
      </c>
      <c r="B14" s="227" t="s">
        <v>315</v>
      </c>
      <c r="C14" s="227" t="s">
        <v>316</v>
      </c>
      <c r="D14" s="227" t="s">
        <v>341</v>
      </c>
      <c r="E14" s="227">
        <v>500</v>
      </c>
      <c r="F14" s="227">
        <v>649</v>
      </c>
      <c r="G14" s="377">
        <v>4.9800000000000004</v>
      </c>
      <c r="H14" s="116"/>
      <c r="I14" s="227"/>
      <c r="L14" s="217" t="s">
        <v>346</v>
      </c>
      <c r="V14" s="217">
        <v>4</v>
      </c>
      <c r="X14" s="217">
        <v>4</v>
      </c>
      <c r="AB14" s="231" t="s">
        <v>347</v>
      </c>
      <c r="AC14" s="217" t="s">
        <v>333</v>
      </c>
      <c r="AD14" s="217" t="s">
        <v>334</v>
      </c>
      <c r="AE14" s="217" t="s">
        <v>334</v>
      </c>
    </row>
    <row r="15" spans="1:31">
      <c r="A15" s="227">
        <v>31</v>
      </c>
      <c r="B15" s="227" t="s">
        <v>315</v>
      </c>
      <c r="C15" s="227" t="s">
        <v>316</v>
      </c>
      <c r="D15" s="227" t="s">
        <v>341</v>
      </c>
      <c r="E15" s="227">
        <v>650</v>
      </c>
      <c r="F15" s="227">
        <v>699</v>
      </c>
      <c r="G15" s="377">
        <v>5.0599999999999996</v>
      </c>
      <c r="H15" s="116"/>
      <c r="I15" s="227"/>
      <c r="L15" s="217" t="s">
        <v>300</v>
      </c>
      <c r="V15" s="217">
        <v>5</v>
      </c>
      <c r="X15" s="217">
        <v>5</v>
      </c>
      <c r="AB15" s="231" t="s">
        <v>348</v>
      </c>
      <c r="AC15" s="217" t="s">
        <v>333</v>
      </c>
      <c r="AD15" s="217" t="s">
        <v>334</v>
      </c>
      <c r="AE15" s="217" t="s">
        <v>334</v>
      </c>
    </row>
    <row r="16" spans="1:31">
      <c r="A16" s="227">
        <v>31</v>
      </c>
      <c r="B16" s="227" t="s">
        <v>315</v>
      </c>
      <c r="C16" s="227" t="s">
        <v>316</v>
      </c>
      <c r="D16" s="227" t="s">
        <v>341</v>
      </c>
      <c r="E16" s="227">
        <v>700</v>
      </c>
      <c r="F16" s="227">
        <v>999</v>
      </c>
      <c r="G16" s="377">
        <v>5.53</v>
      </c>
      <c r="H16" s="116"/>
      <c r="I16" s="227"/>
      <c r="V16" s="217">
        <v>6</v>
      </c>
      <c r="X16" s="217">
        <v>6</v>
      </c>
      <c r="AB16" s="231" t="s">
        <v>349</v>
      </c>
      <c r="AC16" s="217" t="s">
        <v>333</v>
      </c>
      <c r="AD16" s="217" t="s">
        <v>334</v>
      </c>
      <c r="AE16" s="217" t="s">
        <v>334</v>
      </c>
    </row>
    <row r="17" spans="1:31">
      <c r="A17" s="227">
        <v>31</v>
      </c>
      <c r="B17" s="227" t="s">
        <v>315</v>
      </c>
      <c r="C17" s="227" t="s">
        <v>316</v>
      </c>
      <c r="D17" s="227" t="s">
        <v>341</v>
      </c>
      <c r="E17" s="227">
        <v>1000</v>
      </c>
      <c r="F17" s="227">
        <v>1145</v>
      </c>
      <c r="G17" s="377">
        <v>5.75</v>
      </c>
      <c r="H17" s="116"/>
      <c r="I17" s="227"/>
      <c r="L17" s="222" t="s">
        <v>140</v>
      </c>
      <c r="Q17" s="217" t="s">
        <v>309</v>
      </c>
      <c r="R17" s="217" t="s">
        <v>146</v>
      </c>
      <c r="S17" s="217" t="s">
        <v>225</v>
      </c>
      <c r="T17" s="217" t="s">
        <v>146</v>
      </c>
      <c r="V17" s="217">
        <v>7</v>
      </c>
      <c r="X17" s="217">
        <v>7</v>
      </c>
      <c r="AB17" s="233" t="s">
        <v>350</v>
      </c>
      <c r="AC17" s="217" t="s">
        <v>333</v>
      </c>
      <c r="AD17" s="217" t="s">
        <v>334</v>
      </c>
      <c r="AE17" s="217" t="s">
        <v>334</v>
      </c>
    </row>
    <row r="18" spans="1:31">
      <c r="A18" s="223">
        <v>31</v>
      </c>
      <c r="B18" s="223" t="s">
        <v>315</v>
      </c>
      <c r="C18" s="223" t="s">
        <v>316</v>
      </c>
      <c r="D18" s="223" t="s">
        <v>351</v>
      </c>
      <c r="E18" s="223">
        <v>16</v>
      </c>
      <c r="F18" s="223">
        <v>499</v>
      </c>
      <c r="G18" s="377">
        <v>4.91</v>
      </c>
      <c r="H18" s="116"/>
      <c r="I18" s="223"/>
      <c r="L18" s="217" t="s">
        <v>25</v>
      </c>
      <c r="M18" s="217" t="str" cm="1">
        <f t="array" ref="M18:N18">VLOOKUP('Panels-Links Calc'!E7:F7,'Pricing Logic Panels-Links'!$L$2:$M$6,2,FALSE)</f>
        <v>050</v>
      </c>
      <c r="N18" s="217" t="e">
        <v>#N/A</v>
      </c>
      <c r="Q18" s="234">
        <f>'Panels-Links Calc'!E17</f>
        <v>35</v>
      </c>
      <c r="R18" s="235">
        <f>'Panels-Links Calc'!F17</f>
        <v>0</v>
      </c>
      <c r="S18" s="234">
        <f>'Panels-Links Calc'!E18</f>
        <v>20</v>
      </c>
      <c r="T18" s="235">
        <f>'Panels-Links Calc'!F18</f>
        <v>0</v>
      </c>
      <c r="V18" s="217">
        <v>8</v>
      </c>
      <c r="X18" s="217">
        <v>8</v>
      </c>
      <c r="AB18" s="231" t="s">
        <v>352</v>
      </c>
      <c r="AC18" s="217" t="s">
        <v>333</v>
      </c>
      <c r="AD18" s="217" t="s">
        <v>334</v>
      </c>
      <c r="AE18" s="217" t="s">
        <v>334</v>
      </c>
    </row>
    <row r="19" spans="1:31">
      <c r="A19" s="227">
        <v>31</v>
      </c>
      <c r="B19" s="227" t="s">
        <v>315</v>
      </c>
      <c r="C19" s="227" t="s">
        <v>316</v>
      </c>
      <c r="D19" s="227" t="s">
        <v>351</v>
      </c>
      <c r="E19" s="227">
        <v>500</v>
      </c>
      <c r="F19" s="227">
        <v>649</v>
      </c>
      <c r="G19" s="377">
        <v>5.15</v>
      </c>
      <c r="H19" s="116"/>
      <c r="I19" s="227"/>
      <c r="L19" s="217" t="s">
        <v>154</v>
      </c>
      <c r="M19" s="235">
        <f>ROUNDUP(Q19*S19,0)</f>
        <v>700</v>
      </c>
      <c r="Q19" s="235">
        <f>Q18+R18</f>
        <v>35</v>
      </c>
      <c r="S19" s="235">
        <f>S18+T18</f>
        <v>20</v>
      </c>
      <c r="V19" s="217">
        <v>9</v>
      </c>
      <c r="X19" s="217">
        <v>9</v>
      </c>
      <c r="AB19" s="231" t="s">
        <v>353</v>
      </c>
      <c r="AC19" s="217" t="s">
        <v>333</v>
      </c>
      <c r="AD19" s="217" t="s">
        <v>334</v>
      </c>
      <c r="AE19" s="217" t="s">
        <v>334</v>
      </c>
    </row>
    <row r="20" spans="1:31">
      <c r="A20" s="227">
        <v>31</v>
      </c>
      <c r="B20" s="227" t="s">
        <v>315</v>
      </c>
      <c r="C20" s="227" t="s">
        <v>316</v>
      </c>
      <c r="D20" s="227" t="s">
        <v>351</v>
      </c>
      <c r="E20" s="227">
        <v>650</v>
      </c>
      <c r="F20" s="227">
        <v>799</v>
      </c>
      <c r="G20" s="377">
        <v>5.38</v>
      </c>
      <c r="H20" s="116"/>
      <c r="I20" s="227"/>
      <c r="L20" s="217" t="s">
        <v>248</v>
      </c>
      <c r="M20" s="217" t="str" cm="1">
        <f t="array" ref="M20:N20">'Panels-Links Calc'!E11:F11</f>
        <v>Link</v>
      </c>
      <c r="N20" s="217">
        <v>0</v>
      </c>
      <c r="V20" s="217">
        <v>10</v>
      </c>
      <c r="X20" s="217">
        <v>10</v>
      </c>
      <c r="AB20" s="231" t="s">
        <v>354</v>
      </c>
      <c r="AC20" s="217" t="s">
        <v>333</v>
      </c>
      <c r="AD20" s="217" t="s">
        <v>334</v>
      </c>
      <c r="AE20" s="217" t="s">
        <v>334</v>
      </c>
    </row>
    <row r="21" spans="1:31">
      <c r="A21" s="227">
        <v>31</v>
      </c>
      <c r="B21" s="227" t="s">
        <v>315</v>
      </c>
      <c r="C21" s="227" t="s">
        <v>316</v>
      </c>
      <c r="D21" s="227" t="s">
        <v>351</v>
      </c>
      <c r="E21" s="227">
        <v>800</v>
      </c>
      <c r="F21" s="227">
        <v>1099</v>
      </c>
      <c r="G21" s="377">
        <v>5.85</v>
      </c>
      <c r="H21" s="116"/>
      <c r="I21" s="227"/>
      <c r="L21" s="217" t="s">
        <v>355</v>
      </c>
      <c r="M21" s="217" cm="1">
        <f t="array" ref="M21:N21">'Panels-Links Calc'!E12:F12</f>
        <v>4</v>
      </c>
      <c r="N21" s="217">
        <v>0</v>
      </c>
      <c r="O21" s="15" t="str">
        <f>IF(M21&lt;10,_xlfn.CONCAT("0",M21),M21)</f>
        <v>04</v>
      </c>
      <c r="P21" s="15"/>
      <c r="V21" s="217">
        <v>11</v>
      </c>
      <c r="X21" s="217">
        <v>11</v>
      </c>
      <c r="AB21" s="231" t="s">
        <v>356</v>
      </c>
      <c r="AC21" s="217" t="s">
        <v>333</v>
      </c>
      <c r="AD21" s="217" t="s">
        <v>334</v>
      </c>
      <c r="AE21" s="217" t="s">
        <v>334</v>
      </c>
    </row>
    <row r="22" spans="1:31">
      <c r="A22" s="227">
        <v>31</v>
      </c>
      <c r="B22" s="227" t="s">
        <v>315</v>
      </c>
      <c r="C22" s="227" t="s">
        <v>316</v>
      </c>
      <c r="D22" s="227" t="s">
        <v>351</v>
      </c>
      <c r="E22" s="227">
        <v>1100</v>
      </c>
      <c r="F22" s="227">
        <v>1299</v>
      </c>
      <c r="G22" s="377">
        <v>6.15</v>
      </c>
      <c r="H22" s="116"/>
      <c r="I22" s="227"/>
      <c r="L22" s="217" t="s">
        <v>357</v>
      </c>
      <c r="M22" s="217" t="str" cm="1">
        <f t="array" ref="M22:N22">'Panels-Links Calc'!E9:F9</f>
        <v>None (Standard)</v>
      </c>
      <c r="N22" s="217">
        <v>0</v>
      </c>
      <c r="O22" s="217">
        <f>IF(M22=L9,1,IF(M22=L10,2,"ERROR"))</f>
        <v>1</v>
      </c>
      <c r="V22" s="217">
        <v>12</v>
      </c>
      <c r="X22" s="217">
        <v>12</v>
      </c>
      <c r="AB22" s="231" t="s">
        <v>358</v>
      </c>
      <c r="AC22" s="217" t="s">
        <v>333</v>
      </c>
      <c r="AD22" s="217" t="s">
        <v>334</v>
      </c>
      <c r="AE22" s="217" t="s">
        <v>334</v>
      </c>
    </row>
    <row r="23" spans="1:31">
      <c r="A23" s="236">
        <v>31</v>
      </c>
      <c r="B23" s="236" t="s">
        <v>315</v>
      </c>
      <c r="C23" s="236" t="s">
        <v>316</v>
      </c>
      <c r="D23" s="236" t="s">
        <v>351</v>
      </c>
      <c r="E23" s="236">
        <v>1300</v>
      </c>
      <c r="F23" s="236">
        <v>1499</v>
      </c>
      <c r="G23" s="377">
        <v>10.37</v>
      </c>
      <c r="H23" s="116"/>
      <c r="I23" s="236"/>
      <c r="V23" s="217">
        <v>13</v>
      </c>
      <c r="X23" s="217">
        <v>13</v>
      </c>
      <c r="AB23" s="231"/>
    </row>
    <row r="24" spans="1:31">
      <c r="A24" s="236">
        <v>31</v>
      </c>
      <c r="B24" s="236" t="s">
        <v>315</v>
      </c>
      <c r="C24" s="236" t="s">
        <v>316</v>
      </c>
      <c r="D24" s="236" t="s">
        <v>351</v>
      </c>
      <c r="E24" s="236">
        <v>1500</v>
      </c>
      <c r="F24" s="236">
        <v>1699</v>
      </c>
      <c r="G24" s="377">
        <v>11.14</v>
      </c>
      <c r="H24" s="116"/>
      <c r="I24" s="236"/>
      <c r="V24" s="217">
        <v>14</v>
      </c>
      <c r="X24" s="217">
        <v>14</v>
      </c>
      <c r="AB24" s="231"/>
    </row>
    <row r="25" spans="1:31">
      <c r="A25" s="236">
        <v>31</v>
      </c>
      <c r="B25" s="236" t="s">
        <v>315</v>
      </c>
      <c r="C25" s="236" t="s">
        <v>316</v>
      </c>
      <c r="D25" s="236" t="s">
        <v>351</v>
      </c>
      <c r="E25" s="236">
        <v>1700</v>
      </c>
      <c r="F25" s="236">
        <v>1899</v>
      </c>
      <c r="G25" s="377">
        <v>11.9</v>
      </c>
      <c r="H25" s="116"/>
      <c r="I25" s="236"/>
      <c r="V25" s="217">
        <v>15</v>
      </c>
      <c r="X25" s="217">
        <v>15</v>
      </c>
      <c r="AB25" s="231"/>
    </row>
    <row r="26" spans="1:31">
      <c r="A26" s="238">
        <v>31</v>
      </c>
      <c r="B26" s="238" t="s">
        <v>315</v>
      </c>
      <c r="C26" s="238" t="s">
        <v>359</v>
      </c>
      <c r="D26" s="238" t="s">
        <v>360</v>
      </c>
      <c r="E26" s="238">
        <v>16</v>
      </c>
      <c r="F26" s="238">
        <v>349</v>
      </c>
      <c r="G26" s="377">
        <v>6.02</v>
      </c>
      <c r="H26" s="116"/>
      <c r="I26" s="238"/>
      <c r="L26" s="222" t="s">
        <v>361</v>
      </c>
      <c r="M26" s="217" t="str">
        <f>IF(M22=L9,CONCATENATE(M18,IF(Q18&lt;10,CONCATENATE("0",Q18),Q18),IF(R18&gt;0,VLOOKUP(R18,$Q$4:$T$11,3,FALSE),""),IF(M35=M8,"E",""),IF(S18&lt;10,CONCATENATE("0",S18),S18),IF(T18&gt;0,VLOOKUP(T18,$Q$4:$T$11,3,FALSE),""),IF(M35=M8,"E",""),IF(M20="Panel","01",O21)),
IF(M22=L10,CONCATENATE(M18,IF(Q18&lt;10,CONCATENATE("0",Q18),Q18),IF(R18&gt;0,VLOOKUP(R18,$Q$4:$T$11,3,FALSE),""),IF(M35=M8,"E",""),IF(S18&lt;10,CONCATENATE("0",S18),S18),IF(T18&gt;0,VLOOKUP(T18,$Q$4:$T$11,3,FALSE),""),IF(M35=M8,"E",""),IF(M20="Panel","01",O21),"AT")))</f>
        <v>05035E20E04</v>
      </c>
      <c r="V26" s="217">
        <v>16</v>
      </c>
      <c r="X26" s="217">
        <v>16</v>
      </c>
      <c r="AB26" s="231" t="s">
        <v>362</v>
      </c>
      <c r="AC26" s="217" t="s">
        <v>333</v>
      </c>
      <c r="AD26" s="217" t="s">
        <v>334</v>
      </c>
      <c r="AE26" s="217" t="s">
        <v>334</v>
      </c>
    </row>
    <row r="27" spans="1:31">
      <c r="A27" s="227">
        <v>31</v>
      </c>
      <c r="B27" s="227" t="s">
        <v>315</v>
      </c>
      <c r="C27" s="227" t="s">
        <v>359</v>
      </c>
      <c r="D27" s="227" t="s">
        <v>360</v>
      </c>
      <c r="E27" s="227">
        <v>350</v>
      </c>
      <c r="F27" s="227">
        <v>499</v>
      </c>
      <c r="G27" s="377">
        <v>6.59</v>
      </c>
      <c r="H27" s="116"/>
      <c r="I27" s="227"/>
      <c r="L27" s="222" t="s">
        <v>166</v>
      </c>
      <c r="M27" s="217" t="str">
        <f>IF(M22=L9,CONCATENATE(M18,IF(AND(Q18&lt;=S18,Q18&lt;10),CONCATENATE("0",Q18),IF(AND(Q18&lt;=S18,Q18&gt;=10),CONCATENATE(Q18),IF(AND(S18&lt;Q18,S18&lt;10),CONCATENATE("0",S18),IF(AND(S18&lt;Q18,S18&gt;=10),CONCATENATE(S18))))),IF(R18&gt;0,VLOOKUP(R18,$Q$4:$T$11,3,FALSE),""),IF(M35=M8,"E",""),IF(AND(Q18&gt;=S18,Q18&lt;10),CONCATENATE("0",Q18),IF(AND(Q18&gt;=S18,Q18&gt;=10),CONCATENATE(Q18),IF(AND(S18&gt;Q18,S18&lt;10),CONCATENATE("0",S18),IF(AND(S18&gt;Q18,S18&gt;=10),CONCATENATE(S18))))),IF(T18&gt;0,VLOOKUP(T18,$Q$4:$T$11,3,FALSE),""),IF(M35=M8,"E",""),IF(M20="Panel","01",O21)))</f>
        <v>05020E35E04</v>
      </c>
      <c r="N27" s="230" t="s">
        <v>363</v>
      </c>
      <c r="Q27" s="222" t="s">
        <v>27</v>
      </c>
      <c r="R27" s="240">
        <f>IF(M20=L15,M21*IF(O22=1,VLOOKUP(M18,$L$29:$Q$33,2,FALSE),IF(O22=2,VLOOKUP(M18,$L$29:$Q$33,4,FALSE),IF(O22=3,VLOOKUP(M18,$L$29:$Q$33,5,FALSE)))),IF(M20=L14,IF(O22=1,VLOOKUP(M18,$L$29:$Q$33,2,FALSE),IF(O22=2,VLOOKUP(M18,$L$29:$Q$33,4,FALSE),IF(O22=3,VLOOKUP(M18,$L$29:$Q$33,5,FALSE))))))</f>
        <v>66.56</v>
      </c>
      <c r="V27" s="217">
        <v>17</v>
      </c>
      <c r="X27" s="217">
        <v>17</v>
      </c>
      <c r="AB27" s="231" t="s">
        <v>364</v>
      </c>
      <c r="AC27" s="217" t="s">
        <v>333</v>
      </c>
      <c r="AD27" s="217" t="s">
        <v>334</v>
      </c>
      <c r="AE27" s="217" t="s">
        <v>334</v>
      </c>
    </row>
    <row r="28" spans="1:31">
      <c r="A28" s="227">
        <v>31</v>
      </c>
      <c r="B28" s="227" t="s">
        <v>315</v>
      </c>
      <c r="C28" s="227" t="s">
        <v>359</v>
      </c>
      <c r="D28" s="227" t="s">
        <v>360</v>
      </c>
      <c r="E28" s="227">
        <v>500</v>
      </c>
      <c r="F28" s="227">
        <v>649</v>
      </c>
      <c r="G28" s="377">
        <v>7.16</v>
      </c>
      <c r="H28" s="116"/>
      <c r="I28" s="227"/>
      <c r="V28" s="217">
        <v>18</v>
      </c>
      <c r="X28" s="217">
        <v>18</v>
      </c>
      <c r="AB28" s="231" t="s">
        <v>365</v>
      </c>
      <c r="AC28" s="217" t="s">
        <v>333</v>
      </c>
      <c r="AD28" s="217" t="s">
        <v>334</v>
      </c>
      <c r="AE28" s="217" t="s">
        <v>334</v>
      </c>
    </row>
    <row r="29" spans="1:31">
      <c r="A29" s="227">
        <v>31</v>
      </c>
      <c r="B29" s="227" t="s">
        <v>315</v>
      </c>
      <c r="C29" s="227" t="s">
        <v>359</v>
      </c>
      <c r="D29" s="227" t="s">
        <v>360</v>
      </c>
      <c r="E29" s="227">
        <v>650</v>
      </c>
      <c r="F29" s="227">
        <v>799</v>
      </c>
      <c r="G29" s="377">
        <v>7.72</v>
      </c>
      <c r="H29" s="116"/>
      <c r="I29" s="227"/>
      <c r="M29" s="222" t="s">
        <v>366</v>
      </c>
      <c r="N29" s="222"/>
      <c r="O29" s="222" t="s">
        <v>367</v>
      </c>
      <c r="P29" s="222"/>
      <c r="Q29" s="222"/>
      <c r="V29" s="217">
        <v>19</v>
      </c>
      <c r="X29" s="217">
        <v>19</v>
      </c>
      <c r="AB29" s="231" t="s">
        <v>368</v>
      </c>
      <c r="AC29" s="217" t="s">
        <v>333</v>
      </c>
      <c r="AD29" s="217" t="s">
        <v>334</v>
      </c>
      <c r="AE29" s="217" t="s">
        <v>334</v>
      </c>
    </row>
    <row r="30" spans="1:31">
      <c r="A30" s="227">
        <v>31</v>
      </c>
      <c r="B30" s="227" t="s">
        <v>315</v>
      </c>
      <c r="C30" s="227" t="s">
        <v>359</v>
      </c>
      <c r="D30" s="227" t="s">
        <v>360</v>
      </c>
      <c r="E30" s="227">
        <v>800</v>
      </c>
      <c r="F30" s="227">
        <v>949</v>
      </c>
      <c r="G30" s="377">
        <v>8.2899999999999991</v>
      </c>
      <c r="H30" s="116"/>
      <c r="I30" s="227"/>
      <c r="L30" s="241" t="s">
        <v>319</v>
      </c>
      <c r="M30" s="240" t="e" cm="1">
        <f t="array" ref="M30">IF(AND(Q18&lt;25,S18&lt;25),LOOKUP(M19,1/((M19&gt;=min_031_25_25)*(N9&lt;=max_031_25_25)),G3:G10),IF(AND(Q18&lt;25,S18&lt;48),LOOKUP(M19,1/((M19&gt;=min_031_25_48)*(N9&lt;=max_031_25_48)),G11:G17),IF(AND(Q18&lt;25,S18&lt;=78),LOOKUP(M19,1/((M19&gt;=min_031_25_78)*(N9&lt;=max_031_25_78)),G18:G25),IF(AND(Q18&lt;34,S18&lt;=78),LOOKUP(M19,1/((M19&gt;=min_031_34_78)*(N9&lt;=max_031_34_78)),G26:G38),IF(AND(Q18&lt;52,S18&lt;=78),LOOKUP(M19,1/((M19&gt;=min_031_52_78)*(N9&lt;=max_031_52_78)),G39:G44))))))</f>
        <v>#N/A</v>
      </c>
      <c r="N30" s="240"/>
      <c r="O30" s="240" t="s">
        <v>369</v>
      </c>
      <c r="P30" s="240"/>
      <c r="Q30" s="240"/>
      <c r="S30" s="217" t="s">
        <v>370</v>
      </c>
      <c r="T30" s="217">
        <f>IF('Pricing Logic Panels-Links'!R27=R22,"",ROUNDDOWN(IF(M20=L14,12,12/M21),0))</f>
        <v>3</v>
      </c>
      <c r="V30" s="217">
        <v>20</v>
      </c>
      <c r="X30" s="217">
        <v>20</v>
      </c>
      <c r="AB30" s="231" t="s">
        <v>371</v>
      </c>
      <c r="AC30" s="217" t="s">
        <v>333</v>
      </c>
      <c r="AD30" s="217" t="s">
        <v>334</v>
      </c>
      <c r="AE30" s="217" t="s">
        <v>334</v>
      </c>
    </row>
    <row r="31" spans="1:31">
      <c r="A31" s="227">
        <v>31</v>
      </c>
      <c r="B31" s="227" t="s">
        <v>315</v>
      </c>
      <c r="C31" s="227" t="s">
        <v>359</v>
      </c>
      <c r="D31" s="227" t="s">
        <v>360</v>
      </c>
      <c r="E31" s="227">
        <v>950</v>
      </c>
      <c r="F31" s="227">
        <v>1099</v>
      </c>
      <c r="G31" s="377">
        <v>8.8699999999999992</v>
      </c>
      <c r="H31" s="116"/>
      <c r="I31" s="227"/>
      <c r="L31" s="241" t="s">
        <v>322</v>
      </c>
      <c r="M31" s="240" cm="1">
        <f t="array" ref="M31">IF(AND(Q18&lt;25,S18&lt;25),LOOKUP(M19,1/((M19&gt;=min_054_25_25)*(N9&lt;=max_054_25_25)),price_054_25_25),IF(AND(Q18&lt;25,S18&lt;48),LOOKUP(M19,1/((M19&gt;=min_054_25_48)*(N9&lt;=max_054_25_48)),price_054_25_48),IF(AND(Q18&lt;25,S18&lt;=78),LOOKUP(M19,1/((M19&gt;=min_054_25_78)*(N9&lt;=max_054_25_78)),price_054_25_78),IF(AND(Q18&lt;34,S18&lt;=78),LOOKUP(M19,1/((M19&gt;=min_054_34_78)*(N9&lt;=max_054_34_78)),price_054_34_78),IF(AND(Q18&lt;52,S18&lt;=78),LOOKUP(M19,1/((M19&gt;=min_054_52_78)*(N9&lt;=max_054_52_78)),price_054_52_78))))))</f>
        <v>15.26</v>
      </c>
      <c r="N31" s="240"/>
      <c r="O31" s="240">
        <f>ROUND(M31*1.04,2)</f>
        <v>15.87</v>
      </c>
      <c r="P31" s="240"/>
      <c r="Q31" s="240"/>
      <c r="S31" s="217" t="s">
        <v>29</v>
      </c>
      <c r="T31" s="240">
        <f>IF(R27=R22,"",R27*T30)</f>
        <v>199.68</v>
      </c>
      <c r="V31" s="217">
        <v>21</v>
      </c>
      <c r="X31" s="217">
        <v>21</v>
      </c>
      <c r="AB31" s="231" t="s">
        <v>372</v>
      </c>
      <c r="AC31" s="217" t="s">
        <v>333</v>
      </c>
      <c r="AD31" s="217" t="s">
        <v>334</v>
      </c>
      <c r="AE31" s="217" t="s">
        <v>334</v>
      </c>
    </row>
    <row r="32" spans="1:31">
      <c r="A32" s="227">
        <v>31</v>
      </c>
      <c r="B32" s="227" t="s">
        <v>315</v>
      </c>
      <c r="C32" s="227" t="s">
        <v>359</v>
      </c>
      <c r="D32" s="227" t="s">
        <v>360</v>
      </c>
      <c r="E32" s="227">
        <v>1100</v>
      </c>
      <c r="F32" s="227">
        <v>1299</v>
      </c>
      <c r="G32" s="377">
        <v>9.6199999999999992</v>
      </c>
      <c r="H32" s="116"/>
      <c r="I32" s="227"/>
      <c r="L32" s="241" t="s">
        <v>323</v>
      </c>
      <c r="M32" s="240" cm="1">
        <f t="array" ref="M32">IF(AND(Q18&lt;25,S18&lt;25),LOOKUP(M19,1/((M19&gt;=min_050_25_25)*(N9&lt;=max_050_25_25)),price_050_25_25),IF(AND(Q18&lt;25,S18&lt;48),LOOKUP(M19,1/((M19&gt;=min_050_25_48)*(N9&lt;=max_050_25_48)),price_050_25_48),IF(AND(Q18&lt;25,S18&lt;=78),LOOKUP(M19,1/((M19&gt;=min_050_25_78)*(N9&lt;=max_050_25_78)),price_050_25_78),IF(AND(Q18&lt;34,S18&lt;=78),LOOKUP(M19,1/((M19&gt;=min_050_34_78)*(N9&lt;=max_050_34_78)),price_050_34_78),IF(AND(Q18&lt;52,S18&lt;=78),LOOKUP(M19,1/((M19&gt;=min_050_52_78)*(N9&lt;=max_050_52_78)),price_050_52_78))))))</f>
        <v>16.64</v>
      </c>
      <c r="N32" s="240"/>
      <c r="O32" s="240">
        <f>ROUND(M32*1.04,2)</f>
        <v>17.309999999999999</v>
      </c>
      <c r="P32" s="240"/>
      <c r="Q32" s="240"/>
      <c r="V32" s="217">
        <v>22</v>
      </c>
      <c r="X32" s="217">
        <v>22</v>
      </c>
      <c r="AB32" s="231" t="s">
        <v>373</v>
      </c>
      <c r="AC32" s="217" t="s">
        <v>333</v>
      </c>
      <c r="AD32" s="217" t="s">
        <v>334</v>
      </c>
      <c r="AE32" s="217" t="s">
        <v>334</v>
      </c>
    </row>
    <row r="33" spans="1:31">
      <c r="A33" s="227">
        <v>31</v>
      </c>
      <c r="B33" s="227" t="s">
        <v>315</v>
      </c>
      <c r="C33" s="227" t="s">
        <v>359</v>
      </c>
      <c r="D33" s="227" t="s">
        <v>360</v>
      </c>
      <c r="E33" s="227">
        <v>1300</v>
      </c>
      <c r="F33" s="227">
        <v>1499</v>
      </c>
      <c r="G33" s="377">
        <v>10.37</v>
      </c>
      <c r="H33" s="116"/>
      <c r="I33" s="227"/>
      <c r="L33" s="241" t="s">
        <v>325</v>
      </c>
      <c r="M33" s="240" cm="1">
        <f t="array" ref="M33">IF(AND(Q18&lt;25,S18&lt;25),LOOKUP(M19,1/((M19&gt;=min_056_25_25)*(N9&lt;=max_056_25_25)),price_056_25_25),IF(AND(Q18&lt;25,S18&lt;48),LOOKUP(M19,1/((M19&gt;=min_056_25_48)*(N9&lt;=max_056_25_48)),price_056_25_48),IF(AND(Q18&lt;25,S18&lt;=78),LOOKUP(M19,1/((M19&gt;=min_056_25_78)*(N9&lt;=max_056_25_78)),price_056_25_78),IF(AND(Q18&lt;34,S18&lt;=78),LOOKUP(M19,1/((M19&gt;=min_056_34_78)*(N9&lt;=max_056_34_78)),price_056_34_78),IF(AND(Q18&lt;52,S18&lt;=78),LOOKUP(M19,1/((M19&gt;=min_056_52_78)*(N9&lt;=max_056_52_78)),price_056_52_78))))))</f>
        <v>18.72</v>
      </c>
      <c r="N33" s="240"/>
      <c r="O33" s="240">
        <f>ROUND(M33*1.04,2)</f>
        <v>19.47</v>
      </c>
      <c r="P33" s="240"/>
      <c r="Q33" s="240"/>
      <c r="V33" s="217">
        <v>23</v>
      </c>
      <c r="X33" s="217">
        <v>23</v>
      </c>
      <c r="AB33" s="231" t="s">
        <v>374</v>
      </c>
      <c r="AC33" s="217" t="s">
        <v>333</v>
      </c>
      <c r="AD33" s="217" t="s">
        <v>334</v>
      </c>
      <c r="AE33" s="217" t="s">
        <v>334</v>
      </c>
    </row>
    <row r="34" spans="1:31">
      <c r="A34" s="227">
        <v>31</v>
      </c>
      <c r="B34" s="227" t="s">
        <v>315</v>
      </c>
      <c r="C34" s="227" t="s">
        <v>359</v>
      </c>
      <c r="D34" s="227" t="s">
        <v>360</v>
      </c>
      <c r="E34" s="227">
        <v>1500</v>
      </c>
      <c r="F34" s="227">
        <v>1699</v>
      </c>
      <c r="G34" s="377">
        <v>11.14</v>
      </c>
      <c r="H34" s="116"/>
      <c r="I34" s="227"/>
      <c r="V34" s="217">
        <v>24</v>
      </c>
      <c r="X34" s="217">
        <v>24</v>
      </c>
      <c r="AB34" s="231" t="s">
        <v>375</v>
      </c>
      <c r="AC34" s="217" t="s">
        <v>333</v>
      </c>
      <c r="AD34" s="217" t="s">
        <v>334</v>
      </c>
      <c r="AE34" s="217" t="s">
        <v>334</v>
      </c>
    </row>
    <row r="35" spans="1:31">
      <c r="A35" s="227">
        <v>31</v>
      </c>
      <c r="B35" s="227" t="s">
        <v>315</v>
      </c>
      <c r="C35" s="227" t="s">
        <v>359</v>
      </c>
      <c r="D35" s="227" t="s">
        <v>360</v>
      </c>
      <c r="E35" s="227">
        <v>1700</v>
      </c>
      <c r="F35" s="227">
        <v>1899</v>
      </c>
      <c r="G35" s="377">
        <v>11.9</v>
      </c>
      <c r="H35" s="116"/>
      <c r="I35" s="227"/>
      <c r="L35" s="222" t="s">
        <v>376</v>
      </c>
      <c r="M35" s="234" t="str" cm="1">
        <f t="array" ref="M35:N35">'Panels-Links Calc'!E14:F14</f>
        <v>Yes</v>
      </c>
      <c r="N35" s="217">
        <v>0</v>
      </c>
      <c r="V35" s="217">
        <v>25</v>
      </c>
      <c r="X35" s="217">
        <v>25</v>
      </c>
      <c r="AB35" s="231" t="s">
        <v>377</v>
      </c>
      <c r="AC35" s="217" t="s">
        <v>333</v>
      </c>
      <c r="AD35" s="217" t="s">
        <v>334</v>
      </c>
      <c r="AE35" s="217" t="s">
        <v>334</v>
      </c>
    </row>
    <row r="36" spans="1:31">
      <c r="A36" s="227">
        <v>31</v>
      </c>
      <c r="B36" s="227" t="s">
        <v>315</v>
      </c>
      <c r="C36" s="227" t="s">
        <v>359</v>
      </c>
      <c r="D36" s="227" t="s">
        <v>360</v>
      </c>
      <c r="E36" s="227">
        <v>1900</v>
      </c>
      <c r="F36" s="227">
        <v>2099</v>
      </c>
      <c r="G36" s="377">
        <v>12.65</v>
      </c>
      <c r="H36" s="116"/>
      <c r="I36" s="227"/>
      <c r="L36" s="222" t="s">
        <v>378</v>
      </c>
      <c r="M36" s="234" cm="1">
        <f t="array" ref="M36:N36">'Panels-Links Calc'!E18*'Panels-Links Calc'!E12:F12</f>
        <v>80</v>
      </c>
      <c r="N36" s="217">
        <v>0</v>
      </c>
      <c r="V36" s="217">
        <v>26</v>
      </c>
      <c r="X36" s="217">
        <v>26</v>
      </c>
      <c r="AB36" s="231" t="s">
        <v>379</v>
      </c>
      <c r="AC36" s="217" t="s">
        <v>333</v>
      </c>
      <c r="AD36" s="217" t="s">
        <v>334</v>
      </c>
      <c r="AE36" s="217" t="s">
        <v>334</v>
      </c>
    </row>
    <row r="37" spans="1:31">
      <c r="A37" s="227">
        <v>31</v>
      </c>
      <c r="B37" s="227" t="s">
        <v>315</v>
      </c>
      <c r="C37" s="227" t="s">
        <v>359</v>
      </c>
      <c r="D37" s="227" t="s">
        <v>360</v>
      </c>
      <c r="E37" s="227">
        <v>2100</v>
      </c>
      <c r="F37" s="227">
        <v>2299</v>
      </c>
      <c r="G37" s="377">
        <v>13.42</v>
      </c>
      <c r="H37" s="116"/>
      <c r="I37" s="227"/>
      <c r="L37" s="222" t="s">
        <v>380</v>
      </c>
      <c r="M37" s="217">
        <f>IF(M36&lt;M43,M36-N43,IF(M36&lt;M44,M36-N44,IF(M36&lt;M45,M36-N45,IF(M36&lt;M46,M36-N46,IF(M36-M47,M36-N47,IF(M36&lt;M48,M36-N48,IF(M36&lt;M49,M36-N49)))))))</f>
        <v>77</v>
      </c>
      <c r="O37" s="222" t="s">
        <v>381</v>
      </c>
      <c r="P37" s="217">
        <f>IF(M36&lt;M43,M36+N43,IF(M36&lt;M44,M36+N44,IF(M36&lt;M45,M36+N45,IF(M36&lt;M46,M36+N46,IF(M36-M47,M36+N47,IF(M36&lt;M48,M36+N48,IF(M36&lt;M49,M36+N49)))))))</f>
        <v>83</v>
      </c>
      <c r="V37" s="217">
        <v>27</v>
      </c>
      <c r="X37" s="217">
        <v>27</v>
      </c>
      <c r="AB37" s="231" t="s">
        <v>382</v>
      </c>
      <c r="AC37" s="217" t="s">
        <v>333</v>
      </c>
      <c r="AD37" s="217" t="s">
        <v>334</v>
      </c>
      <c r="AE37" s="217" t="s">
        <v>334</v>
      </c>
    </row>
    <row r="38" spans="1:31">
      <c r="A38" s="227">
        <v>31</v>
      </c>
      <c r="B38" s="227" t="s">
        <v>315</v>
      </c>
      <c r="C38" s="227" t="s">
        <v>359</v>
      </c>
      <c r="D38" s="227" t="s">
        <v>360</v>
      </c>
      <c r="E38" s="227">
        <v>2300</v>
      </c>
      <c r="F38" s="227">
        <v>2568</v>
      </c>
      <c r="G38" s="377">
        <v>14.43</v>
      </c>
      <c r="H38" s="116"/>
      <c r="I38" s="227"/>
      <c r="L38" s="222" t="s">
        <v>383</v>
      </c>
      <c r="M38" s="217" t="str">
        <f>IF(M20=L15,CONCATENATE(M37,"-",P37,""""),"")</f>
        <v>77-83"</v>
      </c>
      <c r="R38" s="242"/>
      <c r="V38" s="217">
        <v>28</v>
      </c>
      <c r="X38" s="217">
        <v>28</v>
      </c>
      <c r="AB38" s="231" t="s">
        <v>384</v>
      </c>
      <c r="AC38" s="217" t="s">
        <v>333</v>
      </c>
      <c r="AD38" s="217" t="s">
        <v>334</v>
      </c>
      <c r="AE38" s="217" t="s">
        <v>334</v>
      </c>
    </row>
    <row r="39" spans="1:31">
      <c r="A39" s="238">
        <v>31</v>
      </c>
      <c r="B39" s="238" t="s">
        <v>315</v>
      </c>
      <c r="C39" s="238" t="s">
        <v>385</v>
      </c>
      <c r="D39" s="238" t="s">
        <v>386</v>
      </c>
      <c r="E39" s="238">
        <v>1114</v>
      </c>
      <c r="F39" s="238">
        <v>1499</v>
      </c>
      <c r="G39" s="377">
        <v>12.97</v>
      </c>
      <c r="H39" s="116"/>
      <c r="I39" s="238"/>
      <c r="V39" s="217">
        <v>29</v>
      </c>
      <c r="X39" s="217">
        <v>29</v>
      </c>
      <c r="AB39" s="231" t="s">
        <v>387</v>
      </c>
      <c r="AC39" s="217" t="s">
        <v>333</v>
      </c>
      <c r="AD39" s="217" t="s">
        <v>334</v>
      </c>
      <c r="AE39" s="217" t="s">
        <v>334</v>
      </c>
    </row>
    <row r="40" spans="1:31">
      <c r="A40" s="227">
        <v>31</v>
      </c>
      <c r="B40" s="227" t="s">
        <v>315</v>
      </c>
      <c r="C40" s="227" t="s">
        <v>385</v>
      </c>
      <c r="D40" s="227" t="s">
        <v>386</v>
      </c>
      <c r="E40" s="227">
        <v>1500</v>
      </c>
      <c r="F40" s="227">
        <v>1999</v>
      </c>
      <c r="G40" s="377">
        <v>15.77</v>
      </c>
      <c r="H40" s="116"/>
      <c r="I40" s="227"/>
      <c r="M40" s="243" t="s">
        <v>388</v>
      </c>
      <c r="N40" s="244"/>
      <c r="O40" s="244"/>
      <c r="P40" s="243"/>
      <c r="V40" s="217">
        <v>30</v>
      </c>
      <c r="X40" s="217">
        <v>30</v>
      </c>
      <c r="AB40" s="231" t="s">
        <v>389</v>
      </c>
      <c r="AC40" s="217" t="s">
        <v>333</v>
      </c>
      <c r="AD40" s="217" t="s">
        <v>334</v>
      </c>
      <c r="AE40" s="217" t="s">
        <v>334</v>
      </c>
    </row>
    <row r="41" spans="1:31">
      <c r="A41" s="227">
        <v>31</v>
      </c>
      <c r="B41" s="227" t="s">
        <v>315</v>
      </c>
      <c r="C41" s="227" t="s">
        <v>385</v>
      </c>
      <c r="D41" s="227" t="s">
        <v>386</v>
      </c>
      <c r="E41" s="227">
        <v>2000</v>
      </c>
      <c r="F41" s="227">
        <v>2499</v>
      </c>
      <c r="G41" s="377">
        <v>18.579999999999998</v>
      </c>
      <c r="H41" s="116"/>
      <c r="I41" s="227"/>
      <c r="L41" s="245" t="s">
        <v>390</v>
      </c>
      <c r="M41" s="245"/>
      <c r="N41" s="245" t="s">
        <v>391</v>
      </c>
      <c r="O41" s="246" t="s">
        <v>392</v>
      </c>
      <c r="P41" s="247"/>
      <c r="Q41" s="490" t="s">
        <v>393</v>
      </c>
      <c r="R41" s="490"/>
      <c r="S41" s="490"/>
      <c r="V41" s="217">
        <v>31</v>
      </c>
      <c r="X41" s="217">
        <v>31</v>
      </c>
      <c r="AB41" s="231" t="s">
        <v>394</v>
      </c>
      <c r="AC41" s="217" t="s">
        <v>333</v>
      </c>
      <c r="AD41" s="217" t="s">
        <v>334</v>
      </c>
      <c r="AE41" s="217" t="s">
        <v>334</v>
      </c>
    </row>
    <row r="42" spans="1:31">
      <c r="A42" s="227">
        <v>31</v>
      </c>
      <c r="B42" s="227" t="s">
        <v>315</v>
      </c>
      <c r="C42" s="227" t="s">
        <v>385</v>
      </c>
      <c r="D42" s="227" t="s">
        <v>386</v>
      </c>
      <c r="E42" s="227">
        <v>2500</v>
      </c>
      <c r="F42" s="227">
        <v>2999</v>
      </c>
      <c r="G42" s="377">
        <v>21.37</v>
      </c>
      <c r="H42" s="116"/>
      <c r="I42" s="227"/>
      <c r="L42" s="248" t="s">
        <v>395</v>
      </c>
      <c r="M42" s="248" t="s">
        <v>396</v>
      </c>
      <c r="N42" s="245" t="s">
        <v>397</v>
      </c>
      <c r="O42" s="246" t="s">
        <v>398</v>
      </c>
      <c r="P42" s="247"/>
      <c r="Q42" s="229" t="s">
        <v>309</v>
      </c>
      <c r="R42" s="229" t="s">
        <v>225</v>
      </c>
      <c r="S42" s="229" t="s">
        <v>213</v>
      </c>
      <c r="V42" s="217">
        <v>32</v>
      </c>
      <c r="X42" s="217">
        <v>32</v>
      </c>
      <c r="AB42" s="231" t="s">
        <v>399</v>
      </c>
      <c r="AC42" s="217" t="s">
        <v>333</v>
      </c>
      <c r="AD42" s="217" t="s">
        <v>334</v>
      </c>
      <c r="AE42" s="217" t="s">
        <v>334</v>
      </c>
    </row>
    <row r="43" spans="1:31">
      <c r="A43" s="227">
        <v>31</v>
      </c>
      <c r="B43" s="227" t="s">
        <v>315</v>
      </c>
      <c r="C43" s="227" t="s">
        <v>385</v>
      </c>
      <c r="D43" s="227" t="s">
        <v>386</v>
      </c>
      <c r="E43" s="227">
        <v>3000</v>
      </c>
      <c r="F43" s="227">
        <v>3599</v>
      </c>
      <c r="G43" s="377">
        <v>24.73</v>
      </c>
      <c r="H43" s="116"/>
      <c r="I43" s="227"/>
      <c r="L43" s="249">
        <v>26</v>
      </c>
      <c r="M43" s="249">
        <v>51</v>
      </c>
      <c r="N43" s="249">
        <v>1</v>
      </c>
      <c r="O43" s="250">
        <v>2</v>
      </c>
      <c r="P43" s="251"/>
      <c r="Q43" s="308">
        <f>Q18+R18</f>
        <v>35</v>
      </c>
      <c r="R43" s="308">
        <f>S18+T18</f>
        <v>20</v>
      </c>
      <c r="S43" s="229" t="str">
        <f>CONCATENATE(Q43,"x",R43)</f>
        <v>35x20</v>
      </c>
      <c r="V43" s="217">
        <v>33</v>
      </c>
      <c r="X43" s="217">
        <v>33</v>
      </c>
      <c r="AB43" s="231" t="s">
        <v>400</v>
      </c>
      <c r="AC43" s="217" t="s">
        <v>333</v>
      </c>
      <c r="AD43" s="217" t="s">
        <v>334</v>
      </c>
      <c r="AE43" s="217" t="s">
        <v>334</v>
      </c>
    </row>
    <row r="44" spans="1:31">
      <c r="A44" s="227">
        <v>31</v>
      </c>
      <c r="B44" s="227" t="s">
        <v>315</v>
      </c>
      <c r="C44" s="227" t="s">
        <v>385</v>
      </c>
      <c r="D44" s="227" t="s">
        <v>386</v>
      </c>
      <c r="E44" s="227">
        <v>3600</v>
      </c>
      <c r="F44" s="227">
        <v>3959</v>
      </c>
      <c r="G44" s="377">
        <v>26.74</v>
      </c>
      <c r="H44" s="116"/>
      <c r="I44" s="227"/>
      <c r="L44" s="249">
        <v>52</v>
      </c>
      <c r="M44" s="249">
        <v>77</v>
      </c>
      <c r="N44" s="249">
        <v>2</v>
      </c>
      <c r="O44" s="250">
        <v>3</v>
      </c>
      <c r="P44" s="251"/>
      <c r="V44" s="217">
        <v>34</v>
      </c>
      <c r="X44" s="217">
        <v>34</v>
      </c>
      <c r="AB44" s="231" t="s">
        <v>401</v>
      </c>
      <c r="AC44" s="217" t="s">
        <v>333</v>
      </c>
      <c r="AD44" s="217" t="s">
        <v>334</v>
      </c>
      <c r="AE44" s="217" t="s">
        <v>334</v>
      </c>
    </row>
    <row r="45" spans="1:31">
      <c r="A45" s="223">
        <v>50</v>
      </c>
      <c r="B45" s="223">
        <v>3</v>
      </c>
      <c r="C45" s="252" t="s">
        <v>316</v>
      </c>
      <c r="D45" s="252" t="s">
        <v>316</v>
      </c>
      <c r="E45" s="252">
        <v>16</v>
      </c>
      <c r="F45" s="253">
        <v>249</v>
      </c>
      <c r="G45" s="377">
        <v>4.8899999999999997</v>
      </c>
      <c r="H45" s="377">
        <v>5.09</v>
      </c>
      <c r="I45" s="224">
        <v>4.1399999999999997</v>
      </c>
      <c r="J45" s="254">
        <f>(H45-G45)/G45</f>
        <v>4.0899795501022532E-2</v>
      </c>
      <c r="L45" s="249">
        <v>78</v>
      </c>
      <c r="M45" s="249">
        <v>103</v>
      </c>
      <c r="N45" s="249">
        <v>3</v>
      </c>
      <c r="O45" s="250">
        <v>4</v>
      </c>
      <c r="P45" s="251"/>
      <c r="Q45" s="217" t="s">
        <v>402</v>
      </c>
      <c r="R45" s="217" t="str">
        <f>IF(M35="Yes","",IFERROR(VLOOKUP(S43,Q51:R79,2,FALSE),""))</f>
        <v/>
      </c>
      <c r="V45" s="217">
        <v>35</v>
      </c>
      <c r="X45" s="217">
        <v>35</v>
      </c>
      <c r="AB45" s="231" t="s">
        <v>403</v>
      </c>
      <c r="AC45" s="217" t="s">
        <v>333</v>
      </c>
      <c r="AD45" s="217" t="s">
        <v>334</v>
      </c>
      <c r="AE45" s="217" t="s">
        <v>334</v>
      </c>
    </row>
    <row r="46" spans="1:31">
      <c r="A46" s="227">
        <v>50</v>
      </c>
      <c r="B46" s="227">
        <v>3</v>
      </c>
      <c r="C46" s="255" t="s">
        <v>316</v>
      </c>
      <c r="D46" s="255" t="s">
        <v>316</v>
      </c>
      <c r="E46" s="255">
        <f t="shared" ref="E46:E52" si="0">+F45+1</f>
        <v>250</v>
      </c>
      <c r="F46" s="256">
        <v>299</v>
      </c>
      <c r="G46" s="377">
        <v>4.99</v>
      </c>
      <c r="H46" s="377">
        <v>5.19</v>
      </c>
      <c r="I46" s="228">
        <v>4.2300000000000004</v>
      </c>
      <c r="J46" s="254">
        <f t="shared" ref="J46:J81" si="1">(H46-G46)/G46</f>
        <v>4.0080160320641316E-2</v>
      </c>
      <c r="L46" s="249">
        <v>104</v>
      </c>
      <c r="M46" s="249">
        <v>128</v>
      </c>
      <c r="N46" s="249">
        <v>4</v>
      </c>
      <c r="O46" s="250">
        <v>5</v>
      </c>
      <c r="P46" s="251"/>
      <c r="Q46" s="217" t="s">
        <v>404</v>
      </c>
      <c r="R46" s="217" t="str">
        <f>IF(AND(M35="Yes",R43&gt;77.25),"Over max width, please review",IF(AND(M35="Yes",Q43&gt;51.25),"Over max height",IF(OR(Q43&lt;3.25,R43&lt;3.25),"Under min height or width",R45)))</f>
        <v/>
      </c>
      <c r="V46" s="217">
        <v>36</v>
      </c>
      <c r="X46" s="217">
        <v>36</v>
      </c>
      <c r="AB46" s="231" t="s">
        <v>405</v>
      </c>
      <c r="AC46" s="217" t="s">
        <v>333</v>
      </c>
      <c r="AD46" s="217" t="s">
        <v>334</v>
      </c>
      <c r="AE46" s="217" t="s">
        <v>334</v>
      </c>
    </row>
    <row r="47" spans="1:31">
      <c r="A47" s="227">
        <v>50</v>
      </c>
      <c r="B47" s="227">
        <v>3</v>
      </c>
      <c r="C47" s="255" t="s">
        <v>316</v>
      </c>
      <c r="D47" s="255" t="s">
        <v>316</v>
      </c>
      <c r="E47" s="255">
        <f t="shared" si="0"/>
        <v>300</v>
      </c>
      <c r="F47" s="256">
        <v>349</v>
      </c>
      <c r="G47" s="377">
        <v>5.1100000000000003</v>
      </c>
      <c r="H47" s="377">
        <v>5.31</v>
      </c>
      <c r="I47" s="228">
        <v>4.32</v>
      </c>
      <c r="J47" s="254">
        <f t="shared" si="1"/>
        <v>3.9138943248532149E-2</v>
      </c>
      <c r="L47" s="249">
        <v>129</v>
      </c>
      <c r="M47" s="249">
        <v>155</v>
      </c>
      <c r="N47" s="249">
        <v>5</v>
      </c>
      <c r="O47" s="250">
        <v>6</v>
      </c>
      <c r="P47" s="251"/>
      <c r="V47" s="217">
        <v>37</v>
      </c>
      <c r="X47" s="217">
        <v>37</v>
      </c>
      <c r="AB47" s="231" t="s">
        <v>406</v>
      </c>
      <c r="AC47" s="217" t="s">
        <v>333</v>
      </c>
      <c r="AD47" s="217" t="s">
        <v>334</v>
      </c>
      <c r="AE47" s="217" t="s">
        <v>334</v>
      </c>
    </row>
    <row r="48" spans="1:31">
      <c r="A48" s="227">
        <v>50</v>
      </c>
      <c r="B48" s="227">
        <v>3</v>
      </c>
      <c r="C48" s="255" t="s">
        <v>316</v>
      </c>
      <c r="D48" s="255" t="s">
        <v>316</v>
      </c>
      <c r="E48" s="255">
        <f t="shared" si="0"/>
        <v>350</v>
      </c>
      <c r="F48" s="256">
        <v>399</v>
      </c>
      <c r="G48" s="377">
        <v>5.21</v>
      </c>
      <c r="H48" s="377">
        <v>5.42</v>
      </c>
      <c r="I48" s="228">
        <v>4.41</v>
      </c>
      <c r="J48" s="254">
        <f t="shared" si="1"/>
        <v>4.0307101727447212E-2</v>
      </c>
      <c r="L48" s="249">
        <v>156</v>
      </c>
      <c r="M48" s="249">
        <v>181</v>
      </c>
      <c r="N48" s="249">
        <v>6</v>
      </c>
      <c r="O48" s="250">
        <v>7</v>
      </c>
      <c r="P48" s="251"/>
      <c r="V48" s="217">
        <v>38</v>
      </c>
      <c r="X48" s="217">
        <v>38</v>
      </c>
      <c r="AB48" s="231" t="s">
        <v>407</v>
      </c>
      <c r="AC48" s="217" t="s">
        <v>333</v>
      </c>
      <c r="AD48" s="217" t="s">
        <v>334</v>
      </c>
      <c r="AE48" s="217" t="s">
        <v>334</v>
      </c>
    </row>
    <row r="49" spans="1:31">
      <c r="A49" s="227">
        <v>50</v>
      </c>
      <c r="B49" s="227">
        <v>3</v>
      </c>
      <c r="C49" s="255" t="s">
        <v>316</v>
      </c>
      <c r="D49" s="255" t="s">
        <v>316</v>
      </c>
      <c r="E49" s="255">
        <f t="shared" si="0"/>
        <v>400</v>
      </c>
      <c r="F49" s="256">
        <f>+F48+50</f>
        <v>449</v>
      </c>
      <c r="G49" s="377">
        <v>5.33</v>
      </c>
      <c r="H49" s="377">
        <v>5.54</v>
      </c>
      <c r="I49" s="228">
        <v>4.51</v>
      </c>
      <c r="J49" s="254">
        <f t="shared" si="1"/>
        <v>3.9399624765478418E-2</v>
      </c>
      <c r="L49" s="249">
        <v>182</v>
      </c>
      <c r="M49" s="249">
        <v>207</v>
      </c>
      <c r="N49" s="249">
        <v>7</v>
      </c>
      <c r="O49" s="250">
        <v>8</v>
      </c>
      <c r="P49" s="251"/>
      <c r="V49" s="217">
        <v>39</v>
      </c>
      <c r="X49" s="217">
        <v>39</v>
      </c>
      <c r="AB49" s="231" t="s">
        <v>408</v>
      </c>
      <c r="AC49" s="217" t="s">
        <v>333</v>
      </c>
      <c r="AD49" s="217" t="s">
        <v>334</v>
      </c>
      <c r="AE49" s="217" t="s">
        <v>334</v>
      </c>
    </row>
    <row r="50" spans="1:31">
      <c r="A50" s="227">
        <v>50</v>
      </c>
      <c r="B50" s="227">
        <v>3</v>
      </c>
      <c r="C50" s="255" t="s">
        <v>316</v>
      </c>
      <c r="D50" s="255" t="s">
        <v>316</v>
      </c>
      <c r="E50" s="255">
        <f t="shared" si="0"/>
        <v>450</v>
      </c>
      <c r="F50" s="256">
        <f>+F49+50</f>
        <v>499</v>
      </c>
      <c r="G50" s="377">
        <v>5.43</v>
      </c>
      <c r="H50" s="377">
        <v>5.65</v>
      </c>
      <c r="I50" s="228">
        <v>4.5999999999999996</v>
      </c>
      <c r="J50" s="254">
        <f t="shared" si="1"/>
        <v>4.0515653775322402E-2</v>
      </c>
      <c r="L50" s="249"/>
      <c r="M50" s="249"/>
      <c r="N50" s="249"/>
      <c r="O50" s="250"/>
      <c r="P50" s="251"/>
      <c r="V50" s="217">
        <v>40</v>
      </c>
      <c r="X50" s="217">
        <v>40</v>
      </c>
      <c r="AB50" s="231" t="s">
        <v>409</v>
      </c>
      <c r="AC50" s="217" t="s">
        <v>333</v>
      </c>
      <c r="AD50" s="217" t="s">
        <v>334</v>
      </c>
      <c r="AE50" s="217" t="s">
        <v>334</v>
      </c>
    </row>
    <row r="51" spans="1:31">
      <c r="A51" s="227">
        <v>50</v>
      </c>
      <c r="B51" s="227">
        <v>3</v>
      </c>
      <c r="C51" s="255" t="s">
        <v>316</v>
      </c>
      <c r="D51" s="255" t="s">
        <v>316</v>
      </c>
      <c r="E51" s="255">
        <f t="shared" si="0"/>
        <v>500</v>
      </c>
      <c r="F51" s="256">
        <f>+F50+50</f>
        <v>549</v>
      </c>
      <c r="G51" s="377">
        <v>5.54</v>
      </c>
      <c r="H51" s="377">
        <v>5.76</v>
      </c>
      <c r="I51" s="228">
        <v>4.6900000000000004</v>
      </c>
      <c r="J51" s="254">
        <f t="shared" si="1"/>
        <v>3.9711191335740026E-2</v>
      </c>
      <c r="Q51" s="309" t="s">
        <v>410</v>
      </c>
      <c r="R51" s="217" t="s">
        <v>411</v>
      </c>
      <c r="V51" s="217">
        <v>41</v>
      </c>
      <c r="X51" s="217">
        <v>41</v>
      </c>
      <c r="AB51" s="231" t="s">
        <v>412</v>
      </c>
      <c r="AC51" s="217" t="s">
        <v>333</v>
      </c>
      <c r="AD51" s="217" t="s">
        <v>334</v>
      </c>
      <c r="AE51" s="217" t="s">
        <v>334</v>
      </c>
    </row>
    <row r="52" spans="1:31">
      <c r="A52" s="227">
        <v>50</v>
      </c>
      <c r="B52" s="227">
        <v>3</v>
      </c>
      <c r="C52" s="255" t="s">
        <v>316</v>
      </c>
      <c r="D52" s="255" t="s">
        <v>316</v>
      </c>
      <c r="E52" s="255">
        <f t="shared" si="0"/>
        <v>550</v>
      </c>
      <c r="F52" s="256">
        <f>+F51+50</f>
        <v>599</v>
      </c>
      <c r="G52" s="377">
        <v>5.66</v>
      </c>
      <c r="H52" s="377">
        <v>5.89</v>
      </c>
      <c r="I52" s="228">
        <v>4.78</v>
      </c>
      <c r="J52" s="254">
        <f t="shared" si="1"/>
        <v>4.0636042402826769E-2</v>
      </c>
      <c r="Q52" s="309" t="s">
        <v>413</v>
      </c>
      <c r="R52" s="217" t="s">
        <v>411</v>
      </c>
      <c r="V52" s="217">
        <v>42</v>
      </c>
      <c r="X52" s="217">
        <v>42</v>
      </c>
      <c r="AB52" s="231" t="s">
        <v>414</v>
      </c>
      <c r="AC52" s="217" t="s">
        <v>333</v>
      </c>
      <c r="AD52" s="217" t="s">
        <v>334</v>
      </c>
      <c r="AE52" s="217" t="s">
        <v>334</v>
      </c>
    </row>
    <row r="53" spans="1:31">
      <c r="A53" s="223">
        <v>50</v>
      </c>
      <c r="B53" s="223">
        <v>3</v>
      </c>
      <c r="C53" s="252" t="s">
        <v>316</v>
      </c>
      <c r="D53" s="252" t="s">
        <v>341</v>
      </c>
      <c r="E53" s="252">
        <v>16</v>
      </c>
      <c r="F53" s="253">
        <v>249</v>
      </c>
      <c r="G53" s="377">
        <v>5.6</v>
      </c>
      <c r="H53" s="377">
        <v>5.82</v>
      </c>
      <c r="I53" s="224">
        <v>4.74</v>
      </c>
      <c r="J53" s="254">
        <f t="shared" si="1"/>
        <v>3.9285714285714403E-2</v>
      </c>
      <c r="L53" s="452" t="s">
        <v>415</v>
      </c>
      <c r="M53" s="452"/>
      <c r="N53" s="452"/>
      <c r="O53" s="452"/>
      <c r="Q53" s="309" t="s">
        <v>416</v>
      </c>
      <c r="R53" s="217" t="s">
        <v>411</v>
      </c>
      <c r="V53" s="217">
        <v>43</v>
      </c>
      <c r="X53" s="217">
        <v>43</v>
      </c>
      <c r="AB53" s="231" t="s">
        <v>417</v>
      </c>
      <c r="AC53" s="217" t="s">
        <v>333</v>
      </c>
      <c r="AD53" s="217" t="s">
        <v>334</v>
      </c>
      <c r="AE53" s="217" t="s">
        <v>334</v>
      </c>
    </row>
    <row r="54" spans="1:31">
      <c r="A54" s="227">
        <v>50</v>
      </c>
      <c r="B54" s="227">
        <v>3</v>
      </c>
      <c r="C54" s="255" t="s">
        <v>316</v>
      </c>
      <c r="D54" s="255" t="s">
        <v>341</v>
      </c>
      <c r="E54" s="255">
        <f t="shared" ref="E54:E59" si="2">+F53+1</f>
        <v>250</v>
      </c>
      <c r="F54" s="256">
        <v>399</v>
      </c>
      <c r="G54" s="377">
        <v>5.89</v>
      </c>
      <c r="H54" s="377">
        <v>6.13</v>
      </c>
      <c r="I54" s="228">
        <v>4.99</v>
      </c>
      <c r="J54" s="254">
        <f t="shared" si="1"/>
        <v>4.0747028862478815E-2</v>
      </c>
      <c r="L54" s="110" t="s">
        <v>418</v>
      </c>
      <c r="M54" s="110" t="s">
        <v>419</v>
      </c>
      <c r="N54" s="110" t="s">
        <v>420</v>
      </c>
      <c r="O54" s="110" t="s">
        <v>420</v>
      </c>
      <c r="P54" s="110"/>
      <c r="Q54" s="309" t="s">
        <v>421</v>
      </c>
      <c r="R54" s="217" t="s">
        <v>411</v>
      </c>
      <c r="V54" s="217">
        <v>44</v>
      </c>
      <c r="X54" s="217">
        <v>44</v>
      </c>
      <c r="AB54" s="231" t="s">
        <v>422</v>
      </c>
      <c r="AC54" s="217" t="s">
        <v>333</v>
      </c>
      <c r="AD54" s="217" t="s">
        <v>334</v>
      </c>
      <c r="AE54" s="217" t="s">
        <v>334</v>
      </c>
    </row>
    <row r="55" spans="1:31">
      <c r="A55" s="227">
        <v>50</v>
      </c>
      <c r="B55" s="227">
        <v>3</v>
      </c>
      <c r="C55" s="255" t="s">
        <v>316</v>
      </c>
      <c r="D55" s="255" t="s">
        <v>341</v>
      </c>
      <c r="E55" s="255">
        <f t="shared" si="2"/>
        <v>400</v>
      </c>
      <c r="F55" s="256">
        <v>499</v>
      </c>
      <c r="G55" s="377">
        <v>6.1</v>
      </c>
      <c r="H55" s="377">
        <v>6.34</v>
      </c>
      <c r="I55" s="228">
        <v>5.16</v>
      </c>
      <c r="J55" s="254">
        <f t="shared" si="1"/>
        <v>3.9344262295082005E-2</v>
      </c>
      <c r="L55" s="101">
        <v>11</v>
      </c>
      <c r="M55" s="101" t="s">
        <v>423</v>
      </c>
      <c r="N55" s="101" t="s">
        <v>424</v>
      </c>
      <c r="O55" s="101" t="s">
        <v>425</v>
      </c>
      <c r="P55" s="101"/>
      <c r="Q55" s="309" t="s">
        <v>426</v>
      </c>
      <c r="R55" s="217" t="s">
        <v>411</v>
      </c>
      <c r="V55" s="217">
        <v>45</v>
      </c>
      <c r="X55" s="217">
        <v>45</v>
      </c>
      <c r="AB55" s="231" t="s">
        <v>427</v>
      </c>
      <c r="AC55" s="217" t="s">
        <v>333</v>
      </c>
      <c r="AD55" s="217" t="s">
        <v>334</v>
      </c>
      <c r="AE55" s="217" t="s">
        <v>334</v>
      </c>
    </row>
    <row r="56" spans="1:31">
      <c r="A56" s="227">
        <v>50</v>
      </c>
      <c r="B56" s="227">
        <v>3</v>
      </c>
      <c r="C56" s="255" t="s">
        <v>316</v>
      </c>
      <c r="D56" s="255" t="s">
        <v>341</v>
      </c>
      <c r="E56" s="255">
        <f t="shared" si="2"/>
        <v>500</v>
      </c>
      <c r="F56" s="256">
        <v>649</v>
      </c>
      <c r="G56" s="377">
        <v>6.38</v>
      </c>
      <c r="H56" s="377">
        <v>6.64</v>
      </c>
      <c r="I56" s="228">
        <v>5.41</v>
      </c>
      <c r="J56" s="254">
        <f t="shared" si="1"/>
        <v>4.0752351097178653E-2</v>
      </c>
      <c r="L56" s="101">
        <v>1</v>
      </c>
      <c r="M56" s="101" t="s">
        <v>428</v>
      </c>
      <c r="N56" s="101" t="s">
        <v>429</v>
      </c>
      <c r="O56" s="101" t="s">
        <v>425</v>
      </c>
      <c r="P56" s="101"/>
      <c r="Q56" s="309" t="s">
        <v>430</v>
      </c>
      <c r="R56" s="217" t="s">
        <v>411</v>
      </c>
      <c r="V56" s="217">
        <v>46</v>
      </c>
      <c r="X56" s="217">
        <v>46</v>
      </c>
      <c r="AB56" s="231" t="s">
        <v>431</v>
      </c>
      <c r="AC56" s="217" t="s">
        <v>333</v>
      </c>
      <c r="AD56" s="217" t="s">
        <v>334</v>
      </c>
      <c r="AE56" s="217" t="s">
        <v>334</v>
      </c>
    </row>
    <row r="57" spans="1:31">
      <c r="A57" s="227">
        <v>50</v>
      </c>
      <c r="B57" s="227">
        <v>3</v>
      </c>
      <c r="C57" s="255" t="s">
        <v>316</v>
      </c>
      <c r="D57" s="255" t="s">
        <v>341</v>
      </c>
      <c r="E57" s="255">
        <f t="shared" si="2"/>
        <v>650</v>
      </c>
      <c r="F57" s="256">
        <v>699</v>
      </c>
      <c r="G57" s="377">
        <v>6.49</v>
      </c>
      <c r="H57" s="377">
        <v>6.75</v>
      </c>
      <c r="I57" s="228">
        <v>5.49</v>
      </c>
      <c r="J57" s="254">
        <f t="shared" si="1"/>
        <v>4.006163328197223E-2</v>
      </c>
      <c r="L57" s="101">
        <v>18</v>
      </c>
      <c r="M57" s="101" t="s">
        <v>388</v>
      </c>
      <c r="N57" s="101"/>
      <c r="O57" s="101" t="s">
        <v>425</v>
      </c>
      <c r="P57" s="101"/>
      <c r="Q57" s="309" t="s">
        <v>432</v>
      </c>
      <c r="R57" s="217" t="s">
        <v>411</v>
      </c>
      <c r="V57" s="217">
        <v>47</v>
      </c>
      <c r="X57" s="217">
        <v>47</v>
      </c>
      <c r="AB57" s="231" t="s">
        <v>433</v>
      </c>
      <c r="AC57" s="217" t="s">
        <v>333</v>
      </c>
      <c r="AD57" s="217" t="s">
        <v>334</v>
      </c>
      <c r="AE57" s="217" t="s">
        <v>334</v>
      </c>
    </row>
    <row r="58" spans="1:31">
      <c r="A58" s="227">
        <v>50</v>
      </c>
      <c r="B58" s="227">
        <v>3</v>
      </c>
      <c r="C58" s="255" t="s">
        <v>316</v>
      </c>
      <c r="D58" s="255" t="s">
        <v>341</v>
      </c>
      <c r="E58" s="255">
        <f t="shared" si="2"/>
        <v>700</v>
      </c>
      <c r="F58" s="256">
        <v>999</v>
      </c>
      <c r="G58" s="377">
        <v>7.09</v>
      </c>
      <c r="H58" s="377">
        <v>7.37</v>
      </c>
      <c r="I58" s="228">
        <v>5.99</v>
      </c>
      <c r="J58" s="254">
        <f t="shared" si="1"/>
        <v>3.9492242595204549E-2</v>
      </c>
      <c r="L58" s="101">
        <v>6</v>
      </c>
      <c r="M58" s="101" t="s">
        <v>434</v>
      </c>
      <c r="N58" s="101"/>
      <c r="O58" s="101" t="s">
        <v>425</v>
      </c>
      <c r="P58" s="101"/>
      <c r="Q58" s="309" t="s">
        <v>435</v>
      </c>
      <c r="R58" s="217" t="s">
        <v>411</v>
      </c>
      <c r="V58" s="217">
        <v>48</v>
      </c>
      <c r="X58" s="217">
        <v>48</v>
      </c>
      <c r="AB58" s="231" t="s">
        <v>436</v>
      </c>
      <c r="AC58" s="217" t="s">
        <v>333</v>
      </c>
      <c r="AD58" s="217" t="s">
        <v>334</v>
      </c>
      <c r="AE58" s="217" t="s">
        <v>334</v>
      </c>
    </row>
    <row r="59" spans="1:31">
      <c r="A59" s="227">
        <v>50</v>
      </c>
      <c r="B59" s="227">
        <v>3</v>
      </c>
      <c r="C59" s="255" t="s">
        <v>316</v>
      </c>
      <c r="D59" s="255" t="s">
        <v>341</v>
      </c>
      <c r="E59" s="255">
        <f t="shared" si="2"/>
        <v>1000</v>
      </c>
      <c r="F59" s="256">
        <v>1145</v>
      </c>
      <c r="G59" s="377">
        <v>7.37</v>
      </c>
      <c r="H59" s="377">
        <v>7.66</v>
      </c>
      <c r="I59" s="228">
        <v>6.24</v>
      </c>
      <c r="J59" s="254">
        <f t="shared" si="1"/>
        <v>3.9348710990502037E-2</v>
      </c>
      <c r="L59" s="101">
        <v>10</v>
      </c>
      <c r="M59" s="101" t="s">
        <v>437</v>
      </c>
      <c r="N59" s="101"/>
      <c r="O59" s="101" t="s">
        <v>425</v>
      </c>
      <c r="P59" s="101"/>
      <c r="Q59" s="309" t="s">
        <v>438</v>
      </c>
      <c r="R59" s="217" t="s">
        <v>411</v>
      </c>
      <c r="V59" s="217">
        <v>49</v>
      </c>
      <c r="X59" s="217">
        <v>49</v>
      </c>
      <c r="AB59" s="231" t="s">
        <v>439</v>
      </c>
      <c r="AC59" s="217" t="s">
        <v>333</v>
      </c>
      <c r="AD59" s="217" t="s">
        <v>334</v>
      </c>
      <c r="AE59" s="217" t="s">
        <v>334</v>
      </c>
    </row>
    <row r="60" spans="1:31">
      <c r="A60" s="223">
        <v>50</v>
      </c>
      <c r="B60" s="223">
        <v>3</v>
      </c>
      <c r="C60" s="257" t="s">
        <v>316</v>
      </c>
      <c r="D60" s="258" t="s">
        <v>351</v>
      </c>
      <c r="E60" s="258">
        <v>16</v>
      </c>
      <c r="F60" s="258">
        <v>499</v>
      </c>
      <c r="G60" s="377">
        <v>6.31</v>
      </c>
      <c r="H60" s="377">
        <v>6.56</v>
      </c>
      <c r="I60" s="224">
        <v>5.34</v>
      </c>
      <c r="J60" s="254">
        <f t="shared" si="1"/>
        <v>3.9619651347068151E-2</v>
      </c>
      <c r="Q60" s="309" t="s">
        <v>440</v>
      </c>
      <c r="R60" s="217" t="s">
        <v>411</v>
      </c>
      <c r="V60" s="217">
        <v>50</v>
      </c>
      <c r="X60" s="217">
        <v>50</v>
      </c>
      <c r="AB60" s="231" t="s">
        <v>441</v>
      </c>
      <c r="AC60" s="217" t="s">
        <v>333</v>
      </c>
      <c r="AD60" s="217" t="s">
        <v>334</v>
      </c>
      <c r="AE60" s="217" t="s">
        <v>334</v>
      </c>
    </row>
    <row r="61" spans="1:31">
      <c r="A61" s="227">
        <v>50</v>
      </c>
      <c r="B61" s="227">
        <v>3</v>
      </c>
      <c r="C61" s="259" t="s">
        <v>316</v>
      </c>
      <c r="D61" s="260" t="s">
        <v>351</v>
      </c>
      <c r="E61" s="260">
        <v>500</v>
      </c>
      <c r="F61" s="260">
        <v>649</v>
      </c>
      <c r="G61" s="377">
        <v>6.6</v>
      </c>
      <c r="H61" s="377">
        <v>6.86</v>
      </c>
      <c r="I61" s="228">
        <v>5.59</v>
      </c>
      <c r="J61" s="254">
        <f t="shared" si="1"/>
        <v>3.9393939393939495E-2</v>
      </c>
      <c r="L61" s="490" t="s">
        <v>442</v>
      </c>
      <c r="M61" s="490"/>
      <c r="Q61" s="309" t="s">
        <v>443</v>
      </c>
      <c r="R61" s="217" t="s">
        <v>411</v>
      </c>
      <c r="V61" s="217">
        <v>51</v>
      </c>
      <c r="X61" s="217">
        <v>51</v>
      </c>
      <c r="AB61" s="231" t="s">
        <v>444</v>
      </c>
      <c r="AC61" s="217" t="s">
        <v>333</v>
      </c>
      <c r="AD61" s="217" t="s">
        <v>334</v>
      </c>
      <c r="AE61" s="217" t="s">
        <v>334</v>
      </c>
    </row>
    <row r="62" spans="1:31">
      <c r="A62" s="227">
        <v>50</v>
      </c>
      <c r="B62" s="227">
        <v>3</v>
      </c>
      <c r="C62" s="259" t="s">
        <v>316</v>
      </c>
      <c r="D62" s="260" t="s">
        <v>351</v>
      </c>
      <c r="E62" s="260">
        <v>650</v>
      </c>
      <c r="F62" s="260">
        <v>799</v>
      </c>
      <c r="G62" s="377">
        <v>6.9</v>
      </c>
      <c r="H62" s="377">
        <v>7.18</v>
      </c>
      <c r="I62" s="228">
        <v>5.84</v>
      </c>
      <c r="J62" s="254">
        <f t="shared" si="1"/>
        <v>4.0579710144927443E-2</v>
      </c>
      <c r="L62" s="230" t="s">
        <v>335</v>
      </c>
      <c r="M62" s="217">
        <v>3.25</v>
      </c>
      <c r="Q62" s="309" t="s">
        <v>445</v>
      </c>
      <c r="R62" s="217" t="s">
        <v>411</v>
      </c>
      <c r="V62" s="217">
        <v>52</v>
      </c>
      <c r="AB62" s="231" t="s">
        <v>446</v>
      </c>
      <c r="AC62" s="217" t="s">
        <v>333</v>
      </c>
      <c r="AD62" s="217" t="s">
        <v>334</v>
      </c>
      <c r="AE62" s="217" t="s">
        <v>334</v>
      </c>
    </row>
    <row r="63" spans="1:31">
      <c r="A63" s="227">
        <v>50</v>
      </c>
      <c r="B63" s="227">
        <v>3</v>
      </c>
      <c r="C63" s="259" t="s">
        <v>316</v>
      </c>
      <c r="D63" s="260" t="s">
        <v>351</v>
      </c>
      <c r="E63" s="260">
        <v>800</v>
      </c>
      <c r="F63" s="260">
        <v>1099</v>
      </c>
      <c r="G63" s="377">
        <v>7.49</v>
      </c>
      <c r="H63" s="377">
        <v>7.79</v>
      </c>
      <c r="I63" s="228">
        <v>6.34</v>
      </c>
      <c r="J63" s="254">
        <f t="shared" si="1"/>
        <v>4.0053404539385822E-2</v>
      </c>
      <c r="L63" s="230" t="s">
        <v>336</v>
      </c>
      <c r="M63" s="217">
        <v>51.25</v>
      </c>
      <c r="Q63" s="309" t="s">
        <v>447</v>
      </c>
      <c r="R63" s="217" t="s">
        <v>411</v>
      </c>
      <c r="V63" s="217">
        <v>53</v>
      </c>
      <c r="AB63" s="231" t="s">
        <v>448</v>
      </c>
      <c r="AC63" s="217" t="s">
        <v>333</v>
      </c>
      <c r="AD63" s="217" t="s">
        <v>334</v>
      </c>
      <c r="AE63" s="217" t="s">
        <v>334</v>
      </c>
    </row>
    <row r="64" spans="1:31">
      <c r="A64" s="227">
        <v>50</v>
      </c>
      <c r="B64" s="227">
        <v>3</v>
      </c>
      <c r="C64" s="259" t="s">
        <v>316</v>
      </c>
      <c r="D64" s="260" t="s">
        <v>351</v>
      </c>
      <c r="E64" s="260">
        <v>1100</v>
      </c>
      <c r="F64" s="260">
        <v>1299</v>
      </c>
      <c r="G64" s="377">
        <v>7.89</v>
      </c>
      <c r="H64" s="377">
        <v>8.2100000000000009</v>
      </c>
      <c r="I64" s="228">
        <v>6.68</v>
      </c>
      <c r="J64" s="254">
        <f t="shared" si="1"/>
        <v>4.055766793409394E-2</v>
      </c>
      <c r="L64" s="230" t="s">
        <v>338</v>
      </c>
      <c r="M64" s="217">
        <v>3.25</v>
      </c>
      <c r="Q64" s="309" t="s">
        <v>449</v>
      </c>
      <c r="R64" s="217" t="s">
        <v>411</v>
      </c>
      <c r="V64" s="217">
        <v>54</v>
      </c>
      <c r="AB64" s="231" t="s">
        <v>450</v>
      </c>
      <c r="AC64" s="217" t="s">
        <v>333</v>
      </c>
      <c r="AD64" s="217" t="s">
        <v>334</v>
      </c>
      <c r="AE64" s="217" t="s">
        <v>334</v>
      </c>
    </row>
    <row r="65" spans="1:31">
      <c r="A65" s="236">
        <v>50</v>
      </c>
      <c r="B65" s="236">
        <v>3</v>
      </c>
      <c r="C65" s="261" t="s">
        <v>316</v>
      </c>
      <c r="D65" s="262" t="s">
        <v>351</v>
      </c>
      <c r="E65" s="263">
        <f t="shared" ref="E65:E67" si="3">+F64+1</f>
        <v>1300</v>
      </c>
      <c r="F65" s="264">
        <v>1499</v>
      </c>
      <c r="G65" s="377">
        <v>13.31</v>
      </c>
      <c r="H65" s="377">
        <v>13.84</v>
      </c>
      <c r="I65" s="237">
        <v>11.26</v>
      </c>
      <c r="J65" s="254">
        <f t="shared" si="1"/>
        <v>3.9819684447783575E-2</v>
      </c>
      <c r="L65" s="230" t="s">
        <v>339</v>
      </c>
      <c r="M65" s="217">
        <v>77.25</v>
      </c>
      <c r="Q65" s="217" t="s">
        <v>451</v>
      </c>
      <c r="R65" s="217" t="s">
        <v>411</v>
      </c>
      <c r="V65" s="217">
        <v>55</v>
      </c>
      <c r="AB65" s="231"/>
    </row>
    <row r="66" spans="1:31">
      <c r="A66" s="236">
        <v>50</v>
      </c>
      <c r="B66" s="236">
        <v>3</v>
      </c>
      <c r="C66" s="261" t="s">
        <v>316</v>
      </c>
      <c r="D66" s="262" t="s">
        <v>351</v>
      </c>
      <c r="E66" s="263">
        <f t="shared" si="3"/>
        <v>1500</v>
      </c>
      <c r="F66" s="264">
        <v>1699</v>
      </c>
      <c r="G66" s="377">
        <v>14.29</v>
      </c>
      <c r="H66" s="377">
        <v>14.86</v>
      </c>
      <c r="I66" s="237">
        <v>12.09</v>
      </c>
      <c r="J66" s="254">
        <f t="shared" si="1"/>
        <v>3.9888033589923044E-2</v>
      </c>
      <c r="Q66" s="217" t="s">
        <v>452</v>
      </c>
      <c r="R66" s="217" t="s">
        <v>411</v>
      </c>
      <c r="V66" s="217">
        <v>56</v>
      </c>
      <c r="AB66" s="231"/>
    </row>
    <row r="67" spans="1:31">
      <c r="A67" s="236">
        <v>50</v>
      </c>
      <c r="B67" s="236">
        <v>3</v>
      </c>
      <c r="C67" s="261" t="s">
        <v>316</v>
      </c>
      <c r="D67" s="262" t="s">
        <v>351</v>
      </c>
      <c r="E67" s="263">
        <f t="shared" si="3"/>
        <v>1700</v>
      </c>
      <c r="F67" s="264">
        <v>1899</v>
      </c>
      <c r="G67" s="377">
        <v>15.25</v>
      </c>
      <c r="H67" s="377">
        <v>15.86</v>
      </c>
      <c r="I67" s="237">
        <v>12.91</v>
      </c>
      <c r="J67" s="254">
        <f t="shared" si="1"/>
        <v>3.9999999999999966E-2</v>
      </c>
      <c r="Q67" s="217" t="s">
        <v>453</v>
      </c>
      <c r="R67" s="217" t="s">
        <v>411</v>
      </c>
      <c r="V67" s="217">
        <v>57</v>
      </c>
      <c r="AB67" s="231"/>
    </row>
    <row r="68" spans="1:31">
      <c r="A68" s="223">
        <v>50</v>
      </c>
      <c r="B68" s="223">
        <v>3</v>
      </c>
      <c r="C68" s="252" t="s">
        <v>359</v>
      </c>
      <c r="D68" s="252" t="s">
        <v>360</v>
      </c>
      <c r="E68" s="252">
        <v>16</v>
      </c>
      <c r="F68" s="253">
        <v>349</v>
      </c>
      <c r="G68" s="377">
        <v>7.72</v>
      </c>
      <c r="H68" s="377">
        <v>8.0299999999999994</v>
      </c>
      <c r="I68" s="224">
        <v>6.53</v>
      </c>
      <c r="J68" s="254">
        <f t="shared" si="1"/>
        <v>4.015544041450772E-2</v>
      </c>
      <c r="Q68" s="217" t="s">
        <v>454</v>
      </c>
      <c r="R68" s="217" t="s">
        <v>411</v>
      </c>
      <c r="V68" s="217">
        <v>58</v>
      </c>
      <c r="AB68" s="231" t="s">
        <v>455</v>
      </c>
      <c r="AC68" s="217" t="s">
        <v>333</v>
      </c>
      <c r="AD68" s="217" t="s">
        <v>334</v>
      </c>
      <c r="AE68" s="217" t="s">
        <v>334</v>
      </c>
    </row>
    <row r="69" spans="1:31">
      <c r="A69" s="227">
        <v>50</v>
      </c>
      <c r="B69" s="227">
        <v>3</v>
      </c>
      <c r="C69" s="255" t="s">
        <v>359</v>
      </c>
      <c r="D69" s="255" t="s">
        <v>360</v>
      </c>
      <c r="E69" s="255">
        <f t="shared" ref="E69:E80" si="4">+F68+1</f>
        <v>350</v>
      </c>
      <c r="F69" s="256">
        <v>499</v>
      </c>
      <c r="G69" s="377">
        <v>8.4499999999999993</v>
      </c>
      <c r="H69" s="377">
        <v>8.7899999999999991</v>
      </c>
      <c r="I69" s="228">
        <v>7.15</v>
      </c>
      <c r="J69" s="254">
        <f t="shared" si="1"/>
        <v>4.0236686390532531E-2</v>
      </c>
      <c r="Q69" s="217" t="s">
        <v>456</v>
      </c>
      <c r="R69" s="217" t="s">
        <v>411</v>
      </c>
      <c r="V69" s="217">
        <v>59</v>
      </c>
      <c r="AB69" s="231" t="s">
        <v>457</v>
      </c>
      <c r="AC69" s="217" t="s">
        <v>333</v>
      </c>
      <c r="AD69" s="217" t="s">
        <v>334</v>
      </c>
      <c r="AE69" s="217" t="s">
        <v>334</v>
      </c>
    </row>
    <row r="70" spans="1:31">
      <c r="A70" s="227">
        <v>50</v>
      </c>
      <c r="B70" s="227">
        <v>3</v>
      </c>
      <c r="C70" s="255" t="s">
        <v>359</v>
      </c>
      <c r="D70" s="255" t="s">
        <v>360</v>
      </c>
      <c r="E70" s="255">
        <f t="shared" si="4"/>
        <v>500</v>
      </c>
      <c r="F70" s="256">
        <v>649</v>
      </c>
      <c r="G70" s="377">
        <v>9.18</v>
      </c>
      <c r="H70" s="377">
        <v>9.5500000000000007</v>
      </c>
      <c r="I70" s="228">
        <v>7.77</v>
      </c>
      <c r="J70" s="254">
        <f t="shared" si="1"/>
        <v>4.0305010893246299E-2</v>
      </c>
      <c r="Q70" s="217" t="s">
        <v>458</v>
      </c>
      <c r="R70" s="217" t="s">
        <v>411</v>
      </c>
      <c r="V70" s="217">
        <v>60</v>
      </c>
      <c r="AB70" s="231" t="s">
        <v>459</v>
      </c>
      <c r="AC70" s="217" t="s">
        <v>333</v>
      </c>
      <c r="AD70" s="217" t="s">
        <v>334</v>
      </c>
      <c r="AE70" s="217" t="s">
        <v>334</v>
      </c>
    </row>
    <row r="71" spans="1:31">
      <c r="A71" s="227">
        <v>50</v>
      </c>
      <c r="B71" s="227">
        <v>3</v>
      </c>
      <c r="C71" s="255" t="s">
        <v>359</v>
      </c>
      <c r="D71" s="255" t="s">
        <v>360</v>
      </c>
      <c r="E71" s="255">
        <f t="shared" si="4"/>
        <v>650</v>
      </c>
      <c r="F71" s="256">
        <v>799</v>
      </c>
      <c r="G71" s="377">
        <v>9.91</v>
      </c>
      <c r="H71" s="377">
        <v>10.31</v>
      </c>
      <c r="I71" s="228">
        <v>8.3800000000000008</v>
      </c>
      <c r="J71" s="254">
        <f t="shared" si="1"/>
        <v>4.0363269424823447E-2</v>
      </c>
      <c r="Q71" s="217" t="s">
        <v>460</v>
      </c>
      <c r="R71" s="217" t="s">
        <v>411</v>
      </c>
      <c r="V71" s="217">
        <v>61</v>
      </c>
      <c r="AB71" s="231" t="s">
        <v>461</v>
      </c>
      <c r="AC71" s="217" t="s">
        <v>333</v>
      </c>
      <c r="AD71" s="217" t="s">
        <v>334</v>
      </c>
      <c r="AE71" s="217" t="s">
        <v>334</v>
      </c>
    </row>
    <row r="72" spans="1:31">
      <c r="A72" s="227">
        <v>50</v>
      </c>
      <c r="B72" s="227">
        <v>3</v>
      </c>
      <c r="C72" s="255" t="s">
        <v>359</v>
      </c>
      <c r="D72" s="255" t="s">
        <v>360</v>
      </c>
      <c r="E72" s="255">
        <f t="shared" si="4"/>
        <v>800</v>
      </c>
      <c r="F72" s="256">
        <v>949</v>
      </c>
      <c r="G72" s="377">
        <v>10.63</v>
      </c>
      <c r="H72" s="377">
        <v>11.06</v>
      </c>
      <c r="I72" s="228">
        <v>9</v>
      </c>
      <c r="J72" s="254">
        <f t="shared" si="1"/>
        <v>4.0451552210724336E-2</v>
      </c>
      <c r="Q72" s="217" t="s">
        <v>462</v>
      </c>
      <c r="R72" s="217" t="s">
        <v>411</v>
      </c>
      <c r="V72" s="217">
        <v>62</v>
      </c>
      <c r="AB72" s="231" t="s">
        <v>463</v>
      </c>
      <c r="AC72" s="217" t="s">
        <v>333</v>
      </c>
      <c r="AD72" s="217" t="s">
        <v>334</v>
      </c>
      <c r="AE72" s="217" t="s">
        <v>334</v>
      </c>
    </row>
    <row r="73" spans="1:31">
      <c r="A73" s="227">
        <v>50</v>
      </c>
      <c r="B73" s="227">
        <v>3</v>
      </c>
      <c r="C73" s="255" t="s">
        <v>359</v>
      </c>
      <c r="D73" s="255" t="s">
        <v>360</v>
      </c>
      <c r="E73" s="255">
        <f t="shared" si="4"/>
        <v>950</v>
      </c>
      <c r="F73" s="256">
        <v>1099</v>
      </c>
      <c r="G73" s="377">
        <v>11.36</v>
      </c>
      <c r="H73" s="377">
        <v>11.81</v>
      </c>
      <c r="I73" s="228">
        <v>9.6199999999999992</v>
      </c>
      <c r="J73" s="254">
        <f t="shared" si="1"/>
        <v>3.9612676056338121E-2</v>
      </c>
      <c r="Q73" s="217" t="s">
        <v>464</v>
      </c>
      <c r="R73" s="217" t="s">
        <v>411</v>
      </c>
      <c r="V73" s="217">
        <v>63</v>
      </c>
      <c r="AB73" s="231" t="s">
        <v>465</v>
      </c>
      <c r="AC73" s="217" t="s">
        <v>333</v>
      </c>
      <c r="AD73" s="217" t="s">
        <v>334</v>
      </c>
      <c r="AE73" s="217" t="s">
        <v>334</v>
      </c>
    </row>
    <row r="74" spans="1:31">
      <c r="A74" s="227">
        <v>50</v>
      </c>
      <c r="B74" s="227">
        <v>3</v>
      </c>
      <c r="C74" s="255" t="s">
        <v>359</v>
      </c>
      <c r="D74" s="255" t="s">
        <v>360</v>
      </c>
      <c r="E74" s="255">
        <f t="shared" si="4"/>
        <v>1100</v>
      </c>
      <c r="F74" s="256">
        <v>1299</v>
      </c>
      <c r="G74" s="377">
        <v>12.34</v>
      </c>
      <c r="H74" s="377">
        <v>12.83</v>
      </c>
      <c r="I74" s="228">
        <v>10.44</v>
      </c>
      <c r="J74" s="254">
        <f t="shared" si="1"/>
        <v>3.9708265802269063E-2</v>
      </c>
      <c r="V74" s="217">
        <v>64</v>
      </c>
      <c r="AB74" s="231" t="s">
        <v>466</v>
      </c>
      <c r="AC74" s="217" t="s">
        <v>333</v>
      </c>
      <c r="AD74" s="217" t="s">
        <v>334</v>
      </c>
      <c r="AE74" s="217" t="s">
        <v>334</v>
      </c>
    </row>
    <row r="75" spans="1:31">
      <c r="A75" s="227">
        <v>50</v>
      </c>
      <c r="B75" s="227">
        <v>3</v>
      </c>
      <c r="C75" s="255" t="s">
        <v>359</v>
      </c>
      <c r="D75" s="255" t="s">
        <v>360</v>
      </c>
      <c r="E75" s="255">
        <f t="shared" si="4"/>
        <v>1300</v>
      </c>
      <c r="F75" s="256">
        <v>1499</v>
      </c>
      <c r="G75" s="377">
        <v>13.31</v>
      </c>
      <c r="H75" s="377">
        <v>13.84</v>
      </c>
      <c r="I75" s="228">
        <v>11.26</v>
      </c>
      <c r="J75" s="254">
        <f t="shared" si="1"/>
        <v>3.9819684447783575E-2</v>
      </c>
      <c r="V75" s="217">
        <v>65</v>
      </c>
      <c r="AB75" s="231" t="s">
        <v>467</v>
      </c>
      <c r="AC75" s="217" t="s">
        <v>333</v>
      </c>
      <c r="AD75" s="217" t="s">
        <v>334</v>
      </c>
      <c r="AE75" s="217" t="s">
        <v>334</v>
      </c>
    </row>
    <row r="76" spans="1:31">
      <c r="A76" s="227">
        <v>50</v>
      </c>
      <c r="B76" s="227">
        <v>3</v>
      </c>
      <c r="C76" s="255" t="s">
        <v>359</v>
      </c>
      <c r="D76" s="255" t="s">
        <v>360</v>
      </c>
      <c r="E76" s="255">
        <f t="shared" si="4"/>
        <v>1500</v>
      </c>
      <c r="F76" s="256">
        <v>1699</v>
      </c>
      <c r="G76" s="377">
        <v>14.29</v>
      </c>
      <c r="H76" s="377">
        <v>14.86</v>
      </c>
      <c r="I76" s="228">
        <v>12.09</v>
      </c>
      <c r="J76" s="254">
        <f t="shared" si="1"/>
        <v>3.9888033589923044E-2</v>
      </c>
      <c r="V76" s="217">
        <v>66</v>
      </c>
      <c r="AB76" s="231" t="s">
        <v>468</v>
      </c>
      <c r="AC76" s="217" t="s">
        <v>333</v>
      </c>
      <c r="AD76" s="217" t="s">
        <v>334</v>
      </c>
      <c r="AE76" s="217" t="s">
        <v>334</v>
      </c>
    </row>
    <row r="77" spans="1:31">
      <c r="A77" s="227">
        <v>50</v>
      </c>
      <c r="B77" s="227">
        <v>3</v>
      </c>
      <c r="C77" s="255" t="s">
        <v>359</v>
      </c>
      <c r="D77" s="255" t="s">
        <v>360</v>
      </c>
      <c r="E77" s="255">
        <f t="shared" si="4"/>
        <v>1700</v>
      </c>
      <c r="F77" s="256">
        <v>1899</v>
      </c>
      <c r="G77" s="377">
        <v>15.25</v>
      </c>
      <c r="H77" s="377">
        <v>15.86</v>
      </c>
      <c r="I77" s="228">
        <v>12.91</v>
      </c>
      <c r="J77" s="254">
        <f t="shared" si="1"/>
        <v>3.9999999999999966E-2</v>
      </c>
      <c r="V77" s="217">
        <v>67</v>
      </c>
      <c r="AB77" s="231" t="s">
        <v>469</v>
      </c>
      <c r="AC77" s="217" t="s">
        <v>333</v>
      </c>
      <c r="AD77" s="217" t="s">
        <v>334</v>
      </c>
      <c r="AE77" s="217" t="s">
        <v>334</v>
      </c>
    </row>
    <row r="78" spans="1:31">
      <c r="A78" s="227">
        <v>50</v>
      </c>
      <c r="B78" s="227">
        <v>3</v>
      </c>
      <c r="C78" s="255" t="s">
        <v>359</v>
      </c>
      <c r="D78" s="255" t="s">
        <v>360</v>
      </c>
      <c r="E78" s="255">
        <f t="shared" si="4"/>
        <v>1900</v>
      </c>
      <c r="F78" s="256">
        <v>2099</v>
      </c>
      <c r="G78" s="377">
        <v>16.22</v>
      </c>
      <c r="H78" s="377">
        <v>16.87</v>
      </c>
      <c r="I78" s="228">
        <v>13.73</v>
      </c>
      <c r="J78" s="254">
        <f t="shared" si="1"/>
        <v>4.0073982737361416E-2</v>
      </c>
      <c r="V78" s="217">
        <v>68</v>
      </c>
      <c r="AB78" s="231" t="s">
        <v>470</v>
      </c>
      <c r="AC78" s="217" t="s">
        <v>333</v>
      </c>
      <c r="AD78" s="217" t="s">
        <v>334</v>
      </c>
      <c r="AE78" s="217" t="s">
        <v>334</v>
      </c>
    </row>
    <row r="79" spans="1:31">
      <c r="A79" s="227">
        <v>50</v>
      </c>
      <c r="B79" s="227">
        <v>3</v>
      </c>
      <c r="C79" s="255" t="s">
        <v>359</v>
      </c>
      <c r="D79" s="255" t="s">
        <v>360</v>
      </c>
      <c r="E79" s="255">
        <f t="shared" si="4"/>
        <v>2100</v>
      </c>
      <c r="F79" s="256">
        <v>2299</v>
      </c>
      <c r="G79" s="377">
        <v>17.2</v>
      </c>
      <c r="H79" s="377">
        <v>17.89</v>
      </c>
      <c r="I79" s="228">
        <v>14.55</v>
      </c>
      <c r="J79" s="254">
        <f t="shared" si="1"/>
        <v>4.0116279069767516E-2</v>
      </c>
      <c r="M79" s="240"/>
      <c r="V79" s="217">
        <v>69</v>
      </c>
      <c r="AB79" s="231" t="s">
        <v>471</v>
      </c>
      <c r="AC79" s="217" t="s">
        <v>333</v>
      </c>
      <c r="AD79" s="217" t="s">
        <v>334</v>
      </c>
      <c r="AE79" s="217" t="s">
        <v>334</v>
      </c>
    </row>
    <row r="80" spans="1:31">
      <c r="A80" s="227">
        <v>50</v>
      </c>
      <c r="B80" s="227">
        <v>3</v>
      </c>
      <c r="C80" s="255" t="s">
        <v>359</v>
      </c>
      <c r="D80" s="255" t="s">
        <v>360</v>
      </c>
      <c r="E80" s="255">
        <f t="shared" si="4"/>
        <v>2300</v>
      </c>
      <c r="F80" s="256">
        <v>2568</v>
      </c>
      <c r="G80" s="377">
        <v>18.5</v>
      </c>
      <c r="H80" s="377">
        <v>19.239999999999998</v>
      </c>
      <c r="I80" s="228">
        <v>15.66</v>
      </c>
      <c r="J80" s="254">
        <f t="shared" si="1"/>
        <v>3.9999999999999918E-2</v>
      </c>
      <c r="V80" s="217">
        <v>70</v>
      </c>
      <c r="AB80" s="231" t="s">
        <v>472</v>
      </c>
      <c r="AC80" s="217" t="s">
        <v>333</v>
      </c>
      <c r="AD80" s="217" t="s">
        <v>334</v>
      </c>
      <c r="AE80" s="217" t="s">
        <v>334</v>
      </c>
    </row>
    <row r="81" spans="1:31">
      <c r="A81" s="238">
        <v>50</v>
      </c>
      <c r="B81" s="238">
        <v>3</v>
      </c>
      <c r="C81" s="265" t="s">
        <v>385</v>
      </c>
      <c r="D81" s="265" t="s">
        <v>386</v>
      </c>
      <c r="E81" s="265">
        <v>500</v>
      </c>
      <c r="F81" s="266">
        <v>1113</v>
      </c>
      <c r="G81" s="378">
        <f>G82</f>
        <v>16.64</v>
      </c>
      <c r="H81" s="378">
        <f>H82</f>
        <v>17.309999999999999</v>
      </c>
      <c r="J81" s="254">
        <f t="shared" si="1"/>
        <v>4.0264423076922962E-2</v>
      </c>
      <c r="V81" s="217">
        <v>71</v>
      </c>
      <c r="AB81" s="231" t="s">
        <v>473</v>
      </c>
      <c r="AC81" s="217" t="s">
        <v>333</v>
      </c>
      <c r="AD81" s="217" t="s">
        <v>334</v>
      </c>
      <c r="AE81" s="217" t="s">
        <v>334</v>
      </c>
    </row>
    <row r="82" spans="1:31">
      <c r="A82" s="238">
        <v>50</v>
      </c>
      <c r="B82" s="238">
        <v>3</v>
      </c>
      <c r="C82" s="265" t="s">
        <v>385</v>
      </c>
      <c r="D82" s="265" t="s">
        <v>386</v>
      </c>
      <c r="E82" s="265">
        <v>1114</v>
      </c>
      <c r="F82" s="266">
        <v>1499</v>
      </c>
      <c r="G82" s="377">
        <v>16.64</v>
      </c>
      <c r="H82" s="377">
        <v>17.309999999999999</v>
      </c>
      <c r="I82" s="239">
        <v>14.08</v>
      </c>
      <c r="J82" s="254">
        <f t="shared" ref="J82:J110" si="5">(H82-G82)/G82</f>
        <v>4.0264423076922962E-2</v>
      </c>
      <c r="V82" s="217">
        <v>72</v>
      </c>
      <c r="AB82" s="231" t="s">
        <v>474</v>
      </c>
      <c r="AC82" s="217" t="s">
        <v>333</v>
      </c>
      <c r="AD82" s="217" t="s">
        <v>334</v>
      </c>
      <c r="AE82" s="217" t="s">
        <v>334</v>
      </c>
    </row>
    <row r="83" spans="1:31">
      <c r="A83" s="227">
        <v>50</v>
      </c>
      <c r="B83" s="227">
        <v>3</v>
      </c>
      <c r="C83" s="255" t="s">
        <v>385</v>
      </c>
      <c r="D83" s="255" t="s">
        <v>386</v>
      </c>
      <c r="E83" s="255">
        <f>+F82+1</f>
        <v>1500</v>
      </c>
      <c r="F83" s="256">
        <v>1999</v>
      </c>
      <c r="G83" s="377">
        <v>20.23</v>
      </c>
      <c r="H83" s="377">
        <v>21.04</v>
      </c>
      <c r="I83" s="228">
        <v>17.12</v>
      </c>
      <c r="J83" s="254">
        <f t="shared" si="5"/>
        <v>4.0039545229856588E-2</v>
      </c>
      <c r="V83" s="217">
        <v>73</v>
      </c>
      <c r="AB83" s="231" t="s">
        <v>475</v>
      </c>
      <c r="AC83" s="217" t="s">
        <v>333</v>
      </c>
      <c r="AD83" s="217" t="s">
        <v>334</v>
      </c>
      <c r="AE83" s="217" t="s">
        <v>334</v>
      </c>
    </row>
    <row r="84" spans="1:31">
      <c r="A84" s="227">
        <v>50</v>
      </c>
      <c r="B84" s="227">
        <v>3</v>
      </c>
      <c r="C84" s="255" t="s">
        <v>385</v>
      </c>
      <c r="D84" s="255" t="s">
        <v>386</v>
      </c>
      <c r="E84" s="255">
        <f>+F83+1</f>
        <v>2000</v>
      </c>
      <c r="F84" s="256">
        <v>2499</v>
      </c>
      <c r="G84" s="377">
        <v>23.82</v>
      </c>
      <c r="H84" s="377">
        <v>24.77</v>
      </c>
      <c r="I84" s="228">
        <v>20.149999999999999</v>
      </c>
      <c r="J84" s="254">
        <f t="shared" si="5"/>
        <v>3.9882451721242621E-2</v>
      </c>
      <c r="V84" s="217">
        <v>74</v>
      </c>
      <c r="AB84" s="231" t="s">
        <v>476</v>
      </c>
      <c r="AC84" s="217" t="s">
        <v>333</v>
      </c>
      <c r="AD84" s="217" t="s">
        <v>334</v>
      </c>
      <c r="AE84" s="217" t="s">
        <v>334</v>
      </c>
    </row>
    <row r="85" spans="1:31">
      <c r="A85" s="227">
        <v>50</v>
      </c>
      <c r="B85" s="227">
        <v>3</v>
      </c>
      <c r="C85" s="255" t="s">
        <v>385</v>
      </c>
      <c r="D85" s="255" t="s">
        <v>386</v>
      </c>
      <c r="E85" s="255">
        <f>+F84+1</f>
        <v>2500</v>
      </c>
      <c r="F85" s="256">
        <v>2999</v>
      </c>
      <c r="G85" s="377">
        <v>27.4</v>
      </c>
      <c r="H85" s="377">
        <v>28.5</v>
      </c>
      <c r="I85" s="228">
        <v>23.19</v>
      </c>
      <c r="J85" s="254">
        <f t="shared" si="5"/>
        <v>4.0145985401459909E-2</v>
      </c>
      <c r="V85" s="217">
        <v>75</v>
      </c>
      <c r="AB85" s="231" t="s">
        <v>477</v>
      </c>
      <c r="AC85" s="217" t="s">
        <v>333</v>
      </c>
      <c r="AD85" s="217" t="s">
        <v>334</v>
      </c>
      <c r="AE85" s="217" t="s">
        <v>334</v>
      </c>
    </row>
    <row r="86" spans="1:31">
      <c r="A86" s="227">
        <v>50</v>
      </c>
      <c r="B86" s="227">
        <v>3</v>
      </c>
      <c r="C86" s="255" t="s">
        <v>385</v>
      </c>
      <c r="D86" s="255" t="s">
        <v>386</v>
      </c>
      <c r="E86" s="255">
        <f>+F85+1</f>
        <v>3000</v>
      </c>
      <c r="F86" s="256">
        <v>3599</v>
      </c>
      <c r="G86" s="377">
        <v>31.71</v>
      </c>
      <c r="H86" s="377">
        <v>32.979999999999997</v>
      </c>
      <c r="I86" s="228">
        <v>26.83</v>
      </c>
      <c r="J86" s="254">
        <f t="shared" si="5"/>
        <v>4.0050457269000188E-2</v>
      </c>
      <c r="V86" s="217">
        <v>76</v>
      </c>
      <c r="AB86" s="231" t="s">
        <v>478</v>
      </c>
      <c r="AC86" s="217" t="s">
        <v>333</v>
      </c>
      <c r="AD86" s="217" t="s">
        <v>334</v>
      </c>
      <c r="AE86" s="217" t="s">
        <v>334</v>
      </c>
    </row>
    <row r="87" spans="1:31">
      <c r="A87" s="227">
        <v>50</v>
      </c>
      <c r="B87" s="227">
        <v>3</v>
      </c>
      <c r="C87" s="255" t="s">
        <v>385</v>
      </c>
      <c r="D87" s="255" t="s">
        <v>386</v>
      </c>
      <c r="E87" s="255">
        <f>+F86+1</f>
        <v>3600</v>
      </c>
      <c r="F87" s="256">
        <v>3959</v>
      </c>
      <c r="G87" s="377">
        <v>34.29</v>
      </c>
      <c r="H87" s="377">
        <v>35.659999999999997</v>
      </c>
      <c r="I87" s="228">
        <v>29.02</v>
      </c>
      <c r="J87" s="254">
        <f t="shared" si="5"/>
        <v>3.9953339165937518E-2</v>
      </c>
      <c r="N87" s="217">
        <v>720</v>
      </c>
      <c r="V87" s="217">
        <v>77</v>
      </c>
      <c r="AB87" s="231" t="s">
        <v>479</v>
      </c>
      <c r="AC87" s="217" t="s">
        <v>333</v>
      </c>
      <c r="AD87" s="217" t="s">
        <v>334</v>
      </c>
      <c r="AE87" s="217" t="s">
        <v>334</v>
      </c>
    </row>
    <row r="88" spans="1:31">
      <c r="A88" s="223">
        <v>54</v>
      </c>
      <c r="B88" s="223">
        <v>2</v>
      </c>
      <c r="C88" s="223" t="s">
        <v>316</v>
      </c>
      <c r="D88" s="223" t="s">
        <v>316</v>
      </c>
      <c r="E88" s="223">
        <v>16</v>
      </c>
      <c r="F88" s="223">
        <v>249</v>
      </c>
      <c r="G88" s="377">
        <v>4.49</v>
      </c>
      <c r="H88" s="377">
        <v>4.67</v>
      </c>
      <c r="I88" s="224">
        <v>3.8</v>
      </c>
      <c r="J88" s="254">
        <f t="shared" si="5"/>
        <v>4.0089086859688129E-2</v>
      </c>
      <c r="M88" s="240"/>
      <c r="N88" s="217">
        <v>720</v>
      </c>
      <c r="V88" s="217">
        <v>78</v>
      </c>
      <c r="AB88" s="231" t="s">
        <v>480</v>
      </c>
      <c r="AC88" s="217" t="s">
        <v>333</v>
      </c>
      <c r="AD88" s="217" t="s">
        <v>334</v>
      </c>
      <c r="AE88" s="217" t="s">
        <v>334</v>
      </c>
    </row>
    <row r="89" spans="1:31">
      <c r="A89" s="227">
        <v>54</v>
      </c>
      <c r="B89" s="227">
        <v>2</v>
      </c>
      <c r="C89" s="227" t="s">
        <v>316</v>
      </c>
      <c r="D89" s="227" t="s">
        <v>316</v>
      </c>
      <c r="E89" s="227">
        <v>250</v>
      </c>
      <c r="F89" s="227">
        <v>299</v>
      </c>
      <c r="G89" s="377">
        <v>4.59</v>
      </c>
      <c r="H89" s="377">
        <v>4.7699999999999996</v>
      </c>
      <c r="I89" s="228">
        <v>3.88</v>
      </c>
      <c r="J89" s="254">
        <f t="shared" si="5"/>
        <v>3.9215686274509741E-2</v>
      </c>
      <c r="M89" s="240"/>
      <c r="AB89" s="231" t="s">
        <v>481</v>
      </c>
      <c r="AC89" s="217" t="s">
        <v>333</v>
      </c>
      <c r="AD89" s="217" t="s">
        <v>334</v>
      </c>
      <c r="AE89" s="217" t="s">
        <v>334</v>
      </c>
    </row>
    <row r="90" spans="1:31">
      <c r="A90" s="227">
        <v>54</v>
      </c>
      <c r="B90" s="227">
        <v>2</v>
      </c>
      <c r="C90" s="227" t="s">
        <v>316</v>
      </c>
      <c r="D90" s="227" t="s">
        <v>316</v>
      </c>
      <c r="E90" s="227">
        <v>300</v>
      </c>
      <c r="F90" s="227">
        <v>349</v>
      </c>
      <c r="G90" s="377">
        <v>4.68</v>
      </c>
      <c r="H90" s="377">
        <v>4.87</v>
      </c>
      <c r="I90" s="228">
        <v>3.96</v>
      </c>
      <c r="J90" s="254">
        <f t="shared" si="5"/>
        <v>4.0598290598290683E-2</v>
      </c>
      <c r="AB90" s="231" t="s">
        <v>482</v>
      </c>
      <c r="AC90" s="217" t="s">
        <v>333</v>
      </c>
      <c r="AD90" s="217" t="s">
        <v>334</v>
      </c>
      <c r="AE90" s="217" t="s">
        <v>334</v>
      </c>
    </row>
    <row r="91" spans="1:31">
      <c r="A91" s="227">
        <v>54</v>
      </c>
      <c r="B91" s="227">
        <v>2</v>
      </c>
      <c r="C91" s="227" t="s">
        <v>316</v>
      </c>
      <c r="D91" s="227" t="s">
        <v>316</v>
      </c>
      <c r="E91" s="227">
        <v>350</v>
      </c>
      <c r="F91" s="227">
        <v>399</v>
      </c>
      <c r="G91" s="377">
        <v>4.78</v>
      </c>
      <c r="H91" s="377">
        <v>4.97</v>
      </c>
      <c r="I91" s="228">
        <v>4.05</v>
      </c>
      <c r="J91" s="254">
        <f t="shared" si="5"/>
        <v>3.9748953974895293E-2</v>
      </c>
      <c r="AB91" s="231" t="s">
        <v>483</v>
      </c>
      <c r="AC91" s="217" t="s">
        <v>333</v>
      </c>
      <c r="AD91" s="217" t="s">
        <v>334</v>
      </c>
      <c r="AE91" s="217" t="s">
        <v>334</v>
      </c>
    </row>
    <row r="92" spans="1:31">
      <c r="A92" s="227">
        <v>54</v>
      </c>
      <c r="B92" s="227">
        <v>2</v>
      </c>
      <c r="C92" s="227" t="s">
        <v>316</v>
      </c>
      <c r="D92" s="227" t="s">
        <v>316</v>
      </c>
      <c r="E92" s="227">
        <v>400</v>
      </c>
      <c r="F92" s="227">
        <v>449</v>
      </c>
      <c r="G92" s="377">
        <v>4.8899999999999997</v>
      </c>
      <c r="H92" s="377">
        <v>5.09</v>
      </c>
      <c r="I92" s="228">
        <v>4.13</v>
      </c>
      <c r="J92" s="254">
        <f t="shared" si="5"/>
        <v>4.0899795501022532E-2</v>
      </c>
      <c r="AB92" s="231" t="s">
        <v>484</v>
      </c>
      <c r="AC92" s="217" t="s">
        <v>333</v>
      </c>
      <c r="AD92" s="217" t="s">
        <v>334</v>
      </c>
      <c r="AE92" s="217" t="s">
        <v>334</v>
      </c>
    </row>
    <row r="93" spans="1:31">
      <c r="A93" s="227">
        <v>54</v>
      </c>
      <c r="B93" s="227">
        <v>2</v>
      </c>
      <c r="C93" s="227" t="s">
        <v>316</v>
      </c>
      <c r="D93" s="227" t="s">
        <v>316</v>
      </c>
      <c r="E93" s="227">
        <v>450</v>
      </c>
      <c r="F93" s="227">
        <v>499</v>
      </c>
      <c r="G93" s="377">
        <v>4.99</v>
      </c>
      <c r="H93" s="377">
        <v>5.19</v>
      </c>
      <c r="I93" s="228">
        <v>4.22</v>
      </c>
      <c r="J93" s="254">
        <f t="shared" si="5"/>
        <v>4.0080160320641316E-2</v>
      </c>
      <c r="AB93" s="231" t="s">
        <v>485</v>
      </c>
      <c r="AC93" s="217" t="s">
        <v>333</v>
      </c>
      <c r="AD93" s="217" t="s">
        <v>334</v>
      </c>
      <c r="AE93" s="217" t="s">
        <v>334</v>
      </c>
    </row>
    <row r="94" spans="1:31">
      <c r="A94" s="227">
        <v>54</v>
      </c>
      <c r="B94" s="227">
        <v>2</v>
      </c>
      <c r="C94" s="227" t="s">
        <v>316</v>
      </c>
      <c r="D94" s="227" t="s">
        <v>316</v>
      </c>
      <c r="E94" s="227">
        <v>500</v>
      </c>
      <c r="F94" s="227">
        <v>549</v>
      </c>
      <c r="G94" s="377">
        <v>5.08</v>
      </c>
      <c r="H94" s="377">
        <v>5.28</v>
      </c>
      <c r="I94" s="228">
        <v>4.3</v>
      </c>
      <c r="J94" s="254">
        <f t="shared" si="5"/>
        <v>3.9370078740157514E-2</v>
      </c>
      <c r="AB94" s="231" t="s">
        <v>486</v>
      </c>
      <c r="AC94" s="217" t="s">
        <v>333</v>
      </c>
      <c r="AD94" s="217" t="s">
        <v>334</v>
      </c>
      <c r="AE94" s="217" t="s">
        <v>334</v>
      </c>
    </row>
    <row r="95" spans="1:31">
      <c r="A95" s="227">
        <v>54</v>
      </c>
      <c r="B95" s="227">
        <v>2</v>
      </c>
      <c r="C95" s="227" t="s">
        <v>316</v>
      </c>
      <c r="D95" s="227" t="s">
        <v>316</v>
      </c>
      <c r="E95" s="227">
        <v>550</v>
      </c>
      <c r="F95" s="227">
        <v>599</v>
      </c>
      <c r="G95" s="377">
        <v>5.19</v>
      </c>
      <c r="H95" s="377">
        <v>5.4</v>
      </c>
      <c r="I95" s="228">
        <v>4.3899999999999997</v>
      </c>
      <c r="J95" s="254">
        <f t="shared" si="5"/>
        <v>4.0462427745664727E-2</v>
      </c>
      <c r="AB95" s="231" t="s">
        <v>487</v>
      </c>
      <c r="AC95" s="217" t="s">
        <v>333</v>
      </c>
      <c r="AD95" s="217" t="s">
        <v>334</v>
      </c>
      <c r="AE95" s="217" t="s">
        <v>334</v>
      </c>
    </row>
    <row r="96" spans="1:31">
      <c r="A96" s="257">
        <v>54</v>
      </c>
      <c r="B96" s="257">
        <v>2</v>
      </c>
      <c r="C96" s="257" t="s">
        <v>316</v>
      </c>
      <c r="D96" s="258" t="s">
        <v>341</v>
      </c>
      <c r="E96" s="258">
        <v>16</v>
      </c>
      <c r="F96" s="258">
        <v>249</v>
      </c>
      <c r="G96" s="377">
        <v>5.14</v>
      </c>
      <c r="H96" s="377">
        <v>5.35</v>
      </c>
      <c r="I96" s="224">
        <v>4.3499999999999996</v>
      </c>
      <c r="J96" s="254">
        <f t="shared" si="5"/>
        <v>4.0856031128404663E-2</v>
      </c>
      <c r="AB96" s="231" t="s">
        <v>488</v>
      </c>
      <c r="AC96" s="217" t="s">
        <v>333</v>
      </c>
      <c r="AD96" s="217" t="s">
        <v>334</v>
      </c>
      <c r="AE96" s="217" t="s">
        <v>334</v>
      </c>
    </row>
    <row r="97" spans="1:31">
      <c r="A97" s="227">
        <v>54</v>
      </c>
      <c r="B97" s="227">
        <v>2</v>
      </c>
      <c r="C97" s="259" t="s">
        <v>316</v>
      </c>
      <c r="D97" s="260" t="s">
        <v>341</v>
      </c>
      <c r="E97" s="260">
        <v>250</v>
      </c>
      <c r="F97" s="260">
        <v>399</v>
      </c>
      <c r="G97" s="377">
        <v>5.41</v>
      </c>
      <c r="H97" s="377">
        <v>5.63</v>
      </c>
      <c r="I97" s="228">
        <v>4.58</v>
      </c>
      <c r="J97" s="254">
        <f t="shared" si="5"/>
        <v>4.0665434380776293E-2</v>
      </c>
      <c r="AB97" s="231" t="s">
        <v>489</v>
      </c>
      <c r="AC97" s="217" t="s">
        <v>333</v>
      </c>
      <c r="AD97" s="217" t="s">
        <v>334</v>
      </c>
      <c r="AE97" s="217" t="s">
        <v>334</v>
      </c>
    </row>
    <row r="98" spans="1:31">
      <c r="A98" s="227">
        <v>54</v>
      </c>
      <c r="B98" s="227">
        <v>2</v>
      </c>
      <c r="C98" s="259" t="s">
        <v>316</v>
      </c>
      <c r="D98" s="260" t="s">
        <v>341</v>
      </c>
      <c r="E98" s="260">
        <v>400</v>
      </c>
      <c r="F98" s="260">
        <v>499</v>
      </c>
      <c r="G98" s="377">
        <v>5.59</v>
      </c>
      <c r="H98" s="377">
        <v>5.81</v>
      </c>
      <c r="I98" s="228">
        <v>4.7300000000000004</v>
      </c>
      <c r="J98" s="254">
        <f t="shared" si="5"/>
        <v>3.9355992844364897E-2</v>
      </c>
      <c r="AB98" s="231" t="s">
        <v>490</v>
      </c>
      <c r="AC98" s="217" t="s">
        <v>333</v>
      </c>
      <c r="AD98" s="217" t="s">
        <v>334</v>
      </c>
      <c r="AE98" s="217" t="s">
        <v>334</v>
      </c>
    </row>
    <row r="99" spans="1:31">
      <c r="A99" s="227">
        <v>54</v>
      </c>
      <c r="B99" s="227">
        <v>2</v>
      </c>
      <c r="C99" s="259" t="s">
        <v>316</v>
      </c>
      <c r="D99" s="260" t="s">
        <v>341</v>
      </c>
      <c r="E99" s="260">
        <v>500</v>
      </c>
      <c r="F99" s="260">
        <v>649</v>
      </c>
      <c r="G99" s="377">
        <v>5.86</v>
      </c>
      <c r="H99" s="377">
        <v>6.09</v>
      </c>
      <c r="I99" s="228">
        <v>4.96</v>
      </c>
      <c r="J99" s="254">
        <f t="shared" si="5"/>
        <v>3.9249146757679099E-2</v>
      </c>
      <c r="AB99" s="231" t="s">
        <v>491</v>
      </c>
      <c r="AC99" s="217" t="s">
        <v>333</v>
      </c>
      <c r="AD99" s="217" t="s">
        <v>334</v>
      </c>
      <c r="AE99" s="217" t="s">
        <v>334</v>
      </c>
    </row>
    <row r="100" spans="1:31">
      <c r="A100" s="227">
        <v>54</v>
      </c>
      <c r="B100" s="227">
        <v>2</v>
      </c>
      <c r="C100" s="259" t="s">
        <v>316</v>
      </c>
      <c r="D100" s="260" t="s">
        <v>341</v>
      </c>
      <c r="E100" s="260">
        <v>650</v>
      </c>
      <c r="F100" s="260">
        <v>699</v>
      </c>
      <c r="G100" s="377">
        <v>5.95</v>
      </c>
      <c r="H100" s="377">
        <v>6.19</v>
      </c>
      <c r="I100" s="228">
        <v>5.04</v>
      </c>
      <c r="J100" s="254">
        <f t="shared" si="5"/>
        <v>4.033613445378155E-2</v>
      </c>
      <c r="AB100" s="231" t="s">
        <v>492</v>
      </c>
      <c r="AC100" s="217" t="s">
        <v>333</v>
      </c>
      <c r="AD100" s="217" t="s">
        <v>334</v>
      </c>
      <c r="AE100" s="217" t="s">
        <v>334</v>
      </c>
    </row>
    <row r="101" spans="1:31">
      <c r="A101" s="227">
        <v>54</v>
      </c>
      <c r="B101" s="227">
        <v>2</v>
      </c>
      <c r="C101" s="259" t="s">
        <v>316</v>
      </c>
      <c r="D101" s="260" t="s">
        <v>341</v>
      </c>
      <c r="E101" s="260">
        <v>700</v>
      </c>
      <c r="F101" s="260">
        <v>999</v>
      </c>
      <c r="G101" s="377">
        <v>6.5</v>
      </c>
      <c r="H101" s="377">
        <v>6.76</v>
      </c>
      <c r="I101" s="228">
        <v>5.5</v>
      </c>
      <c r="J101" s="254">
        <f t="shared" si="5"/>
        <v>3.9999999999999966E-2</v>
      </c>
      <c r="AB101" s="231" t="s">
        <v>493</v>
      </c>
      <c r="AC101" s="217" t="s">
        <v>333</v>
      </c>
      <c r="AD101" s="217" t="s">
        <v>334</v>
      </c>
      <c r="AE101" s="217" t="s">
        <v>334</v>
      </c>
    </row>
    <row r="102" spans="1:31">
      <c r="A102" s="227">
        <v>54</v>
      </c>
      <c r="B102" s="227">
        <v>2</v>
      </c>
      <c r="C102" s="259" t="s">
        <v>316</v>
      </c>
      <c r="D102" s="260" t="s">
        <v>341</v>
      </c>
      <c r="E102" s="260">
        <v>1000</v>
      </c>
      <c r="F102" s="260">
        <v>1145</v>
      </c>
      <c r="G102" s="377">
        <v>6.76</v>
      </c>
      <c r="H102" s="377">
        <v>7.03</v>
      </c>
      <c r="I102" s="228">
        <v>5.72</v>
      </c>
      <c r="J102" s="254">
        <f t="shared" si="5"/>
        <v>3.9940828402366936E-2</v>
      </c>
      <c r="AB102" s="231" t="s">
        <v>494</v>
      </c>
      <c r="AC102" s="217" t="s">
        <v>333</v>
      </c>
      <c r="AD102" s="217" t="s">
        <v>334</v>
      </c>
      <c r="AE102" s="217" t="s">
        <v>334</v>
      </c>
    </row>
    <row r="103" spans="1:31">
      <c r="A103" s="223">
        <v>54</v>
      </c>
      <c r="B103" s="223">
        <v>2</v>
      </c>
      <c r="C103" s="223" t="s">
        <v>316</v>
      </c>
      <c r="D103" s="257" t="s">
        <v>351</v>
      </c>
      <c r="E103" s="258">
        <v>16</v>
      </c>
      <c r="F103" s="258">
        <v>499</v>
      </c>
      <c r="G103" s="377">
        <v>5.79</v>
      </c>
      <c r="H103" s="377">
        <v>6.02</v>
      </c>
      <c r="I103" s="224">
        <v>4.9000000000000004</v>
      </c>
      <c r="J103" s="254">
        <f t="shared" si="5"/>
        <v>3.9723661485319438E-2</v>
      </c>
      <c r="AB103" s="231" t="s">
        <v>495</v>
      </c>
      <c r="AC103" s="217" t="s">
        <v>333</v>
      </c>
      <c r="AD103" s="217" t="s">
        <v>334</v>
      </c>
      <c r="AE103" s="217" t="s">
        <v>334</v>
      </c>
    </row>
    <row r="104" spans="1:31">
      <c r="A104" s="227">
        <v>54</v>
      </c>
      <c r="B104" s="227">
        <v>2</v>
      </c>
      <c r="C104" s="227" t="s">
        <v>316</v>
      </c>
      <c r="D104" s="259" t="s">
        <v>351</v>
      </c>
      <c r="E104" s="260">
        <v>500</v>
      </c>
      <c r="F104" s="260">
        <v>649</v>
      </c>
      <c r="G104" s="377">
        <v>6.06</v>
      </c>
      <c r="H104" s="377">
        <v>6.3</v>
      </c>
      <c r="I104" s="228">
        <v>5.13</v>
      </c>
      <c r="J104" s="254">
        <f t="shared" si="5"/>
        <v>3.9603960396039639E-2</v>
      </c>
      <c r="AB104" s="231" t="s">
        <v>496</v>
      </c>
      <c r="AC104" s="217" t="s">
        <v>333</v>
      </c>
      <c r="AD104" s="217" t="s">
        <v>334</v>
      </c>
      <c r="AE104" s="217" t="s">
        <v>334</v>
      </c>
    </row>
    <row r="105" spans="1:31">
      <c r="A105" s="227">
        <v>54</v>
      </c>
      <c r="B105" s="227">
        <v>2</v>
      </c>
      <c r="C105" s="227" t="s">
        <v>316</v>
      </c>
      <c r="D105" s="259" t="s">
        <v>351</v>
      </c>
      <c r="E105" s="260">
        <v>650</v>
      </c>
      <c r="F105" s="260">
        <v>799</v>
      </c>
      <c r="G105" s="377">
        <v>6.33</v>
      </c>
      <c r="H105" s="377">
        <v>6.58</v>
      </c>
      <c r="I105" s="228">
        <v>5.36</v>
      </c>
      <c r="J105" s="254">
        <f t="shared" si="5"/>
        <v>3.9494470774091628E-2</v>
      </c>
      <c r="AB105" s="231" t="s">
        <v>497</v>
      </c>
      <c r="AC105" s="217" t="s">
        <v>333</v>
      </c>
      <c r="AD105" s="217" t="s">
        <v>334</v>
      </c>
      <c r="AE105" s="217" t="s">
        <v>334</v>
      </c>
    </row>
    <row r="106" spans="1:31">
      <c r="A106" s="227">
        <v>54</v>
      </c>
      <c r="B106" s="227">
        <v>2</v>
      </c>
      <c r="C106" s="227" t="s">
        <v>316</v>
      </c>
      <c r="D106" s="259" t="s">
        <v>351</v>
      </c>
      <c r="E106" s="260">
        <v>800</v>
      </c>
      <c r="F106" s="260">
        <v>1099</v>
      </c>
      <c r="G106" s="377">
        <v>6.88</v>
      </c>
      <c r="H106" s="377">
        <v>7.16</v>
      </c>
      <c r="I106" s="228">
        <v>5.82</v>
      </c>
      <c r="J106" s="254">
        <f t="shared" si="5"/>
        <v>4.0697674418604689E-2</v>
      </c>
      <c r="AB106" s="231" t="s">
        <v>498</v>
      </c>
      <c r="AC106" s="217" t="s">
        <v>333</v>
      </c>
      <c r="AD106" s="217" t="s">
        <v>334</v>
      </c>
      <c r="AE106" s="217" t="s">
        <v>334</v>
      </c>
    </row>
    <row r="107" spans="1:31">
      <c r="A107" s="227">
        <v>54</v>
      </c>
      <c r="B107" s="227">
        <v>2</v>
      </c>
      <c r="C107" s="227" t="s">
        <v>316</v>
      </c>
      <c r="D107" s="259" t="s">
        <v>351</v>
      </c>
      <c r="E107" s="260">
        <v>1100</v>
      </c>
      <c r="F107" s="260">
        <v>1299</v>
      </c>
      <c r="G107" s="377">
        <v>7.24</v>
      </c>
      <c r="H107" s="377">
        <v>7.53</v>
      </c>
      <c r="I107" s="228">
        <v>6.13</v>
      </c>
      <c r="J107" s="254">
        <f t="shared" si="5"/>
        <v>4.0055248618784532E-2</v>
      </c>
      <c r="AB107" s="307" t="s">
        <v>499</v>
      </c>
      <c r="AC107" s="217" t="s">
        <v>333</v>
      </c>
      <c r="AD107" s="217" t="s">
        <v>334</v>
      </c>
      <c r="AE107" s="217" t="s">
        <v>334</v>
      </c>
    </row>
    <row r="108" spans="1:31">
      <c r="A108" s="236">
        <v>54</v>
      </c>
      <c r="B108" s="236">
        <v>2</v>
      </c>
      <c r="C108" s="236" t="s">
        <v>316</v>
      </c>
      <c r="D108" s="261" t="s">
        <v>351</v>
      </c>
      <c r="E108" s="236">
        <v>1300</v>
      </c>
      <c r="F108" s="236">
        <v>1499</v>
      </c>
      <c r="G108" s="377">
        <v>12.21</v>
      </c>
      <c r="H108" s="377">
        <v>12.7</v>
      </c>
      <c r="I108" s="237">
        <v>10.33</v>
      </c>
      <c r="J108" s="254">
        <f t="shared" si="5"/>
        <v>4.0131040131039998E-2</v>
      </c>
      <c r="AB108" s="231"/>
    </row>
    <row r="109" spans="1:31">
      <c r="A109" s="236">
        <v>54</v>
      </c>
      <c r="B109" s="236">
        <v>2</v>
      </c>
      <c r="C109" s="236" t="s">
        <v>316</v>
      </c>
      <c r="D109" s="261" t="s">
        <v>351</v>
      </c>
      <c r="E109" s="236">
        <v>1500</v>
      </c>
      <c r="F109" s="236">
        <v>1699</v>
      </c>
      <c r="G109" s="377">
        <v>13.1</v>
      </c>
      <c r="H109" s="377">
        <v>13.62</v>
      </c>
      <c r="I109" s="237">
        <v>11.09</v>
      </c>
      <c r="J109" s="254">
        <f t="shared" si="5"/>
        <v>3.9694656488549585E-2</v>
      </c>
      <c r="AB109" s="231"/>
    </row>
    <row r="110" spans="1:31">
      <c r="A110" s="236">
        <v>54</v>
      </c>
      <c r="B110" s="236">
        <v>2</v>
      </c>
      <c r="C110" s="236" t="s">
        <v>316</v>
      </c>
      <c r="D110" s="261" t="s">
        <v>351</v>
      </c>
      <c r="E110" s="236">
        <v>1700</v>
      </c>
      <c r="F110" s="236">
        <v>1899</v>
      </c>
      <c r="G110" s="377">
        <v>14</v>
      </c>
      <c r="H110" s="377">
        <v>14.56</v>
      </c>
      <c r="I110" s="237">
        <v>11.84</v>
      </c>
      <c r="J110" s="254">
        <f t="shared" si="5"/>
        <v>4.0000000000000036E-2</v>
      </c>
      <c r="AB110" s="231" t="s">
        <v>500</v>
      </c>
      <c r="AC110" s="217" t="s">
        <v>333</v>
      </c>
      <c r="AD110" s="217" t="s">
        <v>334</v>
      </c>
      <c r="AE110" s="217" t="s">
        <v>334</v>
      </c>
    </row>
    <row r="111" spans="1:31">
      <c r="A111" s="223">
        <v>54</v>
      </c>
      <c r="B111" s="223">
        <v>2</v>
      </c>
      <c r="C111" s="223" t="s">
        <v>359</v>
      </c>
      <c r="D111" s="223" t="s">
        <v>360</v>
      </c>
      <c r="E111" s="223">
        <v>16</v>
      </c>
      <c r="F111" s="223">
        <v>349</v>
      </c>
      <c r="G111" s="377">
        <v>7.09</v>
      </c>
      <c r="H111" s="377">
        <v>7.37</v>
      </c>
      <c r="I111" s="224">
        <v>6</v>
      </c>
      <c r="J111" s="254">
        <f t="shared" ref="J111:J123" si="6">(H111-G111)/G111</f>
        <v>3.9492242595204549E-2</v>
      </c>
      <c r="AB111" s="231" t="s">
        <v>501</v>
      </c>
      <c r="AC111" s="217" t="s">
        <v>333</v>
      </c>
      <c r="AD111" s="217" t="s">
        <v>334</v>
      </c>
      <c r="AE111" s="217" t="s">
        <v>334</v>
      </c>
    </row>
    <row r="112" spans="1:31">
      <c r="A112" s="227">
        <v>54</v>
      </c>
      <c r="B112" s="227">
        <v>2</v>
      </c>
      <c r="C112" s="227" t="s">
        <v>359</v>
      </c>
      <c r="D112" s="227" t="s">
        <v>360</v>
      </c>
      <c r="E112" s="227">
        <v>350</v>
      </c>
      <c r="F112" s="227">
        <v>499</v>
      </c>
      <c r="G112" s="377">
        <v>7.75</v>
      </c>
      <c r="H112" s="377">
        <v>8.06</v>
      </c>
      <c r="I112" s="228">
        <v>6.56</v>
      </c>
      <c r="J112" s="254">
        <f t="shared" si="6"/>
        <v>4.0000000000000063E-2</v>
      </c>
      <c r="AB112" s="231" t="s">
        <v>502</v>
      </c>
      <c r="AC112" s="217" t="s">
        <v>333</v>
      </c>
      <c r="AD112" s="217" t="s">
        <v>334</v>
      </c>
      <c r="AE112" s="217" t="s">
        <v>334</v>
      </c>
    </row>
    <row r="113" spans="1:31">
      <c r="A113" s="227">
        <v>54</v>
      </c>
      <c r="B113" s="227">
        <v>2</v>
      </c>
      <c r="C113" s="227" t="s">
        <v>359</v>
      </c>
      <c r="D113" s="227" t="s">
        <v>360</v>
      </c>
      <c r="E113" s="227">
        <v>500</v>
      </c>
      <c r="F113" s="227">
        <v>649</v>
      </c>
      <c r="G113" s="377">
        <v>8.42</v>
      </c>
      <c r="H113" s="377">
        <v>8.76</v>
      </c>
      <c r="I113" s="228">
        <v>7.13</v>
      </c>
      <c r="J113" s="254">
        <f t="shared" si="6"/>
        <v>4.0380047505938224E-2</v>
      </c>
      <c r="AB113" s="231" t="s">
        <v>503</v>
      </c>
      <c r="AC113" s="217" t="s">
        <v>333</v>
      </c>
      <c r="AD113" s="217" t="s">
        <v>334</v>
      </c>
      <c r="AE113" s="217" t="s">
        <v>334</v>
      </c>
    </row>
    <row r="114" spans="1:31">
      <c r="A114" s="227">
        <v>54</v>
      </c>
      <c r="B114" s="227">
        <v>2</v>
      </c>
      <c r="C114" s="227" t="s">
        <v>359</v>
      </c>
      <c r="D114" s="227" t="s">
        <v>360</v>
      </c>
      <c r="E114" s="227">
        <v>650</v>
      </c>
      <c r="F114" s="227">
        <v>799</v>
      </c>
      <c r="G114" s="377">
        <v>9.09</v>
      </c>
      <c r="H114" s="377">
        <v>9.4499999999999993</v>
      </c>
      <c r="I114" s="228">
        <v>7.69</v>
      </c>
      <c r="J114" s="254">
        <f t="shared" si="6"/>
        <v>3.9603960396039542E-2</v>
      </c>
      <c r="AB114" s="231" t="s">
        <v>504</v>
      </c>
      <c r="AC114" s="217" t="s">
        <v>333</v>
      </c>
      <c r="AD114" s="217" t="s">
        <v>334</v>
      </c>
      <c r="AE114" s="217" t="s">
        <v>334</v>
      </c>
    </row>
    <row r="115" spans="1:31">
      <c r="A115" s="227">
        <v>54</v>
      </c>
      <c r="B115" s="227">
        <v>2</v>
      </c>
      <c r="C115" s="227" t="s">
        <v>359</v>
      </c>
      <c r="D115" s="227" t="s">
        <v>360</v>
      </c>
      <c r="E115" s="227">
        <v>800</v>
      </c>
      <c r="F115" s="227">
        <v>949</v>
      </c>
      <c r="G115" s="377">
        <v>9.76</v>
      </c>
      <c r="H115" s="377">
        <v>10.15</v>
      </c>
      <c r="I115" s="228">
        <v>8.26</v>
      </c>
      <c r="J115" s="254">
        <f t="shared" si="6"/>
        <v>3.9959016393442681E-2</v>
      </c>
      <c r="AB115" s="231" t="s">
        <v>505</v>
      </c>
      <c r="AC115" s="217" t="s">
        <v>333</v>
      </c>
      <c r="AD115" s="217" t="s">
        <v>334</v>
      </c>
      <c r="AE115" s="217" t="s">
        <v>334</v>
      </c>
    </row>
    <row r="116" spans="1:31">
      <c r="A116" s="227">
        <v>54</v>
      </c>
      <c r="B116" s="227">
        <v>2</v>
      </c>
      <c r="C116" s="227" t="s">
        <v>359</v>
      </c>
      <c r="D116" s="227" t="s">
        <v>360</v>
      </c>
      <c r="E116" s="227">
        <v>950</v>
      </c>
      <c r="F116" s="227">
        <v>1099</v>
      </c>
      <c r="G116" s="377">
        <v>10.43</v>
      </c>
      <c r="H116" s="377">
        <v>10.85</v>
      </c>
      <c r="I116" s="228">
        <v>8.82</v>
      </c>
      <c r="J116" s="254">
        <f t="shared" si="6"/>
        <v>4.0268456375838924E-2</v>
      </c>
      <c r="AB116" s="231" t="s">
        <v>506</v>
      </c>
      <c r="AC116" s="217" t="s">
        <v>333</v>
      </c>
      <c r="AD116" s="217" t="s">
        <v>334</v>
      </c>
      <c r="AE116" s="217" t="s">
        <v>334</v>
      </c>
    </row>
    <row r="117" spans="1:31">
      <c r="A117" s="227">
        <v>54</v>
      </c>
      <c r="B117" s="227">
        <v>2</v>
      </c>
      <c r="C117" s="227" t="s">
        <v>359</v>
      </c>
      <c r="D117" s="227" t="s">
        <v>360</v>
      </c>
      <c r="E117" s="227">
        <v>1100</v>
      </c>
      <c r="F117" s="227">
        <v>1299</v>
      </c>
      <c r="G117" s="377">
        <v>11.32</v>
      </c>
      <c r="H117" s="377">
        <v>11.77</v>
      </c>
      <c r="I117" s="228">
        <v>9.58</v>
      </c>
      <c r="J117" s="254">
        <f t="shared" si="6"/>
        <v>3.9752650176678381E-2</v>
      </c>
      <c r="AB117" s="231" t="s">
        <v>507</v>
      </c>
      <c r="AC117" s="217" t="s">
        <v>333</v>
      </c>
      <c r="AD117" s="217" t="s">
        <v>334</v>
      </c>
      <c r="AE117" s="217" t="s">
        <v>334</v>
      </c>
    </row>
    <row r="118" spans="1:31">
      <c r="A118" s="227">
        <v>54</v>
      </c>
      <c r="B118" s="227">
        <v>2</v>
      </c>
      <c r="C118" s="227" t="s">
        <v>359</v>
      </c>
      <c r="D118" s="227" t="s">
        <v>360</v>
      </c>
      <c r="E118" s="227">
        <v>1300</v>
      </c>
      <c r="F118" s="227">
        <v>1499</v>
      </c>
      <c r="G118" s="377">
        <v>12.21</v>
      </c>
      <c r="H118" s="377">
        <v>12.7</v>
      </c>
      <c r="I118" s="228">
        <v>10.33</v>
      </c>
      <c r="J118" s="254">
        <f t="shared" si="6"/>
        <v>4.0131040131039998E-2</v>
      </c>
      <c r="AB118" s="231" t="s">
        <v>508</v>
      </c>
      <c r="AC118" s="217" t="s">
        <v>333</v>
      </c>
      <c r="AD118" s="217" t="s">
        <v>334</v>
      </c>
      <c r="AE118" s="217" t="s">
        <v>334</v>
      </c>
    </row>
    <row r="119" spans="1:31">
      <c r="A119" s="227">
        <v>54</v>
      </c>
      <c r="B119" s="227">
        <v>2</v>
      </c>
      <c r="C119" s="227" t="s">
        <v>359</v>
      </c>
      <c r="D119" s="227" t="s">
        <v>360</v>
      </c>
      <c r="E119" s="227">
        <v>1500</v>
      </c>
      <c r="F119" s="227">
        <v>1699</v>
      </c>
      <c r="G119" s="377">
        <v>13.1</v>
      </c>
      <c r="H119" s="377">
        <v>13.62</v>
      </c>
      <c r="I119" s="228">
        <v>11.09</v>
      </c>
      <c r="J119" s="254">
        <f t="shared" si="6"/>
        <v>3.9694656488549585E-2</v>
      </c>
      <c r="AB119" s="231" t="s">
        <v>509</v>
      </c>
      <c r="AC119" s="217" t="s">
        <v>333</v>
      </c>
      <c r="AD119" s="217" t="s">
        <v>334</v>
      </c>
      <c r="AE119" s="217" t="s">
        <v>334</v>
      </c>
    </row>
    <row r="120" spans="1:31">
      <c r="A120" s="227">
        <v>54</v>
      </c>
      <c r="B120" s="227">
        <v>2</v>
      </c>
      <c r="C120" s="227" t="s">
        <v>359</v>
      </c>
      <c r="D120" s="227" t="s">
        <v>360</v>
      </c>
      <c r="E120" s="227">
        <v>1700</v>
      </c>
      <c r="F120" s="227">
        <v>1899</v>
      </c>
      <c r="G120" s="377">
        <v>14</v>
      </c>
      <c r="H120" s="377">
        <v>14.56</v>
      </c>
      <c r="I120" s="228">
        <v>11.84</v>
      </c>
      <c r="J120" s="254">
        <f t="shared" si="6"/>
        <v>4.0000000000000036E-2</v>
      </c>
      <c r="AB120" s="231" t="s">
        <v>510</v>
      </c>
      <c r="AC120" s="217" t="s">
        <v>333</v>
      </c>
      <c r="AD120" s="217" t="s">
        <v>334</v>
      </c>
      <c r="AE120" s="217" t="s">
        <v>334</v>
      </c>
    </row>
    <row r="121" spans="1:31">
      <c r="A121" s="227">
        <v>54</v>
      </c>
      <c r="B121" s="227">
        <v>2</v>
      </c>
      <c r="C121" s="227" t="s">
        <v>359</v>
      </c>
      <c r="D121" s="227" t="s">
        <v>360</v>
      </c>
      <c r="E121" s="227">
        <v>1900</v>
      </c>
      <c r="F121" s="227">
        <v>2099</v>
      </c>
      <c r="G121" s="377">
        <v>14.89</v>
      </c>
      <c r="H121" s="377">
        <v>15.49</v>
      </c>
      <c r="I121" s="228">
        <v>12.6</v>
      </c>
      <c r="J121" s="254">
        <f t="shared" si="6"/>
        <v>4.0295500335795813E-2</v>
      </c>
      <c r="AB121" s="231" t="s">
        <v>511</v>
      </c>
      <c r="AC121" s="217" t="s">
        <v>333</v>
      </c>
      <c r="AD121" s="217" t="s">
        <v>334</v>
      </c>
      <c r="AE121" s="217" t="s">
        <v>334</v>
      </c>
    </row>
    <row r="122" spans="1:31">
      <c r="A122" s="227">
        <v>54</v>
      </c>
      <c r="B122" s="227">
        <v>2</v>
      </c>
      <c r="C122" s="227" t="s">
        <v>359</v>
      </c>
      <c r="D122" s="227" t="s">
        <v>360</v>
      </c>
      <c r="E122" s="227">
        <v>2100</v>
      </c>
      <c r="F122" s="227">
        <v>2299</v>
      </c>
      <c r="G122" s="377">
        <v>15.78</v>
      </c>
      <c r="H122" s="377">
        <v>16.41</v>
      </c>
      <c r="I122" s="228">
        <v>13.35</v>
      </c>
      <c r="J122" s="254">
        <f t="shared" si="6"/>
        <v>3.9923954372623624E-2</v>
      </c>
      <c r="AB122" s="231" t="s">
        <v>512</v>
      </c>
      <c r="AC122" s="217" t="s">
        <v>333</v>
      </c>
      <c r="AD122" s="217" t="s">
        <v>334</v>
      </c>
      <c r="AE122" s="217" t="s">
        <v>334</v>
      </c>
    </row>
    <row r="123" spans="1:31">
      <c r="A123" s="227">
        <v>54</v>
      </c>
      <c r="B123" s="227">
        <v>2</v>
      </c>
      <c r="C123" s="227" t="s">
        <v>359</v>
      </c>
      <c r="D123" s="227" t="s">
        <v>360</v>
      </c>
      <c r="E123" s="227">
        <v>2300</v>
      </c>
      <c r="F123" s="227">
        <v>2568</v>
      </c>
      <c r="G123" s="377">
        <v>16.98</v>
      </c>
      <c r="H123" s="377">
        <v>17.66</v>
      </c>
      <c r="I123" s="228">
        <v>14.37</v>
      </c>
      <c r="J123" s="254">
        <f t="shared" si="6"/>
        <v>4.0047114252061228E-2</v>
      </c>
      <c r="AB123" s="231" t="s">
        <v>513</v>
      </c>
      <c r="AC123" s="217" t="s">
        <v>333</v>
      </c>
      <c r="AD123" s="217" t="s">
        <v>334</v>
      </c>
      <c r="AE123" s="217" t="s">
        <v>334</v>
      </c>
    </row>
    <row r="124" spans="1:31">
      <c r="A124" s="223">
        <v>54</v>
      </c>
      <c r="B124" s="223">
        <v>2</v>
      </c>
      <c r="C124" s="223" t="s">
        <v>385</v>
      </c>
      <c r="D124" s="223" t="s">
        <v>386</v>
      </c>
      <c r="E124" s="265">
        <v>500</v>
      </c>
      <c r="F124" s="266">
        <v>1113</v>
      </c>
      <c r="G124" s="378">
        <f>G125</f>
        <v>15.26</v>
      </c>
      <c r="H124" s="378">
        <f>H125</f>
        <v>15.87</v>
      </c>
      <c r="AB124" s="231" t="s">
        <v>514</v>
      </c>
      <c r="AC124" s="217" t="s">
        <v>333</v>
      </c>
      <c r="AD124" s="217" t="s">
        <v>334</v>
      </c>
      <c r="AE124" s="217" t="s">
        <v>334</v>
      </c>
    </row>
    <row r="125" spans="1:31">
      <c r="A125" s="223">
        <v>54</v>
      </c>
      <c r="B125" s="223">
        <v>2</v>
      </c>
      <c r="C125" s="223" t="s">
        <v>385</v>
      </c>
      <c r="D125" s="223" t="s">
        <v>386</v>
      </c>
      <c r="E125" s="223">
        <v>1114</v>
      </c>
      <c r="F125" s="223">
        <v>1499</v>
      </c>
      <c r="G125" s="377">
        <v>15.26</v>
      </c>
      <c r="H125" s="377">
        <v>15.87</v>
      </c>
      <c r="I125" s="224">
        <v>12.92</v>
      </c>
      <c r="J125" s="254">
        <f t="shared" ref="J125:J166" si="7">(H125-G125)/G125</f>
        <v>3.9973787680209663E-2</v>
      </c>
      <c r="AB125" s="231" t="s">
        <v>515</v>
      </c>
      <c r="AC125" s="217" t="s">
        <v>333</v>
      </c>
      <c r="AD125" s="217" t="s">
        <v>334</v>
      </c>
      <c r="AE125" s="217" t="s">
        <v>334</v>
      </c>
    </row>
    <row r="126" spans="1:31">
      <c r="A126" s="227">
        <v>54</v>
      </c>
      <c r="B126" s="227">
        <v>2</v>
      </c>
      <c r="C126" s="227" t="s">
        <v>385</v>
      </c>
      <c r="D126" s="227" t="s">
        <v>386</v>
      </c>
      <c r="E126" s="227">
        <v>1500</v>
      </c>
      <c r="F126" s="227">
        <v>1999</v>
      </c>
      <c r="G126" s="377">
        <v>18.55</v>
      </c>
      <c r="H126" s="377">
        <v>19.29</v>
      </c>
      <c r="I126" s="228">
        <v>15.7</v>
      </c>
      <c r="J126" s="254">
        <f t="shared" si="7"/>
        <v>3.989218328840962E-2</v>
      </c>
      <c r="AB126" s="231" t="s">
        <v>516</v>
      </c>
      <c r="AC126" s="217" t="s">
        <v>333</v>
      </c>
      <c r="AD126" s="217" t="s">
        <v>334</v>
      </c>
      <c r="AE126" s="217" t="s">
        <v>334</v>
      </c>
    </row>
    <row r="127" spans="1:31">
      <c r="A127" s="227">
        <v>54</v>
      </c>
      <c r="B127" s="227">
        <v>2</v>
      </c>
      <c r="C127" s="227" t="s">
        <v>385</v>
      </c>
      <c r="D127" s="227" t="s">
        <v>386</v>
      </c>
      <c r="E127" s="227">
        <v>2000</v>
      </c>
      <c r="F127" s="227">
        <v>2499</v>
      </c>
      <c r="G127" s="377">
        <v>21.85</v>
      </c>
      <c r="H127" s="377">
        <v>22.72</v>
      </c>
      <c r="I127" s="228">
        <v>18.489999999999998</v>
      </c>
      <c r="J127" s="254">
        <f t="shared" si="7"/>
        <v>3.9816933638443817E-2</v>
      </c>
      <c r="AB127" s="231" t="s">
        <v>517</v>
      </c>
      <c r="AC127" s="217" t="s">
        <v>333</v>
      </c>
      <c r="AD127" s="217" t="s">
        <v>334</v>
      </c>
      <c r="AE127" s="217" t="s">
        <v>334</v>
      </c>
    </row>
    <row r="128" spans="1:31">
      <c r="A128" s="227">
        <v>54</v>
      </c>
      <c r="B128" s="227">
        <v>2</v>
      </c>
      <c r="C128" s="227" t="s">
        <v>385</v>
      </c>
      <c r="D128" s="227" t="s">
        <v>386</v>
      </c>
      <c r="E128" s="227">
        <v>2500</v>
      </c>
      <c r="F128" s="227">
        <v>2999</v>
      </c>
      <c r="G128" s="377">
        <v>25.14</v>
      </c>
      <c r="H128" s="377">
        <v>26.15</v>
      </c>
      <c r="I128" s="228">
        <v>21.28</v>
      </c>
      <c r="J128" s="254">
        <f t="shared" si="7"/>
        <v>4.0175019888623625E-2</v>
      </c>
      <c r="AB128" s="231" t="s">
        <v>518</v>
      </c>
      <c r="AC128" s="217" t="s">
        <v>333</v>
      </c>
      <c r="AD128" s="217" t="s">
        <v>334</v>
      </c>
      <c r="AE128" s="217" t="s">
        <v>334</v>
      </c>
    </row>
    <row r="129" spans="1:31">
      <c r="A129" s="227">
        <v>54</v>
      </c>
      <c r="B129" s="227">
        <v>2</v>
      </c>
      <c r="C129" s="227" t="s">
        <v>385</v>
      </c>
      <c r="D129" s="227" t="s">
        <v>386</v>
      </c>
      <c r="E129" s="227">
        <v>3000</v>
      </c>
      <c r="F129" s="227">
        <v>3599</v>
      </c>
      <c r="G129" s="377">
        <v>29.09</v>
      </c>
      <c r="H129" s="377">
        <v>30.25</v>
      </c>
      <c r="I129" s="228">
        <v>24.62</v>
      </c>
      <c r="J129" s="254">
        <f t="shared" si="7"/>
        <v>3.9876246132691653E-2</v>
      </c>
      <c r="AB129" s="231" t="s">
        <v>519</v>
      </c>
      <c r="AC129" s="217" t="s">
        <v>333</v>
      </c>
      <c r="AD129" s="217" t="s">
        <v>334</v>
      </c>
      <c r="AE129" s="217" t="s">
        <v>334</v>
      </c>
    </row>
    <row r="130" spans="1:31">
      <c r="A130" s="227">
        <v>54</v>
      </c>
      <c r="B130" s="227">
        <v>2</v>
      </c>
      <c r="C130" s="227" t="s">
        <v>385</v>
      </c>
      <c r="D130" s="227" t="s">
        <v>386</v>
      </c>
      <c r="E130" s="227">
        <v>3600</v>
      </c>
      <c r="F130" s="227">
        <v>3959</v>
      </c>
      <c r="G130" s="377">
        <v>31.46</v>
      </c>
      <c r="H130" s="377">
        <v>32.72</v>
      </c>
      <c r="I130" s="228">
        <v>26.62</v>
      </c>
      <c r="J130" s="254">
        <f t="shared" si="7"/>
        <v>4.0050858232676352E-2</v>
      </c>
      <c r="AB130" s="231" t="s">
        <v>520</v>
      </c>
      <c r="AC130" s="217" t="s">
        <v>333</v>
      </c>
      <c r="AD130" s="217" t="s">
        <v>334</v>
      </c>
      <c r="AE130" s="217" t="s">
        <v>334</v>
      </c>
    </row>
    <row r="131" spans="1:31">
      <c r="A131" s="223">
        <v>56</v>
      </c>
      <c r="B131" s="223">
        <v>4</v>
      </c>
      <c r="C131" s="223" t="s">
        <v>316</v>
      </c>
      <c r="D131" s="223" t="s">
        <v>316</v>
      </c>
      <c r="E131" s="223">
        <v>16</v>
      </c>
      <c r="F131" s="223">
        <v>249</v>
      </c>
      <c r="G131" s="377">
        <v>5.5</v>
      </c>
      <c r="H131" s="377">
        <v>5.72</v>
      </c>
      <c r="I131" s="224">
        <v>4.6500000000000004</v>
      </c>
      <c r="J131" s="254">
        <f t="shared" si="7"/>
        <v>3.9999999999999952E-2</v>
      </c>
      <c r="AB131" s="231" t="s">
        <v>521</v>
      </c>
      <c r="AC131" s="217" t="s">
        <v>333</v>
      </c>
      <c r="AD131" s="217" t="s">
        <v>334</v>
      </c>
      <c r="AE131" s="217" t="s">
        <v>334</v>
      </c>
    </row>
    <row r="132" spans="1:31">
      <c r="A132" s="227">
        <v>56</v>
      </c>
      <c r="B132" s="227">
        <v>4</v>
      </c>
      <c r="C132" s="227" t="s">
        <v>316</v>
      </c>
      <c r="D132" s="227" t="s">
        <v>316</v>
      </c>
      <c r="E132" s="227">
        <v>250</v>
      </c>
      <c r="F132" s="227">
        <v>299</v>
      </c>
      <c r="G132" s="377">
        <v>5.63</v>
      </c>
      <c r="H132" s="377">
        <v>5.86</v>
      </c>
      <c r="I132" s="228">
        <v>4.76</v>
      </c>
      <c r="J132" s="254">
        <f t="shared" si="7"/>
        <v>4.0852575488454786E-2</v>
      </c>
      <c r="AB132" s="231" t="s">
        <v>522</v>
      </c>
      <c r="AC132" s="217" t="s">
        <v>333</v>
      </c>
      <c r="AD132" s="217" t="s">
        <v>334</v>
      </c>
      <c r="AE132" s="217" t="s">
        <v>334</v>
      </c>
    </row>
    <row r="133" spans="1:31">
      <c r="A133" s="227">
        <v>56</v>
      </c>
      <c r="B133" s="227">
        <v>4</v>
      </c>
      <c r="C133" s="227" t="s">
        <v>316</v>
      </c>
      <c r="D133" s="227" t="s">
        <v>316</v>
      </c>
      <c r="E133" s="227">
        <v>300</v>
      </c>
      <c r="F133" s="227">
        <v>349</v>
      </c>
      <c r="G133" s="377">
        <v>5.75</v>
      </c>
      <c r="H133" s="377">
        <v>5.98</v>
      </c>
      <c r="I133" s="228">
        <v>4.8600000000000003</v>
      </c>
      <c r="J133" s="254">
        <f t="shared" si="7"/>
        <v>4.0000000000000077E-2</v>
      </c>
      <c r="AB133" s="231" t="s">
        <v>523</v>
      </c>
      <c r="AC133" s="217" t="s">
        <v>333</v>
      </c>
      <c r="AD133" s="217" t="s">
        <v>334</v>
      </c>
      <c r="AE133" s="217" t="s">
        <v>334</v>
      </c>
    </row>
    <row r="134" spans="1:31">
      <c r="A134" s="227">
        <v>56</v>
      </c>
      <c r="B134" s="227">
        <v>4</v>
      </c>
      <c r="C134" s="227" t="s">
        <v>316</v>
      </c>
      <c r="D134" s="227" t="s">
        <v>316</v>
      </c>
      <c r="E134" s="227">
        <v>350</v>
      </c>
      <c r="F134" s="227">
        <v>399</v>
      </c>
      <c r="G134" s="377">
        <v>5.86</v>
      </c>
      <c r="H134" s="377">
        <v>6.09</v>
      </c>
      <c r="I134" s="228">
        <v>4.97</v>
      </c>
      <c r="J134" s="254">
        <f t="shared" si="7"/>
        <v>3.9249146757679099E-2</v>
      </c>
      <c r="AB134" s="231" t="s">
        <v>524</v>
      </c>
      <c r="AC134" s="217" t="s">
        <v>333</v>
      </c>
      <c r="AD134" s="217" t="s">
        <v>334</v>
      </c>
      <c r="AE134" s="217" t="s">
        <v>334</v>
      </c>
    </row>
    <row r="135" spans="1:31">
      <c r="A135" s="227">
        <v>56</v>
      </c>
      <c r="B135" s="227">
        <v>4</v>
      </c>
      <c r="C135" s="227" t="s">
        <v>316</v>
      </c>
      <c r="D135" s="227" t="s">
        <v>316</v>
      </c>
      <c r="E135" s="227">
        <v>400</v>
      </c>
      <c r="F135" s="227">
        <v>449</v>
      </c>
      <c r="G135" s="377">
        <v>5.99</v>
      </c>
      <c r="H135" s="377">
        <v>6.23</v>
      </c>
      <c r="I135" s="228">
        <v>5.07</v>
      </c>
      <c r="J135" s="254">
        <f t="shared" si="7"/>
        <v>4.0066777963272154E-2</v>
      </c>
      <c r="AB135" s="231" t="s">
        <v>525</v>
      </c>
      <c r="AC135" s="217" t="s">
        <v>333</v>
      </c>
      <c r="AD135" s="217" t="s">
        <v>334</v>
      </c>
      <c r="AE135" s="217" t="s">
        <v>334</v>
      </c>
    </row>
    <row r="136" spans="1:31">
      <c r="A136" s="227">
        <v>56</v>
      </c>
      <c r="B136" s="227">
        <v>4</v>
      </c>
      <c r="C136" s="227" t="s">
        <v>316</v>
      </c>
      <c r="D136" s="227" t="s">
        <v>316</v>
      </c>
      <c r="E136" s="227">
        <v>450</v>
      </c>
      <c r="F136" s="227">
        <v>499</v>
      </c>
      <c r="G136" s="377">
        <v>6.11</v>
      </c>
      <c r="H136" s="377">
        <v>6.35</v>
      </c>
      <c r="I136" s="228">
        <v>5.17</v>
      </c>
      <c r="J136" s="254">
        <f t="shared" si="7"/>
        <v>3.9279869067102999E-2</v>
      </c>
      <c r="AB136" s="231" t="s">
        <v>526</v>
      </c>
      <c r="AC136" s="217" t="s">
        <v>333</v>
      </c>
      <c r="AD136" s="217" t="s">
        <v>334</v>
      </c>
      <c r="AE136" s="217" t="s">
        <v>334</v>
      </c>
    </row>
    <row r="137" spans="1:31">
      <c r="A137" s="227">
        <v>56</v>
      </c>
      <c r="B137" s="227">
        <v>4</v>
      </c>
      <c r="C137" s="227" t="s">
        <v>316</v>
      </c>
      <c r="D137" s="227" t="s">
        <v>316</v>
      </c>
      <c r="E137" s="227">
        <v>500</v>
      </c>
      <c r="F137" s="227">
        <v>549</v>
      </c>
      <c r="G137" s="377">
        <v>6.24</v>
      </c>
      <c r="H137" s="377">
        <v>6.49</v>
      </c>
      <c r="I137" s="228">
        <v>5.28</v>
      </c>
      <c r="J137" s="254">
        <f t="shared" si="7"/>
        <v>4.0064102564102561E-2</v>
      </c>
      <c r="AB137" s="231" t="s">
        <v>527</v>
      </c>
      <c r="AC137" s="217" t="s">
        <v>333</v>
      </c>
      <c r="AD137" s="217" t="s">
        <v>334</v>
      </c>
      <c r="AE137" s="217" t="s">
        <v>334</v>
      </c>
    </row>
    <row r="138" spans="1:31">
      <c r="A138" s="227">
        <v>56</v>
      </c>
      <c r="B138" s="227">
        <v>4</v>
      </c>
      <c r="C138" s="227" t="s">
        <v>316</v>
      </c>
      <c r="D138" s="227" t="s">
        <v>316</v>
      </c>
      <c r="E138" s="227">
        <v>550</v>
      </c>
      <c r="F138" s="227">
        <v>599</v>
      </c>
      <c r="G138" s="377">
        <v>6.36</v>
      </c>
      <c r="H138" s="377">
        <v>6.61</v>
      </c>
      <c r="I138" s="228">
        <v>5.38</v>
      </c>
      <c r="J138" s="254">
        <f t="shared" si="7"/>
        <v>3.9308176100628929E-2</v>
      </c>
      <c r="AB138" s="231" t="s">
        <v>528</v>
      </c>
      <c r="AC138" s="217" t="s">
        <v>333</v>
      </c>
      <c r="AD138" s="217" t="s">
        <v>334</v>
      </c>
      <c r="AE138" s="217" t="s">
        <v>334</v>
      </c>
    </row>
    <row r="139" spans="1:31">
      <c r="A139" s="223">
        <v>56</v>
      </c>
      <c r="B139" s="223">
        <v>4</v>
      </c>
      <c r="C139" s="223" t="s">
        <v>316</v>
      </c>
      <c r="D139" s="223" t="s">
        <v>341</v>
      </c>
      <c r="E139" s="223">
        <v>16</v>
      </c>
      <c r="F139" s="223">
        <v>249</v>
      </c>
      <c r="G139" s="377">
        <v>6.29</v>
      </c>
      <c r="H139" s="377">
        <v>6.54</v>
      </c>
      <c r="I139" s="224">
        <v>5.33</v>
      </c>
      <c r="J139" s="254">
        <f t="shared" si="7"/>
        <v>3.9745627980922099E-2</v>
      </c>
      <c r="AB139" s="231" t="s">
        <v>529</v>
      </c>
      <c r="AC139" s="217" t="s">
        <v>333</v>
      </c>
      <c r="AD139" s="217" t="s">
        <v>334</v>
      </c>
      <c r="AE139" s="217" t="s">
        <v>334</v>
      </c>
    </row>
    <row r="140" spans="1:31">
      <c r="A140" s="227">
        <v>56</v>
      </c>
      <c r="B140" s="227">
        <v>4</v>
      </c>
      <c r="C140" s="227" t="s">
        <v>316</v>
      </c>
      <c r="D140" s="227" t="s">
        <v>341</v>
      </c>
      <c r="E140" s="227">
        <v>250</v>
      </c>
      <c r="F140" s="227">
        <v>399</v>
      </c>
      <c r="G140" s="377">
        <v>6.63</v>
      </c>
      <c r="H140" s="377">
        <v>6.9</v>
      </c>
      <c r="I140" s="228">
        <v>5.61</v>
      </c>
      <c r="J140" s="254">
        <f t="shared" si="7"/>
        <v>4.0723981900452559E-2</v>
      </c>
      <c r="AB140" s="231" t="s">
        <v>530</v>
      </c>
      <c r="AC140" s="217" t="s">
        <v>333</v>
      </c>
      <c r="AD140" s="217" t="s">
        <v>334</v>
      </c>
      <c r="AE140" s="217" t="s">
        <v>334</v>
      </c>
    </row>
    <row r="141" spans="1:31">
      <c r="A141" s="227">
        <v>56</v>
      </c>
      <c r="B141" s="227">
        <v>4</v>
      </c>
      <c r="C141" s="227" t="s">
        <v>316</v>
      </c>
      <c r="D141" s="227" t="s">
        <v>341</v>
      </c>
      <c r="E141" s="227">
        <v>400</v>
      </c>
      <c r="F141" s="227">
        <v>499</v>
      </c>
      <c r="G141" s="377">
        <v>6.85</v>
      </c>
      <c r="H141" s="377">
        <v>7.12</v>
      </c>
      <c r="I141" s="228">
        <v>5.8</v>
      </c>
      <c r="J141" s="254">
        <f t="shared" si="7"/>
        <v>3.9416058394160652E-2</v>
      </c>
      <c r="AB141" s="231" t="s">
        <v>531</v>
      </c>
      <c r="AC141" s="217" t="s">
        <v>333</v>
      </c>
      <c r="AD141" s="217" t="s">
        <v>334</v>
      </c>
      <c r="AE141" s="217" t="s">
        <v>334</v>
      </c>
    </row>
    <row r="142" spans="1:31">
      <c r="A142" s="227">
        <v>56</v>
      </c>
      <c r="B142" s="227">
        <v>4</v>
      </c>
      <c r="C142" s="227" t="s">
        <v>316</v>
      </c>
      <c r="D142" s="227" t="s">
        <v>341</v>
      </c>
      <c r="E142" s="227">
        <v>500</v>
      </c>
      <c r="F142" s="227">
        <v>649</v>
      </c>
      <c r="G142" s="377">
        <v>7.19</v>
      </c>
      <c r="H142" s="377">
        <v>7.48</v>
      </c>
      <c r="I142" s="228">
        <v>6.08</v>
      </c>
      <c r="J142" s="254">
        <f t="shared" si="7"/>
        <v>4.0333796940194719E-2</v>
      </c>
      <c r="AB142" s="231" t="s">
        <v>532</v>
      </c>
      <c r="AC142" s="217" t="s">
        <v>333</v>
      </c>
      <c r="AD142" s="217" t="s">
        <v>334</v>
      </c>
      <c r="AE142" s="217" t="s">
        <v>334</v>
      </c>
    </row>
    <row r="143" spans="1:31">
      <c r="A143" s="227">
        <v>56</v>
      </c>
      <c r="B143" s="227">
        <v>4</v>
      </c>
      <c r="C143" s="227" t="s">
        <v>316</v>
      </c>
      <c r="D143" s="227" t="s">
        <v>341</v>
      </c>
      <c r="E143" s="227">
        <v>650</v>
      </c>
      <c r="F143" s="227">
        <v>699</v>
      </c>
      <c r="G143" s="377">
        <v>7.29</v>
      </c>
      <c r="H143" s="377">
        <v>7.58</v>
      </c>
      <c r="I143" s="228">
        <v>6.18</v>
      </c>
      <c r="J143" s="254">
        <f t="shared" si="7"/>
        <v>3.9780521262002745E-2</v>
      </c>
      <c r="AB143" s="231" t="s">
        <v>533</v>
      </c>
      <c r="AC143" s="217" t="s">
        <v>333</v>
      </c>
      <c r="AD143" s="217" t="s">
        <v>334</v>
      </c>
      <c r="AE143" s="217" t="s">
        <v>334</v>
      </c>
    </row>
    <row r="144" spans="1:31">
      <c r="A144" s="227">
        <v>56</v>
      </c>
      <c r="B144" s="227">
        <v>4</v>
      </c>
      <c r="C144" s="227" t="s">
        <v>316</v>
      </c>
      <c r="D144" s="227" t="s">
        <v>341</v>
      </c>
      <c r="E144" s="227">
        <v>700</v>
      </c>
      <c r="F144" s="227">
        <v>999</v>
      </c>
      <c r="G144" s="377">
        <v>7.97</v>
      </c>
      <c r="H144" s="377">
        <v>8.2899999999999991</v>
      </c>
      <c r="I144" s="228">
        <v>6.74</v>
      </c>
      <c r="J144" s="254">
        <f t="shared" si="7"/>
        <v>4.0150564617314859E-2</v>
      </c>
      <c r="AB144" s="231" t="s">
        <v>534</v>
      </c>
      <c r="AC144" s="217" t="s">
        <v>333</v>
      </c>
      <c r="AD144" s="217" t="s">
        <v>334</v>
      </c>
      <c r="AE144" s="217" t="s">
        <v>334</v>
      </c>
    </row>
    <row r="145" spans="1:31">
      <c r="A145" s="227">
        <v>56</v>
      </c>
      <c r="B145" s="227">
        <v>4</v>
      </c>
      <c r="C145" s="227" t="s">
        <v>316</v>
      </c>
      <c r="D145" s="227" t="s">
        <v>341</v>
      </c>
      <c r="E145" s="227">
        <v>1000</v>
      </c>
      <c r="F145" s="227">
        <v>1145</v>
      </c>
      <c r="G145" s="377">
        <v>8.2899999999999991</v>
      </c>
      <c r="H145" s="377">
        <v>8.6199999999999992</v>
      </c>
      <c r="I145" s="228">
        <v>7.02</v>
      </c>
      <c r="J145" s="254">
        <f t="shared" si="7"/>
        <v>3.9806996381182159E-2</v>
      </c>
      <c r="AB145" s="231" t="s">
        <v>535</v>
      </c>
      <c r="AC145" s="217" t="s">
        <v>333</v>
      </c>
      <c r="AD145" s="217" t="s">
        <v>334</v>
      </c>
      <c r="AE145" s="217" t="s">
        <v>334</v>
      </c>
    </row>
    <row r="146" spans="1:31">
      <c r="A146" s="257">
        <v>56</v>
      </c>
      <c r="B146" s="257">
        <v>4</v>
      </c>
      <c r="C146" s="257" t="s">
        <v>316</v>
      </c>
      <c r="D146" s="258" t="s">
        <v>351</v>
      </c>
      <c r="E146" s="258">
        <v>16</v>
      </c>
      <c r="F146" s="258">
        <v>499</v>
      </c>
      <c r="G146" s="377">
        <v>7.1</v>
      </c>
      <c r="H146" s="377">
        <v>7.38</v>
      </c>
      <c r="I146" s="224">
        <v>6</v>
      </c>
      <c r="J146" s="254">
        <f t="shared" si="7"/>
        <v>3.9436619718309897E-2</v>
      </c>
      <c r="AB146" s="231" t="s">
        <v>536</v>
      </c>
      <c r="AC146" s="217" t="s">
        <v>333</v>
      </c>
      <c r="AD146" s="217" t="s">
        <v>334</v>
      </c>
      <c r="AE146" s="217" t="s">
        <v>334</v>
      </c>
    </row>
    <row r="147" spans="1:31">
      <c r="A147" s="227">
        <v>56</v>
      </c>
      <c r="B147" s="227">
        <v>4</v>
      </c>
      <c r="C147" s="259" t="s">
        <v>316</v>
      </c>
      <c r="D147" s="260" t="s">
        <v>351</v>
      </c>
      <c r="E147" s="260">
        <v>500</v>
      </c>
      <c r="F147" s="260">
        <v>649</v>
      </c>
      <c r="G147" s="377">
        <v>7.42</v>
      </c>
      <c r="H147" s="377">
        <v>7.72</v>
      </c>
      <c r="I147" s="228">
        <v>6.29</v>
      </c>
      <c r="J147" s="254">
        <f t="shared" si="7"/>
        <v>4.0431266846361162E-2</v>
      </c>
      <c r="AB147" s="231" t="s">
        <v>537</v>
      </c>
      <c r="AC147" s="217" t="s">
        <v>333</v>
      </c>
      <c r="AD147" s="217" t="s">
        <v>334</v>
      </c>
      <c r="AE147" s="217" t="s">
        <v>334</v>
      </c>
    </row>
    <row r="148" spans="1:31">
      <c r="A148" s="227">
        <v>56</v>
      </c>
      <c r="B148" s="227">
        <v>4</v>
      </c>
      <c r="C148" s="259" t="s">
        <v>316</v>
      </c>
      <c r="D148" s="260" t="s">
        <v>351</v>
      </c>
      <c r="E148" s="260">
        <v>650</v>
      </c>
      <c r="F148" s="260">
        <v>799</v>
      </c>
      <c r="G148" s="377">
        <v>7.76</v>
      </c>
      <c r="H148" s="377">
        <v>8.07</v>
      </c>
      <c r="I148" s="228">
        <v>6.57</v>
      </c>
      <c r="J148" s="254">
        <f t="shared" si="7"/>
        <v>3.9948453608247489E-2</v>
      </c>
      <c r="AB148" s="231" t="s">
        <v>538</v>
      </c>
      <c r="AC148" s="217" t="s">
        <v>333</v>
      </c>
      <c r="AD148" s="217" t="s">
        <v>334</v>
      </c>
      <c r="AE148" s="217" t="s">
        <v>334</v>
      </c>
    </row>
    <row r="149" spans="1:31">
      <c r="A149" s="227">
        <v>56</v>
      </c>
      <c r="B149" s="227">
        <v>4</v>
      </c>
      <c r="C149" s="259" t="s">
        <v>316</v>
      </c>
      <c r="D149" s="260" t="s">
        <v>351</v>
      </c>
      <c r="E149" s="260">
        <v>800</v>
      </c>
      <c r="F149" s="260">
        <v>1099</v>
      </c>
      <c r="G149" s="377">
        <v>8.44</v>
      </c>
      <c r="H149" s="377">
        <v>8.7799999999999994</v>
      </c>
      <c r="I149" s="228">
        <v>7.13</v>
      </c>
      <c r="J149" s="254">
        <f t="shared" si="7"/>
        <v>4.0284360189573445E-2</v>
      </c>
      <c r="AB149" s="307" t="s">
        <v>539</v>
      </c>
      <c r="AC149" s="217" t="s">
        <v>333</v>
      </c>
      <c r="AD149" s="217" t="s">
        <v>334</v>
      </c>
      <c r="AE149" s="217" t="s">
        <v>334</v>
      </c>
    </row>
    <row r="150" spans="1:31">
      <c r="A150" s="227">
        <v>56</v>
      </c>
      <c r="B150" s="227">
        <v>4</v>
      </c>
      <c r="C150" s="259" t="s">
        <v>316</v>
      </c>
      <c r="D150" s="260" t="s">
        <v>351</v>
      </c>
      <c r="E150" s="260">
        <v>1100</v>
      </c>
      <c r="F150" s="260">
        <v>1299</v>
      </c>
      <c r="G150" s="377">
        <v>8.8800000000000008</v>
      </c>
      <c r="H150" s="377">
        <v>9.24</v>
      </c>
      <c r="I150" s="228">
        <v>7.51</v>
      </c>
      <c r="J150" s="254">
        <f t="shared" si="7"/>
        <v>4.0540540540540473E-2</v>
      </c>
      <c r="AB150" s="307" t="s">
        <v>540</v>
      </c>
      <c r="AC150" s="217" t="s">
        <v>333</v>
      </c>
      <c r="AD150" s="217" t="s">
        <v>334</v>
      </c>
      <c r="AE150" s="217" t="s">
        <v>334</v>
      </c>
    </row>
    <row r="151" spans="1:31">
      <c r="A151" s="236">
        <v>56</v>
      </c>
      <c r="B151" s="236">
        <v>4</v>
      </c>
      <c r="C151" s="261" t="s">
        <v>316</v>
      </c>
      <c r="D151" s="262" t="s">
        <v>351</v>
      </c>
      <c r="E151" s="236">
        <v>1300</v>
      </c>
      <c r="F151" s="236">
        <v>1499</v>
      </c>
      <c r="G151" s="377">
        <v>14.98</v>
      </c>
      <c r="H151" s="377">
        <v>15.58</v>
      </c>
      <c r="I151" s="237">
        <v>12.67</v>
      </c>
      <c r="J151" s="254">
        <f t="shared" si="7"/>
        <v>4.0053404539385822E-2</v>
      </c>
      <c r="AB151" s="231"/>
    </row>
    <row r="152" spans="1:31">
      <c r="A152" s="236">
        <v>56</v>
      </c>
      <c r="B152" s="236">
        <v>4</v>
      </c>
      <c r="C152" s="261" t="s">
        <v>316</v>
      </c>
      <c r="D152" s="262" t="s">
        <v>351</v>
      </c>
      <c r="E152" s="236">
        <v>1500</v>
      </c>
      <c r="F152" s="236">
        <v>1699</v>
      </c>
      <c r="G152" s="377">
        <v>16.07</v>
      </c>
      <c r="H152" s="377">
        <v>16.71</v>
      </c>
      <c r="I152" s="237">
        <v>13.6</v>
      </c>
      <c r="J152" s="254">
        <f t="shared" si="7"/>
        <v>3.9825762289981366E-2</v>
      </c>
      <c r="AB152" s="231" t="s">
        <v>541</v>
      </c>
      <c r="AC152" s="217" t="s">
        <v>333</v>
      </c>
      <c r="AD152" s="217" t="s">
        <v>334</v>
      </c>
      <c r="AE152" s="217" t="s">
        <v>334</v>
      </c>
    </row>
    <row r="153" spans="1:31">
      <c r="A153" s="236">
        <v>56</v>
      </c>
      <c r="B153" s="236">
        <v>4</v>
      </c>
      <c r="C153" s="261" t="s">
        <v>316</v>
      </c>
      <c r="D153" s="262" t="s">
        <v>351</v>
      </c>
      <c r="E153" s="236">
        <v>1700</v>
      </c>
      <c r="F153" s="236">
        <v>1899</v>
      </c>
      <c r="G153" s="377">
        <v>17.16</v>
      </c>
      <c r="H153" s="377">
        <v>17.850000000000001</v>
      </c>
      <c r="I153" s="237">
        <v>14.52</v>
      </c>
      <c r="J153" s="254">
        <f t="shared" si="7"/>
        <v>4.0209790209790285E-2</v>
      </c>
      <c r="AB153" s="231" t="s">
        <v>542</v>
      </c>
      <c r="AC153" s="217" t="s">
        <v>333</v>
      </c>
      <c r="AD153" s="217" t="s">
        <v>334</v>
      </c>
      <c r="AE153" s="217" t="s">
        <v>334</v>
      </c>
    </row>
    <row r="154" spans="1:31">
      <c r="A154" s="238">
        <v>56</v>
      </c>
      <c r="B154" s="238">
        <v>4</v>
      </c>
      <c r="C154" s="238" t="s">
        <v>359</v>
      </c>
      <c r="D154" s="238" t="s">
        <v>360</v>
      </c>
      <c r="E154" s="238">
        <v>16</v>
      </c>
      <c r="F154" s="238">
        <v>349</v>
      </c>
      <c r="G154" s="377">
        <v>8.68</v>
      </c>
      <c r="H154" s="377">
        <v>9.0299999999999994</v>
      </c>
      <c r="I154" s="239">
        <v>7.35</v>
      </c>
      <c r="J154" s="254">
        <f t="shared" si="7"/>
        <v>4.0322580645161248E-2</v>
      </c>
      <c r="AB154" s="231" t="s">
        <v>543</v>
      </c>
      <c r="AC154" s="217" t="s">
        <v>333</v>
      </c>
      <c r="AD154" s="217" t="s">
        <v>334</v>
      </c>
      <c r="AE154" s="217" t="s">
        <v>334</v>
      </c>
    </row>
    <row r="155" spans="1:31">
      <c r="A155" s="227">
        <v>56</v>
      </c>
      <c r="B155" s="227">
        <v>4</v>
      </c>
      <c r="C155" s="227" t="s">
        <v>359</v>
      </c>
      <c r="D155" s="227" t="s">
        <v>360</v>
      </c>
      <c r="E155" s="227">
        <v>350</v>
      </c>
      <c r="F155" s="227">
        <v>499</v>
      </c>
      <c r="G155" s="377">
        <v>9.5</v>
      </c>
      <c r="H155" s="377">
        <v>9.8800000000000008</v>
      </c>
      <c r="I155" s="228">
        <v>8.0500000000000007</v>
      </c>
      <c r="J155" s="254">
        <f t="shared" si="7"/>
        <v>4.0000000000000084E-2</v>
      </c>
      <c r="AB155" s="231" t="s">
        <v>544</v>
      </c>
      <c r="AC155" s="217" t="s">
        <v>333</v>
      </c>
      <c r="AD155" s="217" t="s">
        <v>334</v>
      </c>
      <c r="AE155" s="217" t="s">
        <v>334</v>
      </c>
    </row>
    <row r="156" spans="1:31">
      <c r="A156" s="227">
        <v>56</v>
      </c>
      <c r="B156" s="227">
        <v>4</v>
      </c>
      <c r="C156" s="227" t="s">
        <v>359</v>
      </c>
      <c r="D156" s="227" t="s">
        <v>360</v>
      </c>
      <c r="E156" s="227">
        <v>500</v>
      </c>
      <c r="F156" s="227">
        <v>649</v>
      </c>
      <c r="G156" s="377">
        <v>10.32</v>
      </c>
      <c r="H156" s="377">
        <v>10.73</v>
      </c>
      <c r="I156" s="228">
        <v>8.74</v>
      </c>
      <c r="J156" s="254">
        <f t="shared" si="7"/>
        <v>3.9728682170542651E-2</v>
      </c>
      <c r="AB156" s="231" t="s">
        <v>545</v>
      </c>
      <c r="AC156" s="217" t="s">
        <v>333</v>
      </c>
      <c r="AD156" s="217" t="s">
        <v>334</v>
      </c>
      <c r="AE156" s="217" t="s">
        <v>334</v>
      </c>
    </row>
    <row r="157" spans="1:31">
      <c r="A157" s="227">
        <v>56</v>
      </c>
      <c r="B157" s="227">
        <v>4</v>
      </c>
      <c r="C157" s="227" t="s">
        <v>359</v>
      </c>
      <c r="D157" s="227" t="s">
        <v>360</v>
      </c>
      <c r="E157" s="227">
        <v>650</v>
      </c>
      <c r="F157" s="227">
        <v>799</v>
      </c>
      <c r="G157" s="377">
        <v>11.15</v>
      </c>
      <c r="H157" s="377">
        <v>11.6</v>
      </c>
      <c r="I157" s="228">
        <v>9.43</v>
      </c>
      <c r="J157" s="254">
        <f t="shared" si="7"/>
        <v>4.035874439461877E-2</v>
      </c>
      <c r="AB157" s="231" t="s">
        <v>546</v>
      </c>
      <c r="AC157" s="217" t="s">
        <v>333</v>
      </c>
      <c r="AD157" s="217" t="s">
        <v>334</v>
      </c>
      <c r="AE157" s="217" t="s">
        <v>334</v>
      </c>
    </row>
    <row r="158" spans="1:31">
      <c r="A158" s="227">
        <v>56</v>
      </c>
      <c r="B158" s="227">
        <v>4</v>
      </c>
      <c r="C158" s="227" t="s">
        <v>359</v>
      </c>
      <c r="D158" s="227" t="s">
        <v>360</v>
      </c>
      <c r="E158" s="227">
        <v>800</v>
      </c>
      <c r="F158" s="227">
        <v>949</v>
      </c>
      <c r="G158" s="377">
        <v>11.97</v>
      </c>
      <c r="H158" s="377">
        <v>12.45</v>
      </c>
      <c r="I158" s="228">
        <v>10.130000000000001</v>
      </c>
      <c r="J158" s="254">
        <f t="shared" si="7"/>
        <v>4.0100250626566303E-2</v>
      </c>
      <c r="AB158" s="231" t="s">
        <v>547</v>
      </c>
      <c r="AC158" s="217" t="s">
        <v>333</v>
      </c>
      <c r="AD158" s="217" t="s">
        <v>334</v>
      </c>
      <c r="AE158" s="217" t="s">
        <v>334</v>
      </c>
    </row>
    <row r="159" spans="1:31">
      <c r="A159" s="227">
        <v>56</v>
      </c>
      <c r="B159" s="227">
        <v>4</v>
      </c>
      <c r="C159" s="227" t="s">
        <v>359</v>
      </c>
      <c r="D159" s="227" t="s">
        <v>360</v>
      </c>
      <c r="E159" s="227">
        <v>950</v>
      </c>
      <c r="F159" s="227">
        <v>1099</v>
      </c>
      <c r="G159" s="377">
        <v>12.79</v>
      </c>
      <c r="H159" s="377">
        <v>13.3</v>
      </c>
      <c r="I159" s="228">
        <v>10.82</v>
      </c>
      <c r="J159" s="254">
        <f t="shared" si="7"/>
        <v>3.9874902267396525E-2</v>
      </c>
      <c r="AB159" s="231" t="s">
        <v>548</v>
      </c>
      <c r="AC159" s="217" t="s">
        <v>333</v>
      </c>
      <c r="AD159" s="217" t="s">
        <v>334</v>
      </c>
      <c r="AE159" s="217" t="s">
        <v>334</v>
      </c>
    </row>
    <row r="160" spans="1:31">
      <c r="A160" s="227">
        <v>56</v>
      </c>
      <c r="B160" s="227">
        <v>4</v>
      </c>
      <c r="C160" s="227" t="s">
        <v>359</v>
      </c>
      <c r="D160" s="227" t="s">
        <v>360</v>
      </c>
      <c r="E160" s="227">
        <v>1100</v>
      </c>
      <c r="F160" s="227">
        <v>1299</v>
      </c>
      <c r="G160" s="377">
        <v>13.88</v>
      </c>
      <c r="H160" s="377">
        <v>14.44</v>
      </c>
      <c r="I160" s="228">
        <v>11.75</v>
      </c>
      <c r="J160" s="254">
        <f t="shared" si="7"/>
        <v>4.0345821325648318E-2</v>
      </c>
      <c r="AB160" s="231" t="s">
        <v>549</v>
      </c>
      <c r="AC160" s="217" t="s">
        <v>333</v>
      </c>
      <c r="AD160" s="217" t="s">
        <v>334</v>
      </c>
      <c r="AE160" s="217" t="s">
        <v>334</v>
      </c>
    </row>
    <row r="161" spans="1:31">
      <c r="A161" s="227">
        <v>56</v>
      </c>
      <c r="B161" s="227">
        <v>4</v>
      </c>
      <c r="C161" s="227" t="s">
        <v>359</v>
      </c>
      <c r="D161" s="227" t="s">
        <v>360</v>
      </c>
      <c r="E161" s="227">
        <v>1300</v>
      </c>
      <c r="F161" s="227">
        <v>1499</v>
      </c>
      <c r="G161" s="377">
        <v>14.98</v>
      </c>
      <c r="H161" s="377">
        <v>15.58</v>
      </c>
      <c r="I161" s="228">
        <v>12.67</v>
      </c>
      <c r="J161" s="254">
        <f t="shared" si="7"/>
        <v>4.0053404539385822E-2</v>
      </c>
      <c r="AB161" s="231" t="s">
        <v>550</v>
      </c>
      <c r="AC161" s="217" t="s">
        <v>333</v>
      </c>
      <c r="AD161" s="217" t="s">
        <v>334</v>
      </c>
      <c r="AE161" s="217" t="s">
        <v>334</v>
      </c>
    </row>
    <row r="162" spans="1:31">
      <c r="A162" s="227">
        <v>56</v>
      </c>
      <c r="B162" s="227">
        <v>4</v>
      </c>
      <c r="C162" s="227" t="s">
        <v>359</v>
      </c>
      <c r="D162" s="227" t="s">
        <v>360</v>
      </c>
      <c r="E162" s="227">
        <v>1500</v>
      </c>
      <c r="F162" s="227">
        <v>1699</v>
      </c>
      <c r="G162" s="377">
        <v>16.07</v>
      </c>
      <c r="H162" s="377">
        <v>16.71</v>
      </c>
      <c r="I162" s="228">
        <v>13.6</v>
      </c>
      <c r="J162" s="254">
        <f t="shared" si="7"/>
        <v>3.9825762289981366E-2</v>
      </c>
      <c r="AB162" s="231" t="s">
        <v>551</v>
      </c>
      <c r="AC162" s="217" t="s">
        <v>333</v>
      </c>
      <c r="AD162" s="217" t="s">
        <v>334</v>
      </c>
      <c r="AE162" s="217" t="s">
        <v>334</v>
      </c>
    </row>
    <row r="163" spans="1:31">
      <c r="A163" s="227">
        <v>56</v>
      </c>
      <c r="B163" s="227">
        <v>4</v>
      </c>
      <c r="C163" s="227" t="s">
        <v>359</v>
      </c>
      <c r="D163" s="227" t="s">
        <v>360</v>
      </c>
      <c r="E163" s="227">
        <v>1700</v>
      </c>
      <c r="F163" s="227">
        <v>1899</v>
      </c>
      <c r="G163" s="377">
        <v>17.16</v>
      </c>
      <c r="H163" s="377">
        <v>17.850000000000001</v>
      </c>
      <c r="I163" s="228">
        <v>14.52</v>
      </c>
      <c r="J163" s="254">
        <f t="shared" si="7"/>
        <v>4.0209790209790285E-2</v>
      </c>
      <c r="AB163" s="231" t="s">
        <v>552</v>
      </c>
      <c r="AC163" s="217" t="s">
        <v>333</v>
      </c>
      <c r="AD163" s="217" t="s">
        <v>334</v>
      </c>
      <c r="AE163" s="217" t="s">
        <v>334</v>
      </c>
    </row>
    <row r="164" spans="1:31">
      <c r="A164" s="227">
        <v>56</v>
      </c>
      <c r="B164" s="227">
        <v>4</v>
      </c>
      <c r="C164" s="227" t="s">
        <v>359</v>
      </c>
      <c r="D164" s="227" t="s">
        <v>360</v>
      </c>
      <c r="E164" s="227">
        <v>1900</v>
      </c>
      <c r="F164" s="227">
        <v>2099</v>
      </c>
      <c r="G164" s="377">
        <v>18.25</v>
      </c>
      <c r="H164" s="377">
        <v>18.98</v>
      </c>
      <c r="I164" s="228">
        <v>15.45</v>
      </c>
      <c r="J164" s="254">
        <f t="shared" si="7"/>
        <v>4.0000000000000022E-2</v>
      </c>
      <c r="AB164" s="231" t="s">
        <v>553</v>
      </c>
      <c r="AC164" s="217" t="s">
        <v>333</v>
      </c>
      <c r="AD164" s="217" t="s">
        <v>334</v>
      </c>
      <c r="AE164" s="217" t="s">
        <v>334</v>
      </c>
    </row>
    <row r="165" spans="1:31">
      <c r="A165" s="227">
        <v>56</v>
      </c>
      <c r="B165" s="227">
        <v>4</v>
      </c>
      <c r="C165" s="227" t="s">
        <v>359</v>
      </c>
      <c r="D165" s="227" t="s">
        <v>360</v>
      </c>
      <c r="E165" s="227">
        <v>2100</v>
      </c>
      <c r="F165" s="227">
        <v>2299</v>
      </c>
      <c r="G165" s="377">
        <v>19.34</v>
      </c>
      <c r="H165" s="377">
        <v>20.11</v>
      </c>
      <c r="I165" s="228">
        <v>16.37</v>
      </c>
      <c r="J165" s="254">
        <f t="shared" si="7"/>
        <v>3.9813857290589429E-2</v>
      </c>
      <c r="AB165" s="231" t="s">
        <v>554</v>
      </c>
      <c r="AC165" s="217" t="s">
        <v>333</v>
      </c>
      <c r="AD165" s="217" t="s">
        <v>334</v>
      </c>
      <c r="AE165" s="217" t="s">
        <v>334</v>
      </c>
    </row>
    <row r="166" spans="1:31">
      <c r="A166" s="227">
        <v>56</v>
      </c>
      <c r="B166" s="227">
        <v>4</v>
      </c>
      <c r="C166" s="227" t="s">
        <v>359</v>
      </c>
      <c r="D166" s="227" t="s">
        <v>360</v>
      </c>
      <c r="E166" s="227">
        <v>2300</v>
      </c>
      <c r="F166" s="227">
        <v>2568</v>
      </c>
      <c r="G166" s="377">
        <v>20.81</v>
      </c>
      <c r="H166" s="377">
        <v>21.64</v>
      </c>
      <c r="I166" s="228">
        <v>17.62</v>
      </c>
      <c r="J166" s="254">
        <f t="shared" si="7"/>
        <v>3.9884670831331182E-2</v>
      </c>
      <c r="AB166" s="231" t="s">
        <v>555</v>
      </c>
      <c r="AC166" s="217" t="s">
        <v>333</v>
      </c>
      <c r="AD166" s="217" t="s">
        <v>334</v>
      </c>
      <c r="AE166" s="217" t="s">
        <v>334</v>
      </c>
    </row>
    <row r="167" spans="1:31">
      <c r="A167" s="238">
        <v>56</v>
      </c>
      <c r="B167" s="238">
        <v>4</v>
      </c>
      <c r="C167" s="238" t="s">
        <v>385</v>
      </c>
      <c r="D167" s="238" t="s">
        <v>386</v>
      </c>
      <c r="E167" s="265">
        <v>500</v>
      </c>
      <c r="F167" s="266">
        <v>1113</v>
      </c>
      <c r="G167" s="378">
        <f>G168</f>
        <v>18.72</v>
      </c>
      <c r="H167" s="378">
        <f>H168</f>
        <v>19.47</v>
      </c>
      <c r="AB167" s="231" t="s">
        <v>556</v>
      </c>
      <c r="AC167" s="217" t="s">
        <v>333</v>
      </c>
      <c r="AD167" s="217" t="s">
        <v>334</v>
      </c>
      <c r="AE167" s="217" t="s">
        <v>334</v>
      </c>
    </row>
    <row r="168" spans="1:31">
      <c r="A168" s="238">
        <v>56</v>
      </c>
      <c r="B168" s="238">
        <v>4</v>
      </c>
      <c r="C168" s="238" t="s">
        <v>385</v>
      </c>
      <c r="D168" s="238" t="s">
        <v>386</v>
      </c>
      <c r="E168" s="238">
        <v>1114</v>
      </c>
      <c r="F168" s="238">
        <v>1499</v>
      </c>
      <c r="G168" s="377">
        <v>18.72</v>
      </c>
      <c r="H168" s="377">
        <v>19.47</v>
      </c>
      <c r="I168" s="239">
        <v>15.84</v>
      </c>
      <c r="J168" s="254">
        <f t="shared" ref="J168:J173" si="8">(H168-G168)/G168</f>
        <v>4.0064102564102567E-2</v>
      </c>
      <c r="AB168" s="231" t="s">
        <v>557</v>
      </c>
      <c r="AC168" s="217" t="s">
        <v>333</v>
      </c>
      <c r="AD168" s="217" t="s">
        <v>334</v>
      </c>
      <c r="AE168" s="217" t="s">
        <v>334</v>
      </c>
    </row>
    <row r="169" spans="1:31">
      <c r="A169" s="227">
        <v>56</v>
      </c>
      <c r="B169" s="227">
        <v>4</v>
      </c>
      <c r="C169" s="227" t="s">
        <v>385</v>
      </c>
      <c r="D169" s="227" t="s">
        <v>386</v>
      </c>
      <c r="E169" s="227">
        <v>1500</v>
      </c>
      <c r="F169" s="227">
        <v>1999</v>
      </c>
      <c r="G169" s="377">
        <v>22.75</v>
      </c>
      <c r="H169" s="377">
        <v>23.66</v>
      </c>
      <c r="I169" s="228">
        <v>19.260000000000002</v>
      </c>
      <c r="J169" s="254">
        <f t="shared" si="8"/>
        <v>4.0000000000000008E-2</v>
      </c>
      <c r="AB169" s="231" t="s">
        <v>558</v>
      </c>
      <c r="AC169" s="217" t="s">
        <v>333</v>
      </c>
      <c r="AD169" s="217" t="s">
        <v>334</v>
      </c>
      <c r="AE169" s="217" t="s">
        <v>334</v>
      </c>
    </row>
    <row r="170" spans="1:31">
      <c r="A170" s="227">
        <v>56</v>
      </c>
      <c r="B170" s="227">
        <v>4</v>
      </c>
      <c r="C170" s="227" t="s">
        <v>385</v>
      </c>
      <c r="D170" s="227" t="s">
        <v>386</v>
      </c>
      <c r="E170" s="227">
        <v>2000</v>
      </c>
      <c r="F170" s="227">
        <v>2499</v>
      </c>
      <c r="G170" s="377">
        <v>26.79</v>
      </c>
      <c r="H170" s="377">
        <v>27.86</v>
      </c>
      <c r="I170" s="228">
        <v>22.67</v>
      </c>
      <c r="J170" s="254">
        <f t="shared" si="8"/>
        <v>3.994027622247108E-2</v>
      </c>
      <c r="AB170" s="231" t="s">
        <v>559</v>
      </c>
      <c r="AC170" s="217" t="s">
        <v>333</v>
      </c>
      <c r="AD170" s="217" t="s">
        <v>334</v>
      </c>
      <c r="AE170" s="217" t="s">
        <v>334</v>
      </c>
    </row>
    <row r="171" spans="1:31">
      <c r="A171" s="227">
        <v>56</v>
      </c>
      <c r="B171" s="227">
        <v>4</v>
      </c>
      <c r="C171" s="227" t="s">
        <v>385</v>
      </c>
      <c r="D171" s="227" t="s">
        <v>386</v>
      </c>
      <c r="E171" s="227">
        <v>2500</v>
      </c>
      <c r="F171" s="227">
        <v>2999</v>
      </c>
      <c r="G171" s="377">
        <v>30.84</v>
      </c>
      <c r="H171" s="377">
        <v>32.07</v>
      </c>
      <c r="I171" s="228">
        <v>26.09</v>
      </c>
      <c r="J171" s="254">
        <f t="shared" si="8"/>
        <v>3.9883268482490283E-2</v>
      </c>
      <c r="AB171" s="231" t="s">
        <v>560</v>
      </c>
      <c r="AC171" s="217" t="s">
        <v>333</v>
      </c>
      <c r="AD171" s="217" t="s">
        <v>334</v>
      </c>
      <c r="AE171" s="217" t="s">
        <v>334</v>
      </c>
    </row>
    <row r="172" spans="1:31">
      <c r="A172" s="227">
        <v>56</v>
      </c>
      <c r="B172" s="227">
        <v>4</v>
      </c>
      <c r="C172" s="227" t="s">
        <v>385</v>
      </c>
      <c r="D172" s="227" t="s">
        <v>386</v>
      </c>
      <c r="E172" s="227">
        <v>3000</v>
      </c>
      <c r="F172" s="227">
        <v>3599</v>
      </c>
      <c r="G172" s="377">
        <v>35.67</v>
      </c>
      <c r="H172" s="377">
        <v>37.1</v>
      </c>
      <c r="I172" s="228">
        <v>30.19</v>
      </c>
      <c r="J172" s="254">
        <f t="shared" si="8"/>
        <v>4.0089711241939996E-2</v>
      </c>
      <c r="AB172" s="231" t="s">
        <v>561</v>
      </c>
      <c r="AC172" s="217" t="s">
        <v>333</v>
      </c>
      <c r="AD172" s="217" t="s">
        <v>334</v>
      </c>
      <c r="AE172" s="217" t="s">
        <v>334</v>
      </c>
    </row>
    <row r="173" spans="1:31">
      <c r="A173" s="227">
        <v>56</v>
      </c>
      <c r="B173" s="227">
        <v>4</v>
      </c>
      <c r="C173" s="227" t="s">
        <v>385</v>
      </c>
      <c r="D173" s="227" t="s">
        <v>386</v>
      </c>
      <c r="E173" s="227">
        <v>3600</v>
      </c>
      <c r="F173" s="227">
        <v>3959</v>
      </c>
      <c r="G173" s="377">
        <v>38.58</v>
      </c>
      <c r="H173" s="377">
        <v>40.119999999999997</v>
      </c>
      <c r="I173" s="228">
        <v>32.65</v>
      </c>
      <c r="J173" s="254">
        <f t="shared" si="8"/>
        <v>3.9917055469154986E-2</v>
      </c>
      <c r="AB173" s="231" t="s">
        <v>562</v>
      </c>
      <c r="AC173" s="217" t="s">
        <v>333</v>
      </c>
      <c r="AD173" s="217" t="s">
        <v>334</v>
      </c>
      <c r="AE173" s="217" t="s">
        <v>334</v>
      </c>
    </row>
    <row r="174" spans="1:31">
      <c r="AB174" s="231" t="s">
        <v>563</v>
      </c>
      <c r="AC174" s="217" t="s">
        <v>333</v>
      </c>
      <c r="AD174" s="217" t="s">
        <v>334</v>
      </c>
      <c r="AE174" s="217" t="s">
        <v>334</v>
      </c>
    </row>
    <row r="175" spans="1:31">
      <c r="AB175" s="231" t="s">
        <v>564</v>
      </c>
      <c r="AC175" s="217" t="s">
        <v>333</v>
      </c>
      <c r="AD175" s="217" t="s">
        <v>334</v>
      </c>
      <c r="AE175" s="217" t="s">
        <v>334</v>
      </c>
    </row>
    <row r="176" spans="1:31">
      <c r="AB176" s="231" t="s">
        <v>565</v>
      </c>
      <c r="AC176" s="217" t="s">
        <v>333</v>
      </c>
      <c r="AD176" s="217" t="s">
        <v>334</v>
      </c>
      <c r="AE176" s="217" t="s">
        <v>334</v>
      </c>
    </row>
    <row r="177" spans="28:31">
      <c r="AB177" s="231" t="s">
        <v>566</v>
      </c>
      <c r="AC177" s="217" t="s">
        <v>333</v>
      </c>
      <c r="AD177" s="217" t="s">
        <v>334</v>
      </c>
      <c r="AE177" s="217" t="s">
        <v>334</v>
      </c>
    </row>
    <row r="178" spans="28:31">
      <c r="AB178" s="231" t="s">
        <v>567</v>
      </c>
      <c r="AC178" s="217" t="s">
        <v>333</v>
      </c>
      <c r="AD178" s="217" t="s">
        <v>334</v>
      </c>
      <c r="AE178" s="217" t="s">
        <v>334</v>
      </c>
    </row>
    <row r="179" spans="28:31">
      <c r="AB179" s="231" t="s">
        <v>568</v>
      </c>
      <c r="AC179" s="217" t="s">
        <v>333</v>
      </c>
      <c r="AD179" s="217" t="s">
        <v>334</v>
      </c>
      <c r="AE179" s="217" t="s">
        <v>334</v>
      </c>
    </row>
    <row r="180" spans="28:31">
      <c r="AB180" s="231" t="s">
        <v>569</v>
      </c>
      <c r="AC180" s="217" t="s">
        <v>333</v>
      </c>
      <c r="AD180" s="217" t="s">
        <v>334</v>
      </c>
      <c r="AE180" s="217" t="s">
        <v>334</v>
      </c>
    </row>
    <row r="181" spans="28:31">
      <c r="AB181" s="231" t="s">
        <v>570</v>
      </c>
      <c r="AC181" s="217" t="s">
        <v>333</v>
      </c>
      <c r="AD181" s="217" t="s">
        <v>334</v>
      </c>
      <c r="AE181" s="217" t="s">
        <v>334</v>
      </c>
    </row>
    <row r="182" spans="28:31">
      <c r="AB182" s="231" t="s">
        <v>571</v>
      </c>
      <c r="AC182" s="217" t="s">
        <v>333</v>
      </c>
      <c r="AD182" s="217" t="s">
        <v>334</v>
      </c>
      <c r="AE182" s="217" t="s">
        <v>334</v>
      </c>
    </row>
    <row r="183" spans="28:31">
      <c r="AB183" s="231" t="s">
        <v>572</v>
      </c>
      <c r="AC183" s="217" t="s">
        <v>333</v>
      </c>
      <c r="AD183" s="217" t="s">
        <v>334</v>
      </c>
      <c r="AE183" s="217" t="s">
        <v>334</v>
      </c>
    </row>
    <row r="184" spans="28:31">
      <c r="AB184" s="231" t="s">
        <v>573</v>
      </c>
      <c r="AC184" s="217" t="s">
        <v>333</v>
      </c>
      <c r="AD184" s="217" t="s">
        <v>334</v>
      </c>
      <c r="AE184" s="217" t="s">
        <v>334</v>
      </c>
    </row>
    <row r="185" spans="28:31">
      <c r="AB185" s="231" t="s">
        <v>574</v>
      </c>
      <c r="AC185" s="217" t="s">
        <v>333</v>
      </c>
      <c r="AD185" s="217" t="s">
        <v>334</v>
      </c>
      <c r="AE185" s="217" t="s">
        <v>334</v>
      </c>
    </row>
    <row r="186" spans="28:31">
      <c r="AB186" s="231" t="s">
        <v>575</v>
      </c>
      <c r="AC186" s="217" t="s">
        <v>333</v>
      </c>
      <c r="AD186" s="217" t="s">
        <v>334</v>
      </c>
      <c r="AE186" s="217" t="s">
        <v>334</v>
      </c>
    </row>
    <row r="187" spans="28:31">
      <c r="AB187" s="231" t="s">
        <v>576</v>
      </c>
      <c r="AC187" s="217" t="s">
        <v>333</v>
      </c>
      <c r="AD187" s="217" t="s">
        <v>334</v>
      </c>
      <c r="AE187" s="217" t="s">
        <v>334</v>
      </c>
    </row>
    <row r="188" spans="28:31">
      <c r="AB188" s="231" t="s">
        <v>577</v>
      </c>
      <c r="AC188" s="217" t="s">
        <v>333</v>
      </c>
      <c r="AD188" s="217" t="s">
        <v>334</v>
      </c>
      <c r="AE188" s="217" t="s">
        <v>334</v>
      </c>
    </row>
    <row r="189" spans="28:31">
      <c r="AB189" s="231" t="s">
        <v>578</v>
      </c>
      <c r="AC189" s="217" t="s">
        <v>333</v>
      </c>
      <c r="AD189" s="217" t="s">
        <v>334</v>
      </c>
      <c r="AE189" s="217" t="s">
        <v>334</v>
      </c>
    </row>
    <row r="190" spans="28:31">
      <c r="AB190" s="231" t="s">
        <v>579</v>
      </c>
      <c r="AC190" s="217" t="s">
        <v>333</v>
      </c>
      <c r="AD190" s="217" t="s">
        <v>334</v>
      </c>
      <c r="AE190" s="217" t="s">
        <v>334</v>
      </c>
    </row>
    <row r="191" spans="28:31">
      <c r="AB191" s="231" t="s">
        <v>580</v>
      </c>
      <c r="AC191" s="217" t="s">
        <v>333</v>
      </c>
      <c r="AD191" s="217" t="s">
        <v>334</v>
      </c>
      <c r="AE191" s="217" t="s">
        <v>334</v>
      </c>
    </row>
    <row r="192" spans="28:31">
      <c r="AB192" s="231" t="s">
        <v>581</v>
      </c>
      <c r="AC192" s="217" t="s">
        <v>333</v>
      </c>
      <c r="AD192" s="217" t="s">
        <v>334</v>
      </c>
      <c r="AE192" s="217" t="s">
        <v>334</v>
      </c>
    </row>
    <row r="193" spans="28:31">
      <c r="AB193" s="231" t="s">
        <v>582</v>
      </c>
      <c r="AC193" s="217" t="s">
        <v>333</v>
      </c>
      <c r="AD193" s="217" t="s">
        <v>334</v>
      </c>
      <c r="AE193" s="217" t="s">
        <v>334</v>
      </c>
    </row>
    <row r="194" spans="28:31">
      <c r="AB194" s="231" t="s">
        <v>583</v>
      </c>
      <c r="AC194" s="217" t="s">
        <v>333</v>
      </c>
      <c r="AD194" s="217" t="s">
        <v>334</v>
      </c>
      <c r="AE194" s="217" t="s">
        <v>334</v>
      </c>
    </row>
    <row r="195" spans="28:31">
      <c r="AB195" s="231" t="s">
        <v>584</v>
      </c>
      <c r="AC195" s="217" t="s">
        <v>333</v>
      </c>
      <c r="AD195" s="217" t="s">
        <v>334</v>
      </c>
      <c r="AE195" s="217" t="s">
        <v>334</v>
      </c>
    </row>
    <row r="196" spans="28:31">
      <c r="AB196" s="231" t="s">
        <v>585</v>
      </c>
      <c r="AC196" s="217" t="s">
        <v>333</v>
      </c>
      <c r="AD196" s="217" t="s">
        <v>334</v>
      </c>
      <c r="AE196" s="217" t="s">
        <v>334</v>
      </c>
    </row>
    <row r="197" spans="28:31">
      <c r="AB197" s="231" t="s">
        <v>586</v>
      </c>
      <c r="AC197" s="217" t="s">
        <v>333</v>
      </c>
      <c r="AD197" s="217" t="s">
        <v>334</v>
      </c>
      <c r="AE197" s="217" t="s">
        <v>334</v>
      </c>
    </row>
    <row r="198" spans="28:31">
      <c r="AB198" s="231" t="s">
        <v>587</v>
      </c>
      <c r="AC198" s="217" t="s">
        <v>333</v>
      </c>
      <c r="AD198" s="217" t="s">
        <v>334</v>
      </c>
      <c r="AE198" s="217" t="s">
        <v>334</v>
      </c>
    </row>
    <row r="199" spans="28:31">
      <c r="AB199" s="231" t="s">
        <v>588</v>
      </c>
      <c r="AC199" s="217" t="s">
        <v>333</v>
      </c>
      <c r="AD199" s="217" t="s">
        <v>334</v>
      </c>
      <c r="AE199" s="217" t="s">
        <v>334</v>
      </c>
    </row>
    <row r="200" spans="28:31">
      <c r="AB200" s="231" t="s">
        <v>589</v>
      </c>
      <c r="AC200" s="217" t="s">
        <v>333</v>
      </c>
      <c r="AD200" s="217" t="s">
        <v>334</v>
      </c>
      <c r="AE200" s="217" t="s">
        <v>334</v>
      </c>
    </row>
    <row r="201" spans="28:31">
      <c r="AB201" s="231" t="s">
        <v>590</v>
      </c>
      <c r="AC201" s="217" t="s">
        <v>333</v>
      </c>
      <c r="AD201" s="217" t="s">
        <v>334</v>
      </c>
      <c r="AE201" s="217" t="s">
        <v>334</v>
      </c>
    </row>
    <row r="202" spans="28:31">
      <c r="AB202" s="231" t="s">
        <v>591</v>
      </c>
      <c r="AC202" s="217" t="s">
        <v>333</v>
      </c>
      <c r="AD202" s="217" t="s">
        <v>334</v>
      </c>
      <c r="AE202" s="217" t="s">
        <v>334</v>
      </c>
    </row>
    <row r="203" spans="28:31">
      <c r="AB203" s="231" t="s">
        <v>592</v>
      </c>
      <c r="AC203" s="217" t="s">
        <v>333</v>
      </c>
      <c r="AD203" s="217" t="s">
        <v>334</v>
      </c>
      <c r="AE203" s="217" t="s">
        <v>334</v>
      </c>
    </row>
    <row r="204" spans="28:31">
      <c r="AB204" s="231" t="s">
        <v>593</v>
      </c>
      <c r="AC204" s="217" t="s">
        <v>333</v>
      </c>
      <c r="AD204" s="217" t="s">
        <v>334</v>
      </c>
      <c r="AE204" s="217" t="s">
        <v>334</v>
      </c>
    </row>
    <row r="205" spans="28:31">
      <c r="AB205" s="231" t="s">
        <v>594</v>
      </c>
      <c r="AC205" s="217" t="s">
        <v>333</v>
      </c>
      <c r="AD205" s="217" t="s">
        <v>334</v>
      </c>
      <c r="AE205" s="217" t="s">
        <v>334</v>
      </c>
    </row>
    <row r="206" spans="28:31">
      <c r="AB206" s="231" t="s">
        <v>595</v>
      </c>
      <c r="AC206" s="217" t="s">
        <v>333</v>
      </c>
      <c r="AD206" s="217" t="s">
        <v>334</v>
      </c>
      <c r="AE206" s="217" t="s">
        <v>334</v>
      </c>
    </row>
    <row r="207" spans="28:31">
      <c r="AB207" s="231" t="s">
        <v>596</v>
      </c>
      <c r="AC207" s="217" t="s">
        <v>333</v>
      </c>
      <c r="AD207" s="217" t="s">
        <v>334</v>
      </c>
      <c r="AE207" s="217" t="s">
        <v>334</v>
      </c>
    </row>
    <row r="208" spans="28:31">
      <c r="AB208" s="231" t="s">
        <v>597</v>
      </c>
      <c r="AC208" s="217" t="s">
        <v>333</v>
      </c>
      <c r="AD208" s="217" t="s">
        <v>334</v>
      </c>
      <c r="AE208" s="217" t="s">
        <v>334</v>
      </c>
    </row>
    <row r="209" spans="28:31">
      <c r="AB209" s="231" t="s">
        <v>598</v>
      </c>
      <c r="AC209" s="217" t="s">
        <v>333</v>
      </c>
      <c r="AD209" s="217" t="s">
        <v>334</v>
      </c>
      <c r="AE209" s="217" t="s">
        <v>334</v>
      </c>
    </row>
    <row r="210" spans="28:31">
      <c r="AB210" s="231" t="s">
        <v>599</v>
      </c>
      <c r="AC210" s="217" t="s">
        <v>333</v>
      </c>
      <c r="AD210" s="217" t="s">
        <v>334</v>
      </c>
      <c r="AE210" s="217" t="s">
        <v>334</v>
      </c>
    </row>
    <row r="211" spans="28:31">
      <c r="AB211" s="231" t="s">
        <v>600</v>
      </c>
      <c r="AC211" s="217" t="s">
        <v>333</v>
      </c>
      <c r="AD211" s="217" t="s">
        <v>334</v>
      </c>
      <c r="AE211" s="217" t="s">
        <v>334</v>
      </c>
    </row>
    <row r="212" spans="28:31">
      <c r="AB212" s="231" t="s">
        <v>601</v>
      </c>
      <c r="AC212" s="217" t="s">
        <v>333</v>
      </c>
      <c r="AD212" s="217" t="s">
        <v>334</v>
      </c>
      <c r="AE212" s="217" t="s">
        <v>334</v>
      </c>
    </row>
    <row r="213" spans="28:31">
      <c r="AB213" s="231" t="s">
        <v>602</v>
      </c>
      <c r="AC213" s="217" t="s">
        <v>333</v>
      </c>
      <c r="AD213" s="217" t="s">
        <v>334</v>
      </c>
      <c r="AE213" s="217" t="s">
        <v>334</v>
      </c>
    </row>
    <row r="214" spans="28:31">
      <c r="AB214" s="231" t="s">
        <v>603</v>
      </c>
      <c r="AC214" s="217" t="s">
        <v>333</v>
      </c>
      <c r="AD214" s="217" t="s">
        <v>334</v>
      </c>
      <c r="AE214" s="217" t="s">
        <v>334</v>
      </c>
    </row>
    <row r="215" spans="28:31">
      <c r="AB215" s="231" t="s">
        <v>604</v>
      </c>
      <c r="AC215" s="217" t="s">
        <v>333</v>
      </c>
      <c r="AD215" s="217" t="s">
        <v>334</v>
      </c>
      <c r="AE215" s="217" t="s">
        <v>334</v>
      </c>
    </row>
    <row r="216" spans="28:31">
      <c r="AB216" s="231" t="s">
        <v>605</v>
      </c>
      <c r="AC216" s="217" t="s">
        <v>333</v>
      </c>
      <c r="AD216" s="217" t="s">
        <v>334</v>
      </c>
      <c r="AE216" s="217" t="s">
        <v>334</v>
      </c>
    </row>
    <row r="217" spans="28:31">
      <c r="AB217" s="231" t="s">
        <v>606</v>
      </c>
      <c r="AC217" s="217" t="s">
        <v>333</v>
      </c>
      <c r="AD217" s="217" t="s">
        <v>334</v>
      </c>
      <c r="AE217" s="217" t="s">
        <v>334</v>
      </c>
    </row>
    <row r="218" spans="28:31">
      <c r="AB218" s="231" t="s">
        <v>607</v>
      </c>
      <c r="AC218" s="217" t="s">
        <v>333</v>
      </c>
      <c r="AD218" s="217" t="s">
        <v>334</v>
      </c>
      <c r="AE218" s="217" t="s">
        <v>334</v>
      </c>
    </row>
    <row r="219" spans="28:31">
      <c r="AB219" s="231" t="s">
        <v>608</v>
      </c>
      <c r="AC219" s="217" t="s">
        <v>333</v>
      </c>
      <c r="AD219" s="217" t="s">
        <v>334</v>
      </c>
      <c r="AE219" s="217" t="s">
        <v>334</v>
      </c>
    </row>
    <row r="220" spans="28:31">
      <c r="AB220" s="231" t="s">
        <v>609</v>
      </c>
      <c r="AC220" s="217" t="s">
        <v>333</v>
      </c>
      <c r="AD220" s="217" t="s">
        <v>334</v>
      </c>
      <c r="AE220" s="217" t="s">
        <v>334</v>
      </c>
    </row>
    <row r="221" spans="28:31">
      <c r="AB221" s="231" t="s">
        <v>610</v>
      </c>
      <c r="AC221" s="217" t="s">
        <v>333</v>
      </c>
      <c r="AD221" s="217" t="s">
        <v>334</v>
      </c>
      <c r="AE221" s="217" t="s">
        <v>334</v>
      </c>
    </row>
    <row r="222" spans="28:31">
      <c r="AB222" s="231" t="s">
        <v>611</v>
      </c>
      <c r="AC222" s="217" t="s">
        <v>333</v>
      </c>
      <c r="AD222" s="217" t="s">
        <v>334</v>
      </c>
      <c r="AE222" s="217" t="s">
        <v>334</v>
      </c>
    </row>
    <row r="223" spans="28:31">
      <c r="AB223" s="231" t="s">
        <v>612</v>
      </c>
      <c r="AC223" s="217" t="s">
        <v>333</v>
      </c>
      <c r="AD223" s="217" t="s">
        <v>334</v>
      </c>
      <c r="AE223" s="217" t="s">
        <v>334</v>
      </c>
    </row>
    <row r="224" spans="28:31">
      <c r="AB224" s="231" t="s">
        <v>613</v>
      </c>
      <c r="AC224" s="217" t="s">
        <v>333</v>
      </c>
      <c r="AD224" s="217" t="s">
        <v>334</v>
      </c>
      <c r="AE224" s="217" t="s">
        <v>334</v>
      </c>
    </row>
    <row r="225" spans="28:31">
      <c r="AB225" s="231" t="s">
        <v>614</v>
      </c>
      <c r="AC225" s="217" t="s">
        <v>333</v>
      </c>
      <c r="AD225" s="217" t="s">
        <v>334</v>
      </c>
      <c r="AE225" s="217" t="s">
        <v>334</v>
      </c>
    </row>
    <row r="226" spans="28:31">
      <c r="AB226" s="231" t="s">
        <v>615</v>
      </c>
      <c r="AC226" s="217" t="s">
        <v>333</v>
      </c>
      <c r="AD226" s="217" t="s">
        <v>334</v>
      </c>
      <c r="AE226" s="217" t="s">
        <v>334</v>
      </c>
    </row>
    <row r="227" spans="28:31">
      <c r="AB227" s="231" t="s">
        <v>616</v>
      </c>
      <c r="AC227" s="217" t="s">
        <v>333</v>
      </c>
      <c r="AD227" s="217" t="s">
        <v>334</v>
      </c>
      <c r="AE227" s="217" t="s">
        <v>334</v>
      </c>
    </row>
    <row r="228" spans="28:31">
      <c r="AB228" s="231" t="s">
        <v>617</v>
      </c>
      <c r="AC228" s="217" t="s">
        <v>333</v>
      </c>
      <c r="AD228" s="217" t="s">
        <v>334</v>
      </c>
      <c r="AE228" s="217" t="s">
        <v>334</v>
      </c>
    </row>
    <row r="229" spans="28:31">
      <c r="AB229" s="231" t="s">
        <v>618</v>
      </c>
      <c r="AC229" s="217" t="s">
        <v>333</v>
      </c>
      <c r="AD229" s="217" t="s">
        <v>334</v>
      </c>
      <c r="AE229" s="217" t="s">
        <v>334</v>
      </c>
    </row>
    <row r="230" spans="28:31">
      <c r="AB230" s="231" t="s">
        <v>619</v>
      </c>
      <c r="AC230" s="217" t="s">
        <v>333</v>
      </c>
      <c r="AD230" s="217" t="s">
        <v>334</v>
      </c>
      <c r="AE230" s="217" t="s">
        <v>334</v>
      </c>
    </row>
    <row r="231" spans="28:31">
      <c r="AB231" s="231" t="s">
        <v>620</v>
      </c>
      <c r="AC231" s="217" t="s">
        <v>333</v>
      </c>
      <c r="AD231" s="217" t="s">
        <v>334</v>
      </c>
      <c r="AE231" s="217" t="s">
        <v>334</v>
      </c>
    </row>
    <row r="232" spans="28:31">
      <c r="AB232" s="231" t="s">
        <v>621</v>
      </c>
      <c r="AC232" s="217" t="s">
        <v>333</v>
      </c>
      <c r="AD232" s="217" t="s">
        <v>334</v>
      </c>
      <c r="AE232" s="217" t="s">
        <v>334</v>
      </c>
    </row>
    <row r="233" spans="28:31">
      <c r="AB233" s="231" t="s">
        <v>622</v>
      </c>
      <c r="AC233" s="217" t="s">
        <v>333</v>
      </c>
      <c r="AD233" s="217" t="s">
        <v>334</v>
      </c>
      <c r="AE233" s="217" t="s">
        <v>334</v>
      </c>
    </row>
    <row r="234" spans="28:31">
      <c r="AB234" s="231" t="s">
        <v>623</v>
      </c>
      <c r="AC234" s="217" t="s">
        <v>333</v>
      </c>
      <c r="AD234" s="217" t="s">
        <v>334</v>
      </c>
      <c r="AE234" s="217" t="s">
        <v>334</v>
      </c>
    </row>
    <row r="235" spans="28:31">
      <c r="AB235" s="231" t="s">
        <v>624</v>
      </c>
      <c r="AC235" s="217" t="s">
        <v>333</v>
      </c>
      <c r="AD235" s="217" t="s">
        <v>334</v>
      </c>
      <c r="AE235" s="217" t="s">
        <v>334</v>
      </c>
    </row>
    <row r="236" spans="28:31">
      <c r="AB236" s="231" t="s">
        <v>625</v>
      </c>
      <c r="AC236" s="217" t="s">
        <v>333</v>
      </c>
      <c r="AD236" s="217" t="s">
        <v>334</v>
      </c>
      <c r="AE236" s="217" t="s">
        <v>334</v>
      </c>
    </row>
    <row r="237" spans="28:31">
      <c r="AB237" s="231" t="s">
        <v>626</v>
      </c>
      <c r="AC237" s="217" t="s">
        <v>333</v>
      </c>
      <c r="AD237" s="217" t="s">
        <v>334</v>
      </c>
      <c r="AE237" s="217" t="s">
        <v>334</v>
      </c>
    </row>
    <row r="238" spans="28:31">
      <c r="AB238" s="231" t="s">
        <v>627</v>
      </c>
      <c r="AC238" s="217" t="s">
        <v>333</v>
      </c>
      <c r="AD238" s="217" t="s">
        <v>334</v>
      </c>
      <c r="AE238" s="217" t="s">
        <v>334</v>
      </c>
    </row>
    <row r="239" spans="28:31">
      <c r="AB239" s="231" t="s">
        <v>628</v>
      </c>
      <c r="AC239" s="217" t="s">
        <v>333</v>
      </c>
      <c r="AD239" s="217" t="s">
        <v>334</v>
      </c>
      <c r="AE239" s="217" t="s">
        <v>334</v>
      </c>
    </row>
    <row r="240" spans="28:31">
      <c r="AB240" s="231" t="s">
        <v>629</v>
      </c>
      <c r="AC240" s="217" t="s">
        <v>333</v>
      </c>
      <c r="AD240" s="217" t="s">
        <v>334</v>
      </c>
      <c r="AE240" s="217" t="s">
        <v>334</v>
      </c>
    </row>
    <row r="241" spans="28:31">
      <c r="AB241" s="231" t="s">
        <v>630</v>
      </c>
      <c r="AC241" s="217" t="s">
        <v>333</v>
      </c>
      <c r="AD241" s="217" t="s">
        <v>334</v>
      </c>
      <c r="AE241" s="217" t="s">
        <v>334</v>
      </c>
    </row>
    <row r="242" spans="28:31">
      <c r="AB242" s="231" t="s">
        <v>631</v>
      </c>
      <c r="AC242" s="217" t="s">
        <v>333</v>
      </c>
      <c r="AD242" s="217" t="s">
        <v>334</v>
      </c>
      <c r="AE242" s="217" t="s">
        <v>334</v>
      </c>
    </row>
    <row r="243" spans="28:31">
      <c r="AB243" s="231" t="s">
        <v>632</v>
      </c>
      <c r="AC243" s="217" t="s">
        <v>333</v>
      </c>
      <c r="AD243" s="217" t="s">
        <v>334</v>
      </c>
      <c r="AE243" s="217" t="s">
        <v>334</v>
      </c>
    </row>
    <row r="244" spans="28:31">
      <c r="AB244" s="231" t="s">
        <v>633</v>
      </c>
      <c r="AC244" s="217" t="s">
        <v>333</v>
      </c>
      <c r="AD244" s="217" t="s">
        <v>334</v>
      </c>
      <c r="AE244" s="217" t="s">
        <v>334</v>
      </c>
    </row>
    <row r="245" spans="28:31">
      <c r="AB245" s="231" t="s">
        <v>634</v>
      </c>
      <c r="AC245" s="217" t="s">
        <v>333</v>
      </c>
      <c r="AD245" s="217" t="s">
        <v>334</v>
      </c>
      <c r="AE245" s="217" t="s">
        <v>334</v>
      </c>
    </row>
    <row r="246" spans="28:31">
      <c r="AB246" s="231" t="s">
        <v>635</v>
      </c>
      <c r="AC246" s="217" t="s">
        <v>333</v>
      </c>
      <c r="AD246" s="217" t="s">
        <v>334</v>
      </c>
      <c r="AE246" s="217" t="s">
        <v>334</v>
      </c>
    </row>
    <row r="247" spans="28:31">
      <c r="AB247" s="231" t="s">
        <v>636</v>
      </c>
      <c r="AC247" s="217" t="s">
        <v>333</v>
      </c>
      <c r="AD247" s="217" t="s">
        <v>334</v>
      </c>
      <c r="AE247" s="217" t="s">
        <v>334</v>
      </c>
    </row>
    <row r="248" spans="28:31">
      <c r="AB248" s="231" t="s">
        <v>637</v>
      </c>
      <c r="AC248" s="217" t="s">
        <v>333</v>
      </c>
      <c r="AD248" s="217" t="s">
        <v>334</v>
      </c>
      <c r="AE248" s="217" t="s">
        <v>334</v>
      </c>
    </row>
    <row r="249" spans="28:31">
      <c r="AB249" s="231" t="s">
        <v>638</v>
      </c>
      <c r="AC249" s="217" t="s">
        <v>333</v>
      </c>
      <c r="AD249" s="217" t="s">
        <v>334</v>
      </c>
      <c r="AE249" s="217" t="s">
        <v>334</v>
      </c>
    </row>
    <row r="250" spans="28:31">
      <c r="AB250" s="231" t="s">
        <v>639</v>
      </c>
      <c r="AC250" s="217" t="s">
        <v>333</v>
      </c>
      <c r="AD250" s="217" t="s">
        <v>334</v>
      </c>
      <c r="AE250" s="217" t="s">
        <v>334</v>
      </c>
    </row>
    <row r="251" spans="28:31">
      <c r="AB251" s="231" t="s">
        <v>640</v>
      </c>
      <c r="AC251" s="217" t="s">
        <v>333</v>
      </c>
      <c r="AD251" s="217" t="s">
        <v>334</v>
      </c>
      <c r="AE251" s="217" t="s">
        <v>334</v>
      </c>
    </row>
    <row r="252" spans="28:31">
      <c r="AB252" s="231" t="s">
        <v>641</v>
      </c>
      <c r="AC252" s="217" t="s">
        <v>333</v>
      </c>
      <c r="AD252" s="217" t="s">
        <v>334</v>
      </c>
      <c r="AE252" s="217" t="s">
        <v>334</v>
      </c>
    </row>
    <row r="253" spans="28:31">
      <c r="AB253" s="231" t="s">
        <v>642</v>
      </c>
      <c r="AC253" s="217" t="s">
        <v>333</v>
      </c>
      <c r="AD253" s="217" t="s">
        <v>334</v>
      </c>
      <c r="AE253" s="217" t="s">
        <v>334</v>
      </c>
    </row>
    <row r="254" spans="28:31">
      <c r="AB254" s="231" t="s">
        <v>643</v>
      </c>
      <c r="AC254" s="217" t="s">
        <v>333</v>
      </c>
      <c r="AD254" s="217" t="s">
        <v>334</v>
      </c>
      <c r="AE254" s="217" t="s">
        <v>334</v>
      </c>
    </row>
    <row r="255" spans="28:31">
      <c r="AB255" s="231" t="s">
        <v>644</v>
      </c>
      <c r="AC255" s="217" t="s">
        <v>333</v>
      </c>
      <c r="AD255" s="217" t="s">
        <v>334</v>
      </c>
      <c r="AE255" s="217" t="s">
        <v>334</v>
      </c>
    </row>
    <row r="256" spans="28:31">
      <c r="AB256" s="231" t="s">
        <v>645</v>
      </c>
      <c r="AC256" s="217" t="s">
        <v>333</v>
      </c>
      <c r="AD256" s="217" t="s">
        <v>334</v>
      </c>
      <c r="AE256" s="217" t="s">
        <v>334</v>
      </c>
    </row>
    <row r="257" spans="28:31">
      <c r="AB257" s="231" t="s">
        <v>646</v>
      </c>
      <c r="AC257" s="217" t="s">
        <v>333</v>
      </c>
      <c r="AD257" s="217" t="s">
        <v>334</v>
      </c>
      <c r="AE257" s="217" t="s">
        <v>334</v>
      </c>
    </row>
    <row r="258" spans="28:31">
      <c r="AB258" s="231" t="s">
        <v>647</v>
      </c>
      <c r="AC258" s="217" t="s">
        <v>333</v>
      </c>
      <c r="AD258" s="217" t="s">
        <v>334</v>
      </c>
      <c r="AE258" s="217" t="s">
        <v>334</v>
      </c>
    </row>
    <row r="259" spans="28:31">
      <c r="AB259" s="231" t="s">
        <v>648</v>
      </c>
      <c r="AC259" s="217" t="s">
        <v>333</v>
      </c>
      <c r="AD259" s="217" t="s">
        <v>334</v>
      </c>
      <c r="AE259" s="217" t="s">
        <v>334</v>
      </c>
    </row>
    <row r="260" spans="28:31">
      <c r="AB260" s="231" t="s">
        <v>649</v>
      </c>
      <c r="AC260" s="217" t="s">
        <v>333</v>
      </c>
      <c r="AD260" s="217" t="s">
        <v>334</v>
      </c>
      <c r="AE260" s="217" t="s">
        <v>334</v>
      </c>
    </row>
    <row r="261" spans="28:31">
      <c r="AB261" s="231" t="s">
        <v>650</v>
      </c>
      <c r="AC261" s="217" t="s">
        <v>333</v>
      </c>
      <c r="AD261" s="217" t="s">
        <v>334</v>
      </c>
      <c r="AE261" s="217" t="s">
        <v>334</v>
      </c>
    </row>
    <row r="262" spans="28:31">
      <c r="AB262" s="231" t="s">
        <v>651</v>
      </c>
      <c r="AC262" s="217" t="s">
        <v>333</v>
      </c>
      <c r="AD262" s="217" t="s">
        <v>334</v>
      </c>
      <c r="AE262" s="217" t="s">
        <v>334</v>
      </c>
    </row>
    <row r="263" spans="28:31">
      <c r="AB263" s="231" t="s">
        <v>652</v>
      </c>
      <c r="AC263" s="217" t="s">
        <v>333</v>
      </c>
      <c r="AD263" s="217" t="s">
        <v>334</v>
      </c>
      <c r="AE263" s="217" t="s">
        <v>334</v>
      </c>
    </row>
    <row r="264" spans="28:31">
      <c r="AB264" s="231" t="s">
        <v>653</v>
      </c>
      <c r="AC264" s="217" t="s">
        <v>333</v>
      </c>
      <c r="AD264" s="217" t="s">
        <v>334</v>
      </c>
      <c r="AE264" s="217" t="s">
        <v>334</v>
      </c>
    </row>
    <row r="265" spans="28:31">
      <c r="AB265" s="231" t="s">
        <v>654</v>
      </c>
      <c r="AC265" s="217" t="s">
        <v>333</v>
      </c>
      <c r="AD265" s="217" t="s">
        <v>334</v>
      </c>
      <c r="AE265" s="217" t="s">
        <v>334</v>
      </c>
    </row>
    <row r="266" spans="28:31">
      <c r="AB266" s="231" t="s">
        <v>655</v>
      </c>
      <c r="AC266" s="217" t="s">
        <v>333</v>
      </c>
      <c r="AD266" s="217" t="s">
        <v>334</v>
      </c>
      <c r="AE266" s="217" t="s">
        <v>334</v>
      </c>
    </row>
    <row r="267" spans="28:31">
      <c r="AB267" s="231" t="s">
        <v>656</v>
      </c>
      <c r="AC267" s="217" t="s">
        <v>333</v>
      </c>
      <c r="AD267" s="217" t="s">
        <v>334</v>
      </c>
      <c r="AE267" s="217" t="s">
        <v>334</v>
      </c>
    </row>
    <row r="268" spans="28:31">
      <c r="AB268" s="231" t="s">
        <v>657</v>
      </c>
      <c r="AC268" s="217" t="s">
        <v>333</v>
      </c>
      <c r="AD268" s="217" t="s">
        <v>334</v>
      </c>
      <c r="AE268" s="217" t="s">
        <v>334</v>
      </c>
    </row>
    <row r="269" spans="28:31">
      <c r="AB269" s="231" t="s">
        <v>658</v>
      </c>
      <c r="AC269" s="217" t="s">
        <v>333</v>
      </c>
      <c r="AD269" s="217" t="s">
        <v>334</v>
      </c>
      <c r="AE269" s="217" t="s">
        <v>334</v>
      </c>
    </row>
    <row r="270" spans="28:31">
      <c r="AB270" s="231" t="s">
        <v>659</v>
      </c>
      <c r="AC270" s="217" t="s">
        <v>333</v>
      </c>
      <c r="AD270" s="217" t="s">
        <v>334</v>
      </c>
      <c r="AE270" s="217" t="s">
        <v>334</v>
      </c>
    </row>
    <row r="271" spans="28:31">
      <c r="AB271" s="231" t="s">
        <v>660</v>
      </c>
      <c r="AC271" s="217" t="s">
        <v>333</v>
      </c>
      <c r="AD271" s="217" t="s">
        <v>334</v>
      </c>
      <c r="AE271" s="217" t="s">
        <v>334</v>
      </c>
    </row>
    <row r="272" spans="28:31">
      <c r="AB272" s="231" t="s">
        <v>661</v>
      </c>
      <c r="AC272" s="217" t="s">
        <v>333</v>
      </c>
      <c r="AD272" s="217" t="s">
        <v>334</v>
      </c>
      <c r="AE272" s="217" t="s">
        <v>334</v>
      </c>
    </row>
    <row r="273" spans="28:31">
      <c r="AB273" s="231" t="s">
        <v>662</v>
      </c>
      <c r="AC273" s="217" t="s">
        <v>333</v>
      </c>
      <c r="AD273" s="217" t="s">
        <v>334</v>
      </c>
      <c r="AE273" s="217" t="s">
        <v>334</v>
      </c>
    </row>
    <row r="274" spans="28:31">
      <c r="AB274" s="231" t="s">
        <v>663</v>
      </c>
      <c r="AC274" s="217" t="s">
        <v>333</v>
      </c>
      <c r="AD274" s="217" t="s">
        <v>334</v>
      </c>
      <c r="AE274" s="217" t="s">
        <v>334</v>
      </c>
    </row>
    <row r="275" spans="28:31">
      <c r="AB275" s="231" t="s">
        <v>664</v>
      </c>
      <c r="AC275" s="217" t="s">
        <v>333</v>
      </c>
      <c r="AD275" s="217" t="s">
        <v>334</v>
      </c>
      <c r="AE275" s="217" t="s">
        <v>334</v>
      </c>
    </row>
    <row r="276" spans="28:31">
      <c r="AB276" s="231" t="s">
        <v>665</v>
      </c>
      <c r="AC276" s="217" t="s">
        <v>333</v>
      </c>
      <c r="AD276" s="217" t="s">
        <v>334</v>
      </c>
      <c r="AE276" s="217" t="s">
        <v>334</v>
      </c>
    </row>
    <row r="277" spans="28:31">
      <c r="AB277" s="231" t="s">
        <v>666</v>
      </c>
      <c r="AC277" s="217" t="s">
        <v>333</v>
      </c>
      <c r="AD277" s="217" t="s">
        <v>334</v>
      </c>
      <c r="AE277" s="217" t="s">
        <v>334</v>
      </c>
    </row>
    <row r="278" spans="28:31">
      <c r="AB278" s="231" t="s">
        <v>667</v>
      </c>
      <c r="AC278" s="217" t="s">
        <v>333</v>
      </c>
      <c r="AD278" s="217" t="s">
        <v>334</v>
      </c>
      <c r="AE278" s="217" t="s">
        <v>334</v>
      </c>
    </row>
    <row r="279" spans="28:31">
      <c r="AB279" s="231" t="s">
        <v>668</v>
      </c>
      <c r="AC279" s="217" t="s">
        <v>333</v>
      </c>
      <c r="AD279" s="217" t="s">
        <v>334</v>
      </c>
      <c r="AE279" s="217" t="s">
        <v>334</v>
      </c>
    </row>
    <row r="280" spans="28:31">
      <c r="AB280" s="231" t="s">
        <v>669</v>
      </c>
      <c r="AC280" s="217" t="s">
        <v>333</v>
      </c>
      <c r="AD280" s="217" t="s">
        <v>334</v>
      </c>
      <c r="AE280" s="217" t="s">
        <v>334</v>
      </c>
    </row>
    <row r="281" spans="28:31">
      <c r="AB281" s="231" t="s">
        <v>670</v>
      </c>
      <c r="AC281" s="217" t="s">
        <v>333</v>
      </c>
      <c r="AD281" s="217" t="s">
        <v>334</v>
      </c>
      <c r="AE281" s="217" t="s">
        <v>334</v>
      </c>
    </row>
    <row r="282" spans="28:31">
      <c r="AB282" s="231" t="s">
        <v>671</v>
      </c>
      <c r="AC282" s="217" t="s">
        <v>333</v>
      </c>
      <c r="AD282" s="217" t="s">
        <v>334</v>
      </c>
      <c r="AE282" s="217" t="s">
        <v>334</v>
      </c>
    </row>
    <row r="283" spans="28:31">
      <c r="AB283" s="231" t="s">
        <v>672</v>
      </c>
      <c r="AC283" s="217" t="s">
        <v>333</v>
      </c>
      <c r="AD283" s="217" t="s">
        <v>334</v>
      </c>
      <c r="AE283" s="217" t="s">
        <v>334</v>
      </c>
    </row>
    <row r="284" spans="28:31">
      <c r="AB284" s="231" t="s">
        <v>673</v>
      </c>
      <c r="AC284" s="217" t="s">
        <v>333</v>
      </c>
      <c r="AD284" s="217" t="s">
        <v>334</v>
      </c>
      <c r="AE284" s="217" t="s">
        <v>334</v>
      </c>
    </row>
    <row r="285" spans="28:31">
      <c r="AB285" s="231" t="s">
        <v>674</v>
      </c>
      <c r="AC285" s="217" t="s">
        <v>333</v>
      </c>
      <c r="AD285" s="217" t="s">
        <v>334</v>
      </c>
      <c r="AE285" s="217" t="s">
        <v>334</v>
      </c>
    </row>
    <row r="286" spans="28:31">
      <c r="AB286" s="231" t="s">
        <v>675</v>
      </c>
      <c r="AC286" s="217" t="s">
        <v>333</v>
      </c>
      <c r="AD286" s="217" t="s">
        <v>334</v>
      </c>
      <c r="AE286" s="217" t="s">
        <v>334</v>
      </c>
    </row>
    <row r="287" spans="28:31">
      <c r="AB287" s="231" t="s">
        <v>676</v>
      </c>
      <c r="AC287" s="217" t="s">
        <v>333</v>
      </c>
      <c r="AD287" s="217" t="s">
        <v>334</v>
      </c>
      <c r="AE287" s="217" t="s">
        <v>334</v>
      </c>
    </row>
    <row r="288" spans="28:31">
      <c r="AB288" s="231" t="s">
        <v>677</v>
      </c>
      <c r="AC288" s="217" t="s">
        <v>333</v>
      </c>
      <c r="AD288" s="217" t="s">
        <v>334</v>
      </c>
      <c r="AE288" s="217" t="s">
        <v>334</v>
      </c>
    </row>
    <row r="289" spans="28:31">
      <c r="AB289" s="231" t="s">
        <v>678</v>
      </c>
      <c r="AC289" s="217" t="s">
        <v>333</v>
      </c>
      <c r="AD289" s="217" t="s">
        <v>334</v>
      </c>
      <c r="AE289" s="217" t="s">
        <v>334</v>
      </c>
    </row>
    <row r="290" spans="28:31">
      <c r="AB290" s="231" t="s">
        <v>679</v>
      </c>
      <c r="AC290" s="217" t="s">
        <v>333</v>
      </c>
      <c r="AD290" s="217" t="s">
        <v>334</v>
      </c>
      <c r="AE290" s="217" t="s">
        <v>334</v>
      </c>
    </row>
    <row r="291" spans="28:31">
      <c r="AB291" s="231" t="s">
        <v>680</v>
      </c>
      <c r="AC291" s="217" t="s">
        <v>333</v>
      </c>
      <c r="AD291" s="217" t="s">
        <v>334</v>
      </c>
      <c r="AE291" s="217" t="s">
        <v>334</v>
      </c>
    </row>
    <row r="292" spans="28:31">
      <c r="AB292" s="231" t="s">
        <v>681</v>
      </c>
      <c r="AC292" s="217" t="s">
        <v>333</v>
      </c>
      <c r="AD292" s="217" t="s">
        <v>334</v>
      </c>
      <c r="AE292" s="217" t="s">
        <v>334</v>
      </c>
    </row>
    <row r="293" spans="28:31">
      <c r="AB293" s="231" t="s">
        <v>682</v>
      </c>
      <c r="AC293" s="217" t="s">
        <v>333</v>
      </c>
      <c r="AD293" s="217" t="s">
        <v>334</v>
      </c>
      <c r="AE293" s="217" t="s">
        <v>334</v>
      </c>
    </row>
    <row r="294" spans="28:31">
      <c r="AB294" s="231" t="s">
        <v>683</v>
      </c>
      <c r="AC294" s="217" t="s">
        <v>333</v>
      </c>
      <c r="AD294" s="217" t="s">
        <v>334</v>
      </c>
      <c r="AE294" s="217" t="s">
        <v>334</v>
      </c>
    </row>
    <row r="295" spans="28:31">
      <c r="AB295" s="231" t="s">
        <v>684</v>
      </c>
      <c r="AC295" s="217" t="s">
        <v>333</v>
      </c>
      <c r="AD295" s="217" t="s">
        <v>334</v>
      </c>
      <c r="AE295" s="217" t="s">
        <v>334</v>
      </c>
    </row>
    <row r="296" spans="28:31">
      <c r="AB296" s="231" t="s">
        <v>685</v>
      </c>
      <c r="AC296" s="217" t="s">
        <v>333</v>
      </c>
      <c r="AD296" s="217" t="s">
        <v>334</v>
      </c>
      <c r="AE296" s="217" t="s">
        <v>334</v>
      </c>
    </row>
    <row r="297" spans="28:31">
      <c r="AB297" s="231" t="s">
        <v>686</v>
      </c>
      <c r="AC297" s="217" t="s">
        <v>333</v>
      </c>
      <c r="AD297" s="217" t="s">
        <v>334</v>
      </c>
      <c r="AE297" s="217" t="s">
        <v>334</v>
      </c>
    </row>
    <row r="298" spans="28:31">
      <c r="AB298" s="231" t="s">
        <v>687</v>
      </c>
      <c r="AC298" s="217" t="s">
        <v>333</v>
      </c>
      <c r="AD298" s="217" t="s">
        <v>334</v>
      </c>
      <c r="AE298" s="217" t="s">
        <v>334</v>
      </c>
    </row>
    <row r="299" spans="28:31">
      <c r="AB299" s="231" t="s">
        <v>688</v>
      </c>
      <c r="AC299" s="217" t="s">
        <v>333</v>
      </c>
      <c r="AD299" s="217" t="s">
        <v>334</v>
      </c>
      <c r="AE299" s="217" t="s">
        <v>334</v>
      </c>
    </row>
    <row r="300" spans="28:31">
      <c r="AB300" s="231" t="s">
        <v>689</v>
      </c>
      <c r="AC300" s="217" t="s">
        <v>333</v>
      </c>
      <c r="AD300" s="217" t="s">
        <v>334</v>
      </c>
      <c r="AE300" s="217" t="s">
        <v>334</v>
      </c>
    </row>
    <row r="301" spans="28:31">
      <c r="AB301" s="231" t="s">
        <v>690</v>
      </c>
      <c r="AC301" s="217" t="s">
        <v>333</v>
      </c>
      <c r="AD301" s="217" t="s">
        <v>334</v>
      </c>
      <c r="AE301" s="217" t="s">
        <v>334</v>
      </c>
    </row>
    <row r="302" spans="28:31">
      <c r="AB302" s="231" t="s">
        <v>691</v>
      </c>
      <c r="AC302" s="217" t="s">
        <v>333</v>
      </c>
      <c r="AD302" s="217" t="s">
        <v>334</v>
      </c>
      <c r="AE302" s="217" t="s">
        <v>334</v>
      </c>
    </row>
    <row r="303" spans="28:31">
      <c r="AB303" s="231" t="s">
        <v>692</v>
      </c>
      <c r="AC303" s="217" t="s">
        <v>333</v>
      </c>
      <c r="AD303" s="217" t="s">
        <v>334</v>
      </c>
      <c r="AE303" s="217" t="s">
        <v>334</v>
      </c>
    </row>
    <row r="304" spans="28:31">
      <c r="AB304" s="231" t="s">
        <v>693</v>
      </c>
      <c r="AC304" s="217" t="s">
        <v>333</v>
      </c>
      <c r="AD304" s="217" t="s">
        <v>334</v>
      </c>
      <c r="AE304" s="217" t="s">
        <v>334</v>
      </c>
    </row>
    <row r="305" spans="28:31">
      <c r="AB305" s="231" t="s">
        <v>694</v>
      </c>
      <c r="AC305" s="217" t="s">
        <v>333</v>
      </c>
      <c r="AD305" s="217" t="s">
        <v>334</v>
      </c>
      <c r="AE305" s="217" t="s">
        <v>334</v>
      </c>
    </row>
    <row r="306" spans="28:31">
      <c r="AB306" s="231" t="s">
        <v>695</v>
      </c>
      <c r="AC306" s="217" t="s">
        <v>333</v>
      </c>
      <c r="AD306" s="217" t="s">
        <v>334</v>
      </c>
      <c r="AE306" s="217" t="s">
        <v>334</v>
      </c>
    </row>
    <row r="307" spans="28:31">
      <c r="AB307" s="231" t="s">
        <v>696</v>
      </c>
      <c r="AC307" s="217" t="s">
        <v>333</v>
      </c>
      <c r="AD307" s="217" t="s">
        <v>334</v>
      </c>
      <c r="AE307" s="217" t="s">
        <v>334</v>
      </c>
    </row>
    <row r="308" spans="28:31">
      <c r="AB308" s="231" t="s">
        <v>697</v>
      </c>
      <c r="AC308" s="217" t="s">
        <v>333</v>
      </c>
      <c r="AD308" s="217" t="s">
        <v>334</v>
      </c>
      <c r="AE308" s="217" t="s">
        <v>334</v>
      </c>
    </row>
    <row r="309" spans="28:31">
      <c r="AB309" s="231" t="s">
        <v>698</v>
      </c>
      <c r="AC309" s="217" t="s">
        <v>333</v>
      </c>
      <c r="AD309" s="217" t="s">
        <v>334</v>
      </c>
      <c r="AE309" s="217" t="s">
        <v>334</v>
      </c>
    </row>
    <row r="310" spans="28:31">
      <c r="AB310" s="231" t="s">
        <v>699</v>
      </c>
      <c r="AC310" s="217" t="s">
        <v>333</v>
      </c>
      <c r="AD310" s="217" t="s">
        <v>334</v>
      </c>
      <c r="AE310" s="217" t="s">
        <v>334</v>
      </c>
    </row>
    <row r="311" spans="28:31">
      <c r="AB311" s="231" t="s">
        <v>700</v>
      </c>
      <c r="AC311" s="217" t="s">
        <v>333</v>
      </c>
      <c r="AD311" s="217" t="s">
        <v>334</v>
      </c>
      <c r="AE311" s="217" t="s">
        <v>334</v>
      </c>
    </row>
    <row r="312" spans="28:31">
      <c r="AB312" s="231" t="s">
        <v>701</v>
      </c>
      <c r="AC312" s="217" t="s">
        <v>333</v>
      </c>
      <c r="AD312" s="217" t="s">
        <v>334</v>
      </c>
      <c r="AE312" s="217" t="s">
        <v>334</v>
      </c>
    </row>
    <row r="313" spans="28:31">
      <c r="AB313" s="231" t="s">
        <v>702</v>
      </c>
      <c r="AC313" s="217" t="s">
        <v>333</v>
      </c>
      <c r="AD313" s="217" t="s">
        <v>334</v>
      </c>
      <c r="AE313" s="217" t="s">
        <v>334</v>
      </c>
    </row>
    <row r="314" spans="28:31">
      <c r="AB314" s="231" t="s">
        <v>703</v>
      </c>
      <c r="AC314" s="217" t="s">
        <v>333</v>
      </c>
      <c r="AD314" s="217" t="s">
        <v>334</v>
      </c>
      <c r="AE314" s="217" t="s">
        <v>334</v>
      </c>
    </row>
    <row r="315" spans="28:31">
      <c r="AB315" s="231" t="s">
        <v>704</v>
      </c>
      <c r="AC315" s="217" t="s">
        <v>333</v>
      </c>
      <c r="AD315" s="217" t="s">
        <v>334</v>
      </c>
      <c r="AE315" s="217" t="s">
        <v>334</v>
      </c>
    </row>
    <row r="316" spans="28:31">
      <c r="AB316" s="231" t="s">
        <v>705</v>
      </c>
      <c r="AC316" s="217" t="s">
        <v>333</v>
      </c>
      <c r="AD316" s="217" t="s">
        <v>334</v>
      </c>
      <c r="AE316" s="217" t="s">
        <v>334</v>
      </c>
    </row>
    <row r="317" spans="28:31">
      <c r="AB317" s="231" t="s">
        <v>706</v>
      </c>
      <c r="AC317" s="217" t="s">
        <v>333</v>
      </c>
      <c r="AD317" s="217" t="s">
        <v>334</v>
      </c>
      <c r="AE317" s="217" t="s">
        <v>334</v>
      </c>
    </row>
    <row r="318" spans="28:31">
      <c r="AB318" s="231" t="s">
        <v>707</v>
      </c>
      <c r="AC318" s="217" t="s">
        <v>333</v>
      </c>
      <c r="AD318" s="217" t="s">
        <v>334</v>
      </c>
      <c r="AE318" s="217" t="s">
        <v>334</v>
      </c>
    </row>
    <row r="319" spans="28:31">
      <c r="AB319" s="231" t="s">
        <v>708</v>
      </c>
      <c r="AC319" s="217" t="s">
        <v>333</v>
      </c>
      <c r="AD319" s="217" t="s">
        <v>334</v>
      </c>
      <c r="AE319" s="217" t="s">
        <v>334</v>
      </c>
    </row>
    <row r="320" spans="28:31">
      <c r="AB320" s="231" t="s">
        <v>709</v>
      </c>
      <c r="AC320" s="217" t="s">
        <v>333</v>
      </c>
      <c r="AD320" s="217" t="s">
        <v>334</v>
      </c>
      <c r="AE320" s="217" t="s">
        <v>334</v>
      </c>
    </row>
    <row r="321" spans="28:31">
      <c r="AB321" s="231" t="s">
        <v>710</v>
      </c>
      <c r="AC321" s="217" t="s">
        <v>333</v>
      </c>
      <c r="AD321" s="217" t="s">
        <v>334</v>
      </c>
      <c r="AE321" s="217" t="s">
        <v>334</v>
      </c>
    </row>
    <row r="322" spans="28:31">
      <c r="AB322" s="231" t="s">
        <v>711</v>
      </c>
      <c r="AC322" s="217" t="s">
        <v>333</v>
      </c>
      <c r="AD322" s="217" t="s">
        <v>334</v>
      </c>
      <c r="AE322" s="217" t="s">
        <v>334</v>
      </c>
    </row>
    <row r="323" spans="28:31">
      <c r="AB323" s="231" t="s">
        <v>712</v>
      </c>
      <c r="AC323" s="217" t="s">
        <v>333</v>
      </c>
      <c r="AD323" s="217" t="s">
        <v>334</v>
      </c>
      <c r="AE323" s="217" t="s">
        <v>334</v>
      </c>
    </row>
    <row r="324" spans="28:31">
      <c r="AB324" s="231" t="s">
        <v>713</v>
      </c>
      <c r="AC324" s="217" t="s">
        <v>333</v>
      </c>
      <c r="AD324" s="217" t="s">
        <v>334</v>
      </c>
      <c r="AE324" s="217" t="s">
        <v>334</v>
      </c>
    </row>
    <row r="325" spans="28:31">
      <c r="AB325" s="231" t="s">
        <v>714</v>
      </c>
      <c r="AC325" s="217" t="s">
        <v>333</v>
      </c>
      <c r="AD325" s="217" t="s">
        <v>334</v>
      </c>
      <c r="AE325" s="217" t="s">
        <v>334</v>
      </c>
    </row>
    <row r="326" spans="28:31">
      <c r="AB326" s="231" t="s">
        <v>715</v>
      </c>
      <c r="AC326" s="217" t="s">
        <v>333</v>
      </c>
      <c r="AD326" s="217" t="s">
        <v>334</v>
      </c>
      <c r="AE326" s="217" t="s">
        <v>334</v>
      </c>
    </row>
    <row r="327" spans="28:31">
      <c r="AB327" s="231" t="s">
        <v>716</v>
      </c>
      <c r="AC327" s="217" t="s">
        <v>333</v>
      </c>
      <c r="AD327" s="217" t="s">
        <v>334</v>
      </c>
      <c r="AE327" s="217" t="s">
        <v>334</v>
      </c>
    </row>
    <row r="328" spans="28:31">
      <c r="AB328" s="231" t="s">
        <v>717</v>
      </c>
      <c r="AC328" s="217" t="s">
        <v>333</v>
      </c>
      <c r="AD328" s="217" t="s">
        <v>334</v>
      </c>
      <c r="AE328" s="217" t="s">
        <v>334</v>
      </c>
    </row>
    <row r="329" spans="28:31">
      <c r="AB329" s="231" t="s">
        <v>718</v>
      </c>
      <c r="AC329" s="217" t="s">
        <v>333</v>
      </c>
      <c r="AD329" s="217" t="s">
        <v>334</v>
      </c>
      <c r="AE329" s="217" t="s">
        <v>334</v>
      </c>
    </row>
    <row r="330" spans="28:31">
      <c r="AB330" s="231" t="s">
        <v>719</v>
      </c>
      <c r="AC330" s="217" t="s">
        <v>333</v>
      </c>
      <c r="AD330" s="217" t="s">
        <v>334</v>
      </c>
      <c r="AE330" s="217" t="s">
        <v>334</v>
      </c>
    </row>
    <row r="331" spans="28:31">
      <c r="AB331" s="231" t="s">
        <v>720</v>
      </c>
      <c r="AC331" s="217" t="s">
        <v>333</v>
      </c>
      <c r="AD331" s="217" t="s">
        <v>334</v>
      </c>
      <c r="AE331" s="217" t="s">
        <v>334</v>
      </c>
    </row>
    <row r="332" spans="28:31">
      <c r="AB332" s="231" t="s">
        <v>721</v>
      </c>
      <c r="AC332" s="217" t="s">
        <v>333</v>
      </c>
      <c r="AD332" s="217" t="s">
        <v>334</v>
      </c>
      <c r="AE332" s="217" t="s">
        <v>334</v>
      </c>
    </row>
    <row r="333" spans="28:31">
      <c r="AB333" s="231" t="s">
        <v>722</v>
      </c>
      <c r="AC333" s="217" t="s">
        <v>333</v>
      </c>
      <c r="AD333" s="217" t="s">
        <v>334</v>
      </c>
      <c r="AE333" s="217" t="s">
        <v>334</v>
      </c>
    </row>
    <row r="334" spans="28:31">
      <c r="AB334" s="231" t="s">
        <v>723</v>
      </c>
      <c r="AC334" s="217" t="s">
        <v>333</v>
      </c>
      <c r="AD334" s="217" t="s">
        <v>334</v>
      </c>
      <c r="AE334" s="217" t="s">
        <v>334</v>
      </c>
    </row>
    <row r="335" spans="28:31">
      <c r="AB335" s="231" t="s">
        <v>724</v>
      </c>
      <c r="AC335" s="217" t="s">
        <v>333</v>
      </c>
      <c r="AD335" s="217" t="s">
        <v>334</v>
      </c>
      <c r="AE335" s="217" t="s">
        <v>334</v>
      </c>
    </row>
    <row r="336" spans="28:31">
      <c r="AB336" s="231" t="s">
        <v>725</v>
      </c>
      <c r="AC336" s="217" t="s">
        <v>333</v>
      </c>
      <c r="AD336" s="217" t="s">
        <v>334</v>
      </c>
      <c r="AE336" s="217" t="s">
        <v>334</v>
      </c>
    </row>
    <row r="337" spans="28:31">
      <c r="AB337" s="231" t="s">
        <v>726</v>
      </c>
      <c r="AC337" s="217" t="s">
        <v>333</v>
      </c>
      <c r="AD337" s="217" t="s">
        <v>334</v>
      </c>
      <c r="AE337" s="217" t="s">
        <v>334</v>
      </c>
    </row>
    <row r="338" spans="28:31">
      <c r="AB338" s="231" t="s">
        <v>727</v>
      </c>
      <c r="AC338" s="217" t="s">
        <v>333</v>
      </c>
      <c r="AD338" s="217" t="s">
        <v>334</v>
      </c>
      <c r="AE338" s="217" t="s">
        <v>334</v>
      </c>
    </row>
    <row r="339" spans="28:31">
      <c r="AB339" s="231" t="s">
        <v>728</v>
      </c>
      <c r="AC339" s="217" t="s">
        <v>333</v>
      </c>
      <c r="AD339" s="217" t="s">
        <v>334</v>
      </c>
      <c r="AE339" s="217" t="s">
        <v>334</v>
      </c>
    </row>
    <row r="340" spans="28:31">
      <c r="AB340" s="231" t="s">
        <v>729</v>
      </c>
      <c r="AC340" s="217" t="s">
        <v>333</v>
      </c>
      <c r="AD340" s="217" t="s">
        <v>334</v>
      </c>
      <c r="AE340" s="217" t="s">
        <v>334</v>
      </c>
    </row>
    <row r="341" spans="28:31">
      <c r="AB341" s="231" t="s">
        <v>730</v>
      </c>
      <c r="AC341" s="217" t="s">
        <v>333</v>
      </c>
      <c r="AD341" s="217" t="s">
        <v>334</v>
      </c>
      <c r="AE341" s="217" t="s">
        <v>334</v>
      </c>
    </row>
    <row r="342" spans="28:31">
      <c r="AB342" s="231" t="s">
        <v>731</v>
      </c>
      <c r="AC342" s="217" t="s">
        <v>333</v>
      </c>
      <c r="AD342" s="217" t="s">
        <v>334</v>
      </c>
      <c r="AE342" s="217" t="s">
        <v>334</v>
      </c>
    </row>
    <row r="343" spans="28:31">
      <c r="AB343" s="231" t="s">
        <v>732</v>
      </c>
      <c r="AC343" s="217" t="s">
        <v>333</v>
      </c>
      <c r="AD343" s="217" t="s">
        <v>334</v>
      </c>
      <c r="AE343" s="217" t="s">
        <v>334</v>
      </c>
    </row>
    <row r="344" spans="28:31">
      <c r="AB344" s="231" t="s">
        <v>733</v>
      </c>
      <c r="AC344" s="217" t="s">
        <v>333</v>
      </c>
      <c r="AD344" s="217" t="s">
        <v>334</v>
      </c>
      <c r="AE344" s="217" t="s">
        <v>334</v>
      </c>
    </row>
    <row r="345" spans="28:31">
      <c r="AB345" s="231" t="s">
        <v>734</v>
      </c>
      <c r="AC345" s="217" t="s">
        <v>333</v>
      </c>
      <c r="AD345" s="217" t="s">
        <v>334</v>
      </c>
      <c r="AE345" s="217" t="s">
        <v>334</v>
      </c>
    </row>
    <row r="346" spans="28:31">
      <c r="AB346" s="231" t="s">
        <v>735</v>
      </c>
      <c r="AC346" s="217" t="s">
        <v>333</v>
      </c>
      <c r="AD346" s="217" t="s">
        <v>334</v>
      </c>
      <c r="AE346" s="217" t="s">
        <v>334</v>
      </c>
    </row>
    <row r="347" spans="28:31">
      <c r="AB347" s="231" t="s">
        <v>736</v>
      </c>
      <c r="AC347" s="217" t="s">
        <v>333</v>
      </c>
      <c r="AD347" s="217" t="s">
        <v>334</v>
      </c>
      <c r="AE347" s="217" t="s">
        <v>334</v>
      </c>
    </row>
    <row r="348" spans="28:31">
      <c r="AB348" s="231" t="s">
        <v>737</v>
      </c>
      <c r="AC348" s="217" t="s">
        <v>333</v>
      </c>
      <c r="AD348" s="217" t="s">
        <v>334</v>
      </c>
      <c r="AE348" s="217" t="s">
        <v>334</v>
      </c>
    </row>
    <row r="349" spans="28:31">
      <c r="AB349" s="231" t="s">
        <v>738</v>
      </c>
      <c r="AC349" s="217" t="s">
        <v>333</v>
      </c>
      <c r="AD349" s="217" t="s">
        <v>334</v>
      </c>
      <c r="AE349" s="217" t="s">
        <v>334</v>
      </c>
    </row>
    <row r="350" spans="28:31">
      <c r="AB350" s="231" t="s">
        <v>739</v>
      </c>
      <c r="AC350" s="217" t="s">
        <v>333</v>
      </c>
      <c r="AD350" s="217" t="s">
        <v>334</v>
      </c>
      <c r="AE350" s="217" t="s">
        <v>334</v>
      </c>
    </row>
    <row r="351" spans="28:31">
      <c r="AB351" s="231" t="s">
        <v>740</v>
      </c>
      <c r="AC351" s="217" t="s">
        <v>333</v>
      </c>
      <c r="AD351" s="217" t="s">
        <v>334</v>
      </c>
      <c r="AE351" s="217" t="s">
        <v>334</v>
      </c>
    </row>
    <row r="352" spans="28:31">
      <c r="AB352" s="231" t="s">
        <v>741</v>
      </c>
      <c r="AC352" s="217" t="s">
        <v>333</v>
      </c>
      <c r="AD352" s="217" t="s">
        <v>334</v>
      </c>
      <c r="AE352" s="217" t="s">
        <v>334</v>
      </c>
    </row>
    <row r="353" spans="28:31">
      <c r="AB353" s="231" t="s">
        <v>742</v>
      </c>
      <c r="AC353" s="217" t="s">
        <v>333</v>
      </c>
      <c r="AD353" s="217" t="s">
        <v>334</v>
      </c>
      <c r="AE353" s="217" t="s">
        <v>334</v>
      </c>
    </row>
    <row r="354" spans="28:31">
      <c r="AB354" s="231" t="s">
        <v>743</v>
      </c>
      <c r="AC354" s="217" t="s">
        <v>333</v>
      </c>
      <c r="AD354" s="217" t="s">
        <v>334</v>
      </c>
      <c r="AE354" s="217" t="s">
        <v>334</v>
      </c>
    </row>
    <row r="355" spans="28:31">
      <c r="AB355" s="231" t="s">
        <v>744</v>
      </c>
      <c r="AC355" s="217" t="s">
        <v>333</v>
      </c>
      <c r="AD355" s="217" t="s">
        <v>334</v>
      </c>
      <c r="AE355" s="217" t="s">
        <v>334</v>
      </c>
    </row>
    <row r="356" spans="28:31">
      <c r="AB356" s="231" t="s">
        <v>745</v>
      </c>
      <c r="AC356" s="217" t="s">
        <v>333</v>
      </c>
      <c r="AD356" s="217" t="s">
        <v>334</v>
      </c>
      <c r="AE356" s="217" t="s">
        <v>334</v>
      </c>
    </row>
    <row r="357" spans="28:31">
      <c r="AB357" s="231" t="s">
        <v>746</v>
      </c>
      <c r="AC357" s="217" t="s">
        <v>333</v>
      </c>
      <c r="AD357" s="217" t="s">
        <v>334</v>
      </c>
      <c r="AE357" s="217" t="s">
        <v>334</v>
      </c>
    </row>
    <row r="358" spans="28:31">
      <c r="AB358" s="231" t="s">
        <v>747</v>
      </c>
      <c r="AC358" s="217" t="s">
        <v>333</v>
      </c>
      <c r="AD358" s="217" t="s">
        <v>334</v>
      </c>
      <c r="AE358" s="217" t="s">
        <v>334</v>
      </c>
    </row>
    <row r="359" spans="28:31">
      <c r="AB359" s="231" t="s">
        <v>748</v>
      </c>
      <c r="AC359" s="217" t="s">
        <v>333</v>
      </c>
      <c r="AD359" s="217" t="s">
        <v>334</v>
      </c>
      <c r="AE359" s="217" t="s">
        <v>334</v>
      </c>
    </row>
    <row r="360" spans="28:31">
      <c r="AB360" s="231" t="s">
        <v>749</v>
      </c>
      <c r="AC360" s="217" t="s">
        <v>333</v>
      </c>
      <c r="AD360" s="217" t="s">
        <v>334</v>
      </c>
      <c r="AE360" s="217" t="s">
        <v>334</v>
      </c>
    </row>
    <row r="361" spans="28:31">
      <c r="AB361" s="231" t="s">
        <v>750</v>
      </c>
      <c r="AC361" s="217" t="s">
        <v>333</v>
      </c>
      <c r="AD361" s="217" t="s">
        <v>334</v>
      </c>
      <c r="AE361" s="217" t="s">
        <v>334</v>
      </c>
    </row>
    <row r="362" spans="28:31">
      <c r="AB362" s="231" t="s">
        <v>751</v>
      </c>
      <c r="AC362" s="217" t="s">
        <v>333</v>
      </c>
      <c r="AD362" s="217" t="s">
        <v>334</v>
      </c>
      <c r="AE362" s="217" t="s">
        <v>334</v>
      </c>
    </row>
    <row r="363" spans="28:31">
      <c r="AB363" s="231" t="s">
        <v>752</v>
      </c>
      <c r="AC363" s="217" t="s">
        <v>333</v>
      </c>
      <c r="AD363" s="217" t="s">
        <v>334</v>
      </c>
      <c r="AE363" s="217" t="s">
        <v>334</v>
      </c>
    </row>
    <row r="364" spans="28:31">
      <c r="AB364" s="231" t="s">
        <v>753</v>
      </c>
      <c r="AC364" s="217" t="s">
        <v>333</v>
      </c>
      <c r="AD364" s="217" t="s">
        <v>334</v>
      </c>
      <c r="AE364" s="217" t="s">
        <v>334</v>
      </c>
    </row>
    <row r="365" spans="28:31">
      <c r="AB365" s="231" t="s">
        <v>754</v>
      </c>
      <c r="AC365" s="217" t="s">
        <v>333</v>
      </c>
      <c r="AD365" s="217" t="s">
        <v>334</v>
      </c>
      <c r="AE365" s="217" t="s">
        <v>334</v>
      </c>
    </row>
    <row r="366" spans="28:31">
      <c r="AB366" s="231" t="s">
        <v>755</v>
      </c>
      <c r="AC366" s="217" t="s">
        <v>333</v>
      </c>
      <c r="AD366" s="217" t="s">
        <v>334</v>
      </c>
      <c r="AE366" s="217" t="s">
        <v>334</v>
      </c>
    </row>
    <row r="367" spans="28:31">
      <c r="AB367" s="231" t="s">
        <v>756</v>
      </c>
      <c r="AC367" s="217" t="s">
        <v>333</v>
      </c>
      <c r="AD367" s="217" t="s">
        <v>334</v>
      </c>
      <c r="AE367" s="217" t="s">
        <v>334</v>
      </c>
    </row>
    <row r="368" spans="28:31">
      <c r="AB368" s="231" t="s">
        <v>757</v>
      </c>
      <c r="AC368" s="217" t="s">
        <v>333</v>
      </c>
      <c r="AD368" s="217" t="s">
        <v>334</v>
      </c>
      <c r="AE368" s="217" t="s">
        <v>334</v>
      </c>
    </row>
    <row r="369" spans="28:31">
      <c r="AB369" s="231" t="s">
        <v>758</v>
      </c>
      <c r="AC369" s="217" t="s">
        <v>333</v>
      </c>
      <c r="AD369" s="217" t="s">
        <v>334</v>
      </c>
      <c r="AE369" s="217" t="s">
        <v>334</v>
      </c>
    </row>
    <row r="370" spans="28:31">
      <c r="AB370" s="231" t="s">
        <v>759</v>
      </c>
      <c r="AC370" s="217" t="s">
        <v>333</v>
      </c>
      <c r="AD370" s="217" t="s">
        <v>334</v>
      </c>
      <c r="AE370" s="217" t="s">
        <v>334</v>
      </c>
    </row>
    <row r="371" spans="28:31">
      <c r="AB371" s="231" t="s">
        <v>760</v>
      </c>
      <c r="AC371" s="217" t="s">
        <v>333</v>
      </c>
      <c r="AD371" s="217" t="s">
        <v>334</v>
      </c>
      <c r="AE371" s="217" t="s">
        <v>334</v>
      </c>
    </row>
    <row r="372" spans="28:31">
      <c r="AB372" s="231" t="s">
        <v>761</v>
      </c>
      <c r="AC372" s="217" t="s">
        <v>333</v>
      </c>
      <c r="AD372" s="217" t="s">
        <v>334</v>
      </c>
      <c r="AE372" s="217" t="s">
        <v>334</v>
      </c>
    </row>
    <row r="373" spans="28:31">
      <c r="AB373" s="231" t="s">
        <v>762</v>
      </c>
      <c r="AC373" s="217" t="s">
        <v>333</v>
      </c>
      <c r="AD373" s="217" t="s">
        <v>334</v>
      </c>
      <c r="AE373" s="217" t="s">
        <v>334</v>
      </c>
    </row>
    <row r="374" spans="28:31">
      <c r="AB374" s="231" t="s">
        <v>763</v>
      </c>
      <c r="AC374" s="217" t="s">
        <v>333</v>
      </c>
      <c r="AD374" s="217" t="s">
        <v>334</v>
      </c>
      <c r="AE374" s="217" t="s">
        <v>334</v>
      </c>
    </row>
    <row r="375" spans="28:31">
      <c r="AB375" s="231" t="s">
        <v>764</v>
      </c>
      <c r="AC375" s="217" t="s">
        <v>333</v>
      </c>
      <c r="AD375" s="217" t="s">
        <v>334</v>
      </c>
      <c r="AE375" s="217" t="s">
        <v>334</v>
      </c>
    </row>
    <row r="376" spans="28:31">
      <c r="AB376" s="231" t="s">
        <v>765</v>
      </c>
      <c r="AC376" s="217" t="s">
        <v>333</v>
      </c>
      <c r="AD376" s="217" t="s">
        <v>334</v>
      </c>
      <c r="AE376" s="217" t="s">
        <v>334</v>
      </c>
    </row>
    <row r="377" spans="28:31">
      <c r="AB377" s="231" t="s">
        <v>766</v>
      </c>
      <c r="AC377" s="217" t="s">
        <v>333</v>
      </c>
      <c r="AD377" s="217" t="s">
        <v>334</v>
      </c>
      <c r="AE377" s="217" t="s">
        <v>334</v>
      </c>
    </row>
    <row r="378" spans="28:31">
      <c r="AB378" s="231" t="s">
        <v>767</v>
      </c>
      <c r="AC378" s="217" t="s">
        <v>333</v>
      </c>
      <c r="AD378" s="217" t="s">
        <v>334</v>
      </c>
      <c r="AE378" s="217" t="s">
        <v>334</v>
      </c>
    </row>
    <row r="379" spans="28:31">
      <c r="AB379" s="231" t="s">
        <v>768</v>
      </c>
      <c r="AC379" s="217" t="s">
        <v>333</v>
      </c>
      <c r="AD379" s="217" t="s">
        <v>334</v>
      </c>
      <c r="AE379" s="217" t="s">
        <v>334</v>
      </c>
    </row>
    <row r="380" spans="28:31">
      <c r="AB380" s="231" t="s">
        <v>769</v>
      </c>
      <c r="AC380" s="217" t="s">
        <v>333</v>
      </c>
      <c r="AD380" s="217" t="s">
        <v>334</v>
      </c>
      <c r="AE380" s="217" t="s">
        <v>334</v>
      </c>
    </row>
    <row r="381" spans="28:31">
      <c r="AB381" s="231" t="s">
        <v>770</v>
      </c>
      <c r="AC381" s="217" t="s">
        <v>333</v>
      </c>
      <c r="AD381" s="217" t="s">
        <v>334</v>
      </c>
      <c r="AE381" s="217" t="s">
        <v>334</v>
      </c>
    </row>
    <row r="382" spans="28:31">
      <c r="AB382" s="231" t="s">
        <v>771</v>
      </c>
      <c r="AC382" s="217" t="s">
        <v>333</v>
      </c>
      <c r="AD382" s="217" t="s">
        <v>334</v>
      </c>
      <c r="AE382" s="217" t="s">
        <v>334</v>
      </c>
    </row>
    <row r="383" spans="28:31">
      <c r="AB383" s="231" t="s">
        <v>772</v>
      </c>
      <c r="AC383" s="217" t="s">
        <v>333</v>
      </c>
      <c r="AD383" s="217" t="s">
        <v>334</v>
      </c>
      <c r="AE383" s="217" t="s">
        <v>334</v>
      </c>
    </row>
    <row r="384" spans="28:31">
      <c r="AB384" s="231" t="s">
        <v>773</v>
      </c>
      <c r="AC384" s="217" t="s">
        <v>333</v>
      </c>
      <c r="AD384" s="217" t="s">
        <v>334</v>
      </c>
      <c r="AE384" s="217" t="s">
        <v>334</v>
      </c>
    </row>
    <row r="385" spans="28:31">
      <c r="AB385" s="231" t="s">
        <v>774</v>
      </c>
      <c r="AC385" s="217" t="s">
        <v>333</v>
      </c>
      <c r="AD385" s="217" t="s">
        <v>334</v>
      </c>
      <c r="AE385" s="217" t="s">
        <v>334</v>
      </c>
    </row>
    <row r="386" spans="28:31">
      <c r="AB386" s="231" t="s">
        <v>775</v>
      </c>
      <c r="AC386" s="217" t="s">
        <v>333</v>
      </c>
      <c r="AD386" s="217" t="s">
        <v>334</v>
      </c>
      <c r="AE386" s="217" t="s">
        <v>334</v>
      </c>
    </row>
    <row r="387" spans="28:31">
      <c r="AB387" s="231" t="s">
        <v>776</v>
      </c>
      <c r="AC387" s="217" t="s">
        <v>333</v>
      </c>
      <c r="AD387" s="217" t="s">
        <v>334</v>
      </c>
      <c r="AE387" s="217" t="s">
        <v>334</v>
      </c>
    </row>
    <row r="388" spans="28:31">
      <c r="AB388" s="231" t="s">
        <v>777</v>
      </c>
      <c r="AC388" s="217" t="s">
        <v>333</v>
      </c>
      <c r="AD388" s="217" t="s">
        <v>334</v>
      </c>
      <c r="AE388" s="217" t="s">
        <v>334</v>
      </c>
    </row>
    <row r="389" spans="28:31">
      <c r="AB389" s="231" t="s">
        <v>778</v>
      </c>
      <c r="AC389" s="217" t="s">
        <v>333</v>
      </c>
      <c r="AD389" s="217" t="s">
        <v>334</v>
      </c>
      <c r="AE389" s="217" t="s">
        <v>334</v>
      </c>
    </row>
    <row r="390" spans="28:31">
      <c r="AB390" s="231" t="s">
        <v>779</v>
      </c>
      <c r="AC390" s="217" t="s">
        <v>333</v>
      </c>
      <c r="AD390" s="217" t="s">
        <v>334</v>
      </c>
      <c r="AE390" s="217" t="s">
        <v>334</v>
      </c>
    </row>
    <row r="391" spans="28:31">
      <c r="AB391" s="231" t="s">
        <v>780</v>
      </c>
      <c r="AC391" s="217" t="s">
        <v>333</v>
      </c>
      <c r="AD391" s="217" t="s">
        <v>334</v>
      </c>
      <c r="AE391" s="217" t="s">
        <v>334</v>
      </c>
    </row>
    <row r="392" spans="28:31">
      <c r="AB392" s="231" t="s">
        <v>781</v>
      </c>
      <c r="AC392" s="217" t="s">
        <v>333</v>
      </c>
      <c r="AD392" s="217" t="s">
        <v>334</v>
      </c>
      <c r="AE392" s="217" t="s">
        <v>334</v>
      </c>
    </row>
    <row r="393" spans="28:31">
      <c r="AB393" s="231" t="s">
        <v>782</v>
      </c>
      <c r="AC393" s="217" t="s">
        <v>333</v>
      </c>
      <c r="AD393" s="217" t="s">
        <v>334</v>
      </c>
      <c r="AE393" s="217" t="s">
        <v>334</v>
      </c>
    </row>
    <row r="394" spans="28:31">
      <c r="AB394" s="231" t="s">
        <v>783</v>
      </c>
      <c r="AC394" s="217" t="s">
        <v>333</v>
      </c>
      <c r="AD394" s="217" t="s">
        <v>334</v>
      </c>
      <c r="AE394" s="217" t="s">
        <v>334</v>
      </c>
    </row>
    <row r="395" spans="28:31">
      <c r="AB395" s="231" t="s">
        <v>784</v>
      </c>
      <c r="AC395" s="217" t="s">
        <v>333</v>
      </c>
      <c r="AD395" s="217" t="s">
        <v>334</v>
      </c>
      <c r="AE395" s="217" t="s">
        <v>334</v>
      </c>
    </row>
    <row r="396" spans="28:31">
      <c r="AB396" s="231" t="s">
        <v>785</v>
      </c>
      <c r="AC396" s="217" t="s">
        <v>333</v>
      </c>
      <c r="AD396" s="217" t="s">
        <v>334</v>
      </c>
      <c r="AE396" s="217" t="s">
        <v>334</v>
      </c>
    </row>
    <row r="397" spans="28:31">
      <c r="AB397" s="231" t="s">
        <v>786</v>
      </c>
      <c r="AC397" s="217" t="s">
        <v>333</v>
      </c>
      <c r="AD397" s="217" t="s">
        <v>334</v>
      </c>
      <c r="AE397" s="217" t="s">
        <v>334</v>
      </c>
    </row>
    <row r="398" spans="28:31">
      <c r="AB398" s="231" t="s">
        <v>787</v>
      </c>
      <c r="AC398" s="217" t="s">
        <v>333</v>
      </c>
      <c r="AD398" s="217" t="s">
        <v>334</v>
      </c>
      <c r="AE398" s="217" t="s">
        <v>334</v>
      </c>
    </row>
    <row r="399" spans="28:31">
      <c r="AB399" s="231" t="s">
        <v>788</v>
      </c>
      <c r="AC399" s="217" t="s">
        <v>333</v>
      </c>
      <c r="AD399" s="217" t="s">
        <v>334</v>
      </c>
      <c r="AE399" s="217" t="s">
        <v>334</v>
      </c>
    </row>
    <row r="400" spans="28:31">
      <c r="AB400" s="231" t="s">
        <v>789</v>
      </c>
      <c r="AC400" s="217" t="s">
        <v>333</v>
      </c>
      <c r="AD400" s="217" t="s">
        <v>334</v>
      </c>
      <c r="AE400" s="217" t="s">
        <v>334</v>
      </c>
    </row>
    <row r="401" spans="28:31">
      <c r="AB401" s="231" t="s">
        <v>790</v>
      </c>
      <c r="AC401" s="217" t="s">
        <v>333</v>
      </c>
      <c r="AD401" s="217" t="s">
        <v>334</v>
      </c>
      <c r="AE401" s="217" t="s">
        <v>334</v>
      </c>
    </row>
    <row r="402" spans="28:31">
      <c r="AB402" s="231" t="s">
        <v>791</v>
      </c>
      <c r="AC402" s="217" t="s">
        <v>333</v>
      </c>
      <c r="AD402" s="217" t="s">
        <v>334</v>
      </c>
      <c r="AE402" s="217" t="s">
        <v>334</v>
      </c>
    </row>
    <row r="403" spans="28:31">
      <c r="AB403" s="231" t="s">
        <v>792</v>
      </c>
      <c r="AC403" s="217" t="s">
        <v>333</v>
      </c>
      <c r="AD403" s="217" t="s">
        <v>334</v>
      </c>
      <c r="AE403" s="217" t="s">
        <v>334</v>
      </c>
    </row>
    <row r="404" spans="28:31">
      <c r="AB404" s="231" t="s">
        <v>793</v>
      </c>
      <c r="AC404" s="217" t="s">
        <v>333</v>
      </c>
      <c r="AD404" s="217" t="s">
        <v>334</v>
      </c>
      <c r="AE404" s="217" t="s">
        <v>334</v>
      </c>
    </row>
    <row r="405" spans="28:31">
      <c r="AB405" s="231" t="s">
        <v>794</v>
      </c>
      <c r="AC405" s="217" t="s">
        <v>333</v>
      </c>
      <c r="AD405" s="217" t="s">
        <v>334</v>
      </c>
      <c r="AE405" s="217" t="s">
        <v>334</v>
      </c>
    </row>
    <row r="406" spans="28:31">
      <c r="AB406" s="231" t="s">
        <v>795</v>
      </c>
      <c r="AC406" s="217" t="s">
        <v>333</v>
      </c>
      <c r="AD406" s="217" t="s">
        <v>334</v>
      </c>
      <c r="AE406" s="217" t="s">
        <v>334</v>
      </c>
    </row>
    <row r="407" spans="28:31">
      <c r="AB407" s="231" t="s">
        <v>796</v>
      </c>
      <c r="AC407" s="217" t="s">
        <v>333</v>
      </c>
      <c r="AD407" s="217" t="s">
        <v>334</v>
      </c>
      <c r="AE407" s="217" t="s">
        <v>334</v>
      </c>
    </row>
    <row r="408" spans="28:31">
      <c r="AB408" s="231" t="s">
        <v>797</v>
      </c>
      <c r="AC408" s="217" t="s">
        <v>333</v>
      </c>
      <c r="AD408" s="217" t="s">
        <v>334</v>
      </c>
      <c r="AE408" s="217" t="s">
        <v>334</v>
      </c>
    </row>
    <row r="409" spans="28:31">
      <c r="AB409" s="231" t="s">
        <v>798</v>
      </c>
      <c r="AC409" s="217" t="s">
        <v>333</v>
      </c>
      <c r="AD409" s="217" t="s">
        <v>334</v>
      </c>
      <c r="AE409" s="217" t="s">
        <v>334</v>
      </c>
    </row>
    <row r="410" spans="28:31">
      <c r="AB410" s="231" t="s">
        <v>799</v>
      </c>
      <c r="AC410" s="217" t="s">
        <v>333</v>
      </c>
      <c r="AD410" s="217" t="s">
        <v>334</v>
      </c>
      <c r="AE410" s="217" t="s">
        <v>334</v>
      </c>
    </row>
    <row r="411" spans="28:31">
      <c r="AB411" s="231" t="s">
        <v>800</v>
      </c>
      <c r="AC411" s="217" t="s">
        <v>333</v>
      </c>
      <c r="AD411" s="217" t="s">
        <v>334</v>
      </c>
      <c r="AE411" s="217" t="s">
        <v>334</v>
      </c>
    </row>
    <row r="412" spans="28:31">
      <c r="AB412" s="231" t="s">
        <v>801</v>
      </c>
      <c r="AC412" s="217" t="s">
        <v>333</v>
      </c>
      <c r="AD412" s="217" t="s">
        <v>334</v>
      </c>
      <c r="AE412" s="217" t="s">
        <v>334</v>
      </c>
    </row>
    <row r="413" spans="28:31">
      <c r="AB413" s="231" t="s">
        <v>802</v>
      </c>
      <c r="AC413" s="217" t="s">
        <v>333</v>
      </c>
      <c r="AD413" s="217" t="s">
        <v>334</v>
      </c>
      <c r="AE413" s="217" t="s">
        <v>334</v>
      </c>
    </row>
    <row r="414" spans="28:31">
      <c r="AB414" s="231" t="s">
        <v>803</v>
      </c>
      <c r="AC414" s="217" t="s">
        <v>333</v>
      </c>
      <c r="AD414" s="217" t="s">
        <v>334</v>
      </c>
      <c r="AE414" s="217" t="s">
        <v>334</v>
      </c>
    </row>
    <row r="415" spans="28:31">
      <c r="AB415" s="231" t="s">
        <v>804</v>
      </c>
      <c r="AC415" s="217" t="s">
        <v>333</v>
      </c>
      <c r="AD415" s="217" t="s">
        <v>334</v>
      </c>
      <c r="AE415" s="217" t="s">
        <v>334</v>
      </c>
    </row>
    <row r="416" spans="28:31">
      <c r="AB416" s="231" t="s">
        <v>805</v>
      </c>
      <c r="AC416" s="217" t="s">
        <v>333</v>
      </c>
      <c r="AD416" s="217" t="s">
        <v>334</v>
      </c>
      <c r="AE416" s="217" t="s">
        <v>334</v>
      </c>
    </row>
    <row r="417" spans="28:31">
      <c r="AB417" s="231" t="s">
        <v>806</v>
      </c>
      <c r="AC417" s="217" t="s">
        <v>333</v>
      </c>
      <c r="AD417" s="217" t="s">
        <v>334</v>
      </c>
      <c r="AE417" s="217" t="s">
        <v>334</v>
      </c>
    </row>
    <row r="418" spans="28:31">
      <c r="AB418" s="231" t="s">
        <v>807</v>
      </c>
      <c r="AC418" s="217" t="s">
        <v>333</v>
      </c>
      <c r="AD418" s="217" t="s">
        <v>334</v>
      </c>
      <c r="AE418" s="217" t="s">
        <v>334</v>
      </c>
    </row>
    <row r="419" spans="28:31">
      <c r="AB419" s="231" t="s">
        <v>808</v>
      </c>
      <c r="AC419" s="217" t="s">
        <v>333</v>
      </c>
      <c r="AD419" s="217" t="s">
        <v>334</v>
      </c>
      <c r="AE419" s="217" t="s">
        <v>334</v>
      </c>
    </row>
    <row r="420" spans="28:31">
      <c r="AB420" s="231" t="s">
        <v>809</v>
      </c>
      <c r="AC420" s="217" t="s">
        <v>333</v>
      </c>
      <c r="AD420" s="217" t="s">
        <v>334</v>
      </c>
      <c r="AE420" s="217" t="s">
        <v>334</v>
      </c>
    </row>
    <row r="421" spans="28:31">
      <c r="AB421" s="231" t="s">
        <v>810</v>
      </c>
      <c r="AC421" s="217" t="s">
        <v>333</v>
      </c>
      <c r="AD421" s="217" t="s">
        <v>334</v>
      </c>
      <c r="AE421" s="217" t="s">
        <v>334</v>
      </c>
    </row>
    <row r="422" spans="28:31">
      <c r="AB422" s="231" t="s">
        <v>811</v>
      </c>
      <c r="AC422" s="217" t="s">
        <v>333</v>
      </c>
      <c r="AD422" s="217" t="s">
        <v>334</v>
      </c>
      <c r="AE422" s="217" t="s">
        <v>334</v>
      </c>
    </row>
    <row r="423" spans="28:31">
      <c r="AB423" s="231" t="s">
        <v>812</v>
      </c>
      <c r="AC423" s="217" t="s">
        <v>333</v>
      </c>
      <c r="AD423" s="217" t="s">
        <v>334</v>
      </c>
      <c r="AE423" s="217" t="s">
        <v>334</v>
      </c>
    </row>
    <row r="424" spans="28:31">
      <c r="AB424" s="231" t="s">
        <v>813</v>
      </c>
      <c r="AC424" s="217" t="s">
        <v>333</v>
      </c>
      <c r="AD424" s="217" t="s">
        <v>334</v>
      </c>
      <c r="AE424" s="217" t="s">
        <v>334</v>
      </c>
    </row>
    <row r="425" spans="28:31">
      <c r="AB425" s="231" t="s">
        <v>814</v>
      </c>
      <c r="AC425" s="217" t="s">
        <v>333</v>
      </c>
      <c r="AD425" s="217" t="s">
        <v>334</v>
      </c>
      <c r="AE425" s="217" t="s">
        <v>334</v>
      </c>
    </row>
    <row r="426" spans="28:31">
      <c r="AB426" s="231" t="s">
        <v>815</v>
      </c>
      <c r="AC426" s="217" t="s">
        <v>333</v>
      </c>
      <c r="AD426" s="217" t="s">
        <v>334</v>
      </c>
      <c r="AE426" s="217" t="s">
        <v>334</v>
      </c>
    </row>
    <row r="427" spans="28:31">
      <c r="AB427" s="231" t="s">
        <v>816</v>
      </c>
      <c r="AC427" s="217" t="s">
        <v>333</v>
      </c>
      <c r="AD427" s="217" t="s">
        <v>334</v>
      </c>
      <c r="AE427" s="217" t="s">
        <v>334</v>
      </c>
    </row>
    <row r="428" spans="28:31">
      <c r="AB428" s="231" t="s">
        <v>817</v>
      </c>
      <c r="AC428" s="217" t="s">
        <v>333</v>
      </c>
      <c r="AD428" s="217" t="s">
        <v>334</v>
      </c>
      <c r="AE428" s="217" t="s">
        <v>334</v>
      </c>
    </row>
    <row r="429" spans="28:31">
      <c r="AB429" s="231" t="s">
        <v>818</v>
      </c>
      <c r="AC429" s="217" t="s">
        <v>333</v>
      </c>
      <c r="AD429" s="217" t="s">
        <v>334</v>
      </c>
      <c r="AE429" s="217" t="s">
        <v>334</v>
      </c>
    </row>
    <row r="430" spans="28:31">
      <c r="AB430" s="231" t="s">
        <v>819</v>
      </c>
      <c r="AC430" s="217" t="s">
        <v>333</v>
      </c>
      <c r="AD430" s="217" t="s">
        <v>334</v>
      </c>
      <c r="AE430" s="217" t="s">
        <v>334</v>
      </c>
    </row>
    <row r="431" spans="28:31">
      <c r="AB431" s="231" t="s">
        <v>820</v>
      </c>
      <c r="AC431" s="217" t="s">
        <v>333</v>
      </c>
      <c r="AD431" s="217" t="s">
        <v>334</v>
      </c>
      <c r="AE431" s="217" t="s">
        <v>334</v>
      </c>
    </row>
    <row r="432" spans="28:31">
      <c r="AB432" s="231" t="s">
        <v>821</v>
      </c>
      <c r="AC432" s="217" t="s">
        <v>333</v>
      </c>
      <c r="AD432" s="217" t="s">
        <v>334</v>
      </c>
      <c r="AE432" s="217" t="s">
        <v>334</v>
      </c>
    </row>
    <row r="433" spans="28:31">
      <c r="AB433" s="231" t="s">
        <v>822</v>
      </c>
      <c r="AC433" s="217" t="s">
        <v>333</v>
      </c>
      <c r="AD433" s="217" t="s">
        <v>334</v>
      </c>
      <c r="AE433" s="217" t="s">
        <v>334</v>
      </c>
    </row>
    <row r="434" spans="28:31">
      <c r="AB434" s="231" t="s">
        <v>823</v>
      </c>
      <c r="AC434" s="217" t="s">
        <v>333</v>
      </c>
      <c r="AD434" s="217" t="s">
        <v>334</v>
      </c>
      <c r="AE434" s="217" t="s">
        <v>334</v>
      </c>
    </row>
    <row r="435" spans="28:31">
      <c r="AB435" s="231" t="s">
        <v>824</v>
      </c>
      <c r="AC435" s="217" t="s">
        <v>333</v>
      </c>
      <c r="AD435" s="217" t="s">
        <v>334</v>
      </c>
      <c r="AE435" s="217" t="s">
        <v>334</v>
      </c>
    </row>
    <row r="436" spans="28:31">
      <c r="AB436" s="231" t="s">
        <v>825</v>
      </c>
      <c r="AC436" s="217" t="s">
        <v>333</v>
      </c>
      <c r="AD436" s="217" t="s">
        <v>334</v>
      </c>
      <c r="AE436" s="217" t="s">
        <v>334</v>
      </c>
    </row>
    <row r="437" spans="28:31">
      <c r="AB437" s="231" t="s">
        <v>826</v>
      </c>
      <c r="AC437" s="217" t="s">
        <v>333</v>
      </c>
      <c r="AD437" s="217" t="s">
        <v>334</v>
      </c>
      <c r="AE437" s="217" t="s">
        <v>334</v>
      </c>
    </row>
    <row r="438" spans="28:31">
      <c r="AB438" s="231" t="s">
        <v>827</v>
      </c>
      <c r="AC438" s="217" t="s">
        <v>333</v>
      </c>
      <c r="AD438" s="217" t="s">
        <v>334</v>
      </c>
      <c r="AE438" s="217" t="s">
        <v>334</v>
      </c>
    </row>
    <row r="439" spans="28:31">
      <c r="AB439" s="231" t="s">
        <v>828</v>
      </c>
      <c r="AC439" s="217" t="s">
        <v>333</v>
      </c>
      <c r="AD439" s="217" t="s">
        <v>334</v>
      </c>
      <c r="AE439" s="217" t="s">
        <v>334</v>
      </c>
    </row>
    <row r="440" spans="28:31">
      <c r="AB440" s="231" t="s">
        <v>829</v>
      </c>
      <c r="AC440" s="217" t="s">
        <v>333</v>
      </c>
      <c r="AD440" s="217" t="s">
        <v>334</v>
      </c>
      <c r="AE440" s="217" t="s">
        <v>334</v>
      </c>
    </row>
    <row r="441" spans="28:31">
      <c r="AB441" s="231" t="s">
        <v>830</v>
      </c>
      <c r="AC441" s="217" t="s">
        <v>333</v>
      </c>
      <c r="AD441" s="217" t="s">
        <v>334</v>
      </c>
      <c r="AE441" s="217" t="s">
        <v>334</v>
      </c>
    </row>
    <row r="442" spans="28:31">
      <c r="AB442" s="231" t="s">
        <v>831</v>
      </c>
      <c r="AC442" s="217" t="s">
        <v>333</v>
      </c>
      <c r="AD442" s="217" t="s">
        <v>334</v>
      </c>
      <c r="AE442" s="217" t="s">
        <v>334</v>
      </c>
    </row>
    <row r="443" spans="28:31">
      <c r="AB443" s="231" t="s">
        <v>832</v>
      </c>
      <c r="AC443" s="217" t="s">
        <v>333</v>
      </c>
      <c r="AD443" s="217" t="s">
        <v>334</v>
      </c>
      <c r="AE443" s="217" t="s">
        <v>334</v>
      </c>
    </row>
    <row r="444" spans="28:31">
      <c r="AB444" s="231" t="s">
        <v>833</v>
      </c>
      <c r="AC444" s="217" t="s">
        <v>333</v>
      </c>
      <c r="AD444" s="217" t="s">
        <v>334</v>
      </c>
      <c r="AE444" s="217" t="s">
        <v>334</v>
      </c>
    </row>
    <row r="445" spans="28:31">
      <c r="AB445" s="231" t="s">
        <v>834</v>
      </c>
      <c r="AC445" s="217" t="s">
        <v>333</v>
      </c>
      <c r="AD445" s="217" t="s">
        <v>334</v>
      </c>
      <c r="AE445" s="217" t="s">
        <v>334</v>
      </c>
    </row>
    <row r="446" spans="28:31">
      <c r="AB446" s="231" t="s">
        <v>835</v>
      </c>
      <c r="AC446" s="217" t="s">
        <v>333</v>
      </c>
      <c r="AD446" s="217" t="s">
        <v>334</v>
      </c>
      <c r="AE446" s="217" t="s">
        <v>334</v>
      </c>
    </row>
    <row r="447" spans="28:31">
      <c r="AB447" s="231" t="s">
        <v>836</v>
      </c>
      <c r="AC447" s="217" t="s">
        <v>333</v>
      </c>
      <c r="AD447" s="217" t="s">
        <v>334</v>
      </c>
      <c r="AE447" s="217" t="s">
        <v>334</v>
      </c>
    </row>
    <row r="448" spans="28:31">
      <c r="AB448" s="231" t="s">
        <v>837</v>
      </c>
      <c r="AC448" s="217" t="s">
        <v>333</v>
      </c>
      <c r="AD448" s="217" t="s">
        <v>334</v>
      </c>
      <c r="AE448" s="217" t="s">
        <v>334</v>
      </c>
    </row>
    <row r="449" spans="28:31">
      <c r="AB449" s="231" t="s">
        <v>838</v>
      </c>
      <c r="AC449" s="217" t="s">
        <v>333</v>
      </c>
      <c r="AD449" s="217" t="s">
        <v>334</v>
      </c>
      <c r="AE449" s="217" t="s">
        <v>334</v>
      </c>
    </row>
    <row r="450" spans="28:31">
      <c r="AB450" s="231" t="s">
        <v>839</v>
      </c>
      <c r="AC450" s="217" t="s">
        <v>333</v>
      </c>
      <c r="AD450" s="217" t="s">
        <v>334</v>
      </c>
      <c r="AE450" s="217" t="s">
        <v>334</v>
      </c>
    </row>
    <row r="451" spans="28:31">
      <c r="AB451" s="231" t="s">
        <v>840</v>
      </c>
      <c r="AC451" s="217" t="s">
        <v>333</v>
      </c>
      <c r="AD451" s="217" t="s">
        <v>334</v>
      </c>
      <c r="AE451" s="217" t="s">
        <v>334</v>
      </c>
    </row>
    <row r="452" spans="28:31">
      <c r="AB452" s="231" t="s">
        <v>841</v>
      </c>
      <c r="AC452" s="217" t="s">
        <v>333</v>
      </c>
      <c r="AD452" s="217" t="s">
        <v>334</v>
      </c>
      <c r="AE452" s="217" t="s">
        <v>334</v>
      </c>
    </row>
    <row r="453" spans="28:31">
      <c r="AB453" s="231" t="s">
        <v>842</v>
      </c>
      <c r="AC453" s="217" t="s">
        <v>333</v>
      </c>
      <c r="AD453" s="217" t="s">
        <v>334</v>
      </c>
      <c r="AE453" s="217" t="s">
        <v>334</v>
      </c>
    </row>
    <row r="454" spans="28:31">
      <c r="AB454" s="231" t="s">
        <v>843</v>
      </c>
      <c r="AC454" s="217" t="s">
        <v>333</v>
      </c>
      <c r="AD454" s="217" t="s">
        <v>334</v>
      </c>
      <c r="AE454" s="217" t="s">
        <v>334</v>
      </c>
    </row>
    <row r="455" spans="28:31">
      <c r="AB455" s="231" t="s">
        <v>844</v>
      </c>
      <c r="AC455" s="217" t="s">
        <v>333</v>
      </c>
      <c r="AD455" s="217" t="s">
        <v>334</v>
      </c>
      <c r="AE455" s="217" t="s">
        <v>334</v>
      </c>
    </row>
    <row r="456" spans="28:31">
      <c r="AB456" s="231" t="s">
        <v>845</v>
      </c>
      <c r="AC456" s="217" t="s">
        <v>333</v>
      </c>
      <c r="AD456" s="217" t="s">
        <v>334</v>
      </c>
      <c r="AE456" s="217" t="s">
        <v>334</v>
      </c>
    </row>
    <row r="457" spans="28:31">
      <c r="AB457" s="231" t="s">
        <v>846</v>
      </c>
      <c r="AC457" s="217" t="s">
        <v>333</v>
      </c>
      <c r="AD457" s="217" t="s">
        <v>334</v>
      </c>
      <c r="AE457" s="217" t="s">
        <v>334</v>
      </c>
    </row>
    <row r="458" spans="28:31">
      <c r="AB458" s="231" t="s">
        <v>847</v>
      </c>
      <c r="AC458" s="217" t="s">
        <v>333</v>
      </c>
      <c r="AD458" s="217" t="s">
        <v>334</v>
      </c>
      <c r="AE458" s="217" t="s">
        <v>334</v>
      </c>
    </row>
    <row r="459" spans="28:31">
      <c r="AB459" s="231" t="s">
        <v>848</v>
      </c>
      <c r="AC459" s="217" t="s">
        <v>333</v>
      </c>
      <c r="AD459" s="217" t="s">
        <v>334</v>
      </c>
      <c r="AE459" s="217" t="s">
        <v>334</v>
      </c>
    </row>
    <row r="460" spans="28:31">
      <c r="AB460" s="231" t="s">
        <v>849</v>
      </c>
      <c r="AC460" s="217" t="s">
        <v>333</v>
      </c>
      <c r="AD460" s="217" t="s">
        <v>334</v>
      </c>
      <c r="AE460" s="217" t="s">
        <v>334</v>
      </c>
    </row>
    <row r="461" spans="28:31">
      <c r="AB461" s="231" t="s">
        <v>850</v>
      </c>
      <c r="AC461" s="217" t="s">
        <v>333</v>
      </c>
      <c r="AD461" s="217" t="s">
        <v>334</v>
      </c>
      <c r="AE461" s="217" t="s">
        <v>334</v>
      </c>
    </row>
    <row r="462" spans="28:31">
      <c r="AB462" s="231" t="s">
        <v>851</v>
      </c>
      <c r="AC462" s="217" t="s">
        <v>333</v>
      </c>
      <c r="AD462" s="217" t="s">
        <v>334</v>
      </c>
      <c r="AE462" s="217" t="s">
        <v>334</v>
      </c>
    </row>
    <row r="463" spans="28:31">
      <c r="AB463" s="231" t="s">
        <v>852</v>
      </c>
      <c r="AC463" s="217" t="s">
        <v>333</v>
      </c>
      <c r="AD463" s="217" t="s">
        <v>334</v>
      </c>
      <c r="AE463" s="217" t="s">
        <v>334</v>
      </c>
    </row>
    <row r="464" spans="28:31">
      <c r="AB464" s="231" t="s">
        <v>853</v>
      </c>
      <c r="AC464" s="217" t="s">
        <v>333</v>
      </c>
      <c r="AD464" s="217" t="s">
        <v>334</v>
      </c>
      <c r="AE464" s="217" t="s">
        <v>334</v>
      </c>
    </row>
    <row r="465" spans="28:31">
      <c r="AB465" s="231" t="s">
        <v>854</v>
      </c>
      <c r="AC465" s="217" t="s">
        <v>333</v>
      </c>
      <c r="AD465" s="217" t="s">
        <v>334</v>
      </c>
      <c r="AE465" s="217" t="s">
        <v>334</v>
      </c>
    </row>
    <row r="466" spans="28:31">
      <c r="AB466" s="231" t="s">
        <v>855</v>
      </c>
      <c r="AC466" s="217" t="s">
        <v>333</v>
      </c>
      <c r="AD466" s="217" t="s">
        <v>334</v>
      </c>
      <c r="AE466" s="217" t="s">
        <v>334</v>
      </c>
    </row>
    <row r="467" spans="28:31">
      <c r="AB467" s="231" t="s">
        <v>856</v>
      </c>
      <c r="AC467" s="217" t="s">
        <v>333</v>
      </c>
      <c r="AD467" s="217" t="s">
        <v>334</v>
      </c>
      <c r="AE467" s="217" t="s">
        <v>334</v>
      </c>
    </row>
    <row r="468" spans="28:31">
      <c r="AB468" s="231" t="s">
        <v>857</v>
      </c>
      <c r="AC468" s="217" t="s">
        <v>333</v>
      </c>
      <c r="AD468" s="217" t="s">
        <v>334</v>
      </c>
      <c r="AE468" s="217" t="s">
        <v>334</v>
      </c>
    </row>
    <row r="469" spans="28:31">
      <c r="AB469" s="231" t="s">
        <v>858</v>
      </c>
      <c r="AC469" s="217" t="s">
        <v>333</v>
      </c>
      <c r="AD469" s="217" t="s">
        <v>334</v>
      </c>
      <c r="AE469" s="217" t="s">
        <v>334</v>
      </c>
    </row>
    <row r="470" spans="28:31">
      <c r="AB470" s="231" t="s">
        <v>859</v>
      </c>
      <c r="AC470" s="217" t="s">
        <v>333</v>
      </c>
      <c r="AD470" s="217" t="s">
        <v>334</v>
      </c>
      <c r="AE470" s="217" t="s">
        <v>334</v>
      </c>
    </row>
    <row r="471" spans="28:31">
      <c r="AB471" s="231" t="s">
        <v>860</v>
      </c>
      <c r="AC471" s="217" t="s">
        <v>333</v>
      </c>
      <c r="AD471" s="217" t="s">
        <v>334</v>
      </c>
      <c r="AE471" s="217" t="s">
        <v>334</v>
      </c>
    </row>
    <row r="472" spans="28:31">
      <c r="AB472" s="231" t="s">
        <v>861</v>
      </c>
      <c r="AC472" s="217" t="s">
        <v>333</v>
      </c>
      <c r="AD472" s="217" t="s">
        <v>334</v>
      </c>
      <c r="AE472" s="217" t="s">
        <v>334</v>
      </c>
    </row>
    <row r="473" spans="28:31">
      <c r="AB473" s="231" t="s">
        <v>862</v>
      </c>
      <c r="AC473" s="217" t="s">
        <v>333</v>
      </c>
      <c r="AD473" s="217" t="s">
        <v>334</v>
      </c>
      <c r="AE473" s="217" t="s">
        <v>334</v>
      </c>
    </row>
    <row r="474" spans="28:31">
      <c r="AB474" s="231" t="s">
        <v>863</v>
      </c>
      <c r="AC474" s="217" t="s">
        <v>333</v>
      </c>
      <c r="AD474" s="217" t="s">
        <v>334</v>
      </c>
      <c r="AE474" s="217" t="s">
        <v>334</v>
      </c>
    </row>
    <row r="475" spans="28:31">
      <c r="AB475" s="231" t="s">
        <v>864</v>
      </c>
      <c r="AC475" s="217" t="s">
        <v>333</v>
      </c>
      <c r="AD475" s="217" t="s">
        <v>334</v>
      </c>
      <c r="AE475" s="217" t="s">
        <v>334</v>
      </c>
    </row>
    <row r="476" spans="28:31">
      <c r="AB476" s="231" t="s">
        <v>865</v>
      </c>
      <c r="AC476" s="217" t="s">
        <v>333</v>
      </c>
      <c r="AD476" s="217" t="s">
        <v>334</v>
      </c>
      <c r="AE476" s="217" t="s">
        <v>334</v>
      </c>
    </row>
    <row r="477" spans="28:31">
      <c r="AB477" s="231" t="s">
        <v>866</v>
      </c>
      <c r="AC477" s="217" t="s">
        <v>333</v>
      </c>
      <c r="AD477" s="217" t="s">
        <v>334</v>
      </c>
      <c r="AE477" s="217" t="s">
        <v>334</v>
      </c>
    </row>
    <row r="478" spans="28:31">
      <c r="AB478" s="231" t="s">
        <v>867</v>
      </c>
      <c r="AC478" s="217" t="s">
        <v>333</v>
      </c>
      <c r="AD478" s="217" t="s">
        <v>334</v>
      </c>
      <c r="AE478" s="217" t="s">
        <v>334</v>
      </c>
    </row>
    <row r="479" spans="28:31">
      <c r="AB479" s="231" t="s">
        <v>868</v>
      </c>
      <c r="AC479" s="217" t="s">
        <v>333</v>
      </c>
      <c r="AD479" s="217" t="s">
        <v>334</v>
      </c>
      <c r="AE479" s="217" t="s">
        <v>334</v>
      </c>
    </row>
    <row r="480" spans="28:31">
      <c r="AB480" s="231" t="s">
        <v>869</v>
      </c>
      <c r="AC480" s="217" t="s">
        <v>333</v>
      </c>
      <c r="AD480" s="217" t="s">
        <v>334</v>
      </c>
      <c r="AE480" s="217" t="s">
        <v>334</v>
      </c>
    </row>
    <row r="481" spans="28:31">
      <c r="AB481" s="231" t="s">
        <v>870</v>
      </c>
      <c r="AC481" s="217" t="s">
        <v>333</v>
      </c>
      <c r="AD481" s="217" t="s">
        <v>334</v>
      </c>
      <c r="AE481" s="217" t="s">
        <v>334</v>
      </c>
    </row>
    <row r="482" spans="28:31">
      <c r="AB482" s="231" t="s">
        <v>871</v>
      </c>
      <c r="AC482" s="217" t="s">
        <v>333</v>
      </c>
      <c r="AD482" s="217" t="s">
        <v>334</v>
      </c>
      <c r="AE482" s="217" t="s">
        <v>334</v>
      </c>
    </row>
    <row r="483" spans="28:31">
      <c r="AB483" s="231" t="s">
        <v>872</v>
      </c>
      <c r="AC483" s="217" t="s">
        <v>333</v>
      </c>
      <c r="AD483" s="217" t="s">
        <v>334</v>
      </c>
      <c r="AE483" s="217" t="s">
        <v>334</v>
      </c>
    </row>
    <row r="484" spans="28:31">
      <c r="AB484" s="231" t="s">
        <v>873</v>
      </c>
      <c r="AC484" s="217" t="s">
        <v>333</v>
      </c>
      <c r="AD484" s="217" t="s">
        <v>334</v>
      </c>
      <c r="AE484" s="217" t="s">
        <v>334</v>
      </c>
    </row>
    <row r="485" spans="28:31">
      <c r="AB485" s="231" t="s">
        <v>874</v>
      </c>
      <c r="AC485" s="217" t="s">
        <v>333</v>
      </c>
      <c r="AD485" s="217" t="s">
        <v>334</v>
      </c>
      <c r="AE485" s="217" t="s">
        <v>334</v>
      </c>
    </row>
    <row r="486" spans="28:31">
      <c r="AB486" s="231" t="s">
        <v>875</v>
      </c>
      <c r="AC486" s="217" t="s">
        <v>333</v>
      </c>
      <c r="AD486" s="217" t="s">
        <v>334</v>
      </c>
      <c r="AE486" s="217" t="s">
        <v>334</v>
      </c>
    </row>
    <row r="487" spans="28:31">
      <c r="AB487" s="231" t="s">
        <v>876</v>
      </c>
      <c r="AC487" s="217" t="s">
        <v>333</v>
      </c>
      <c r="AD487" s="217" t="s">
        <v>334</v>
      </c>
      <c r="AE487" s="217" t="s">
        <v>334</v>
      </c>
    </row>
    <row r="488" spans="28:31">
      <c r="AB488" s="231" t="s">
        <v>877</v>
      </c>
      <c r="AC488" s="217" t="s">
        <v>333</v>
      </c>
      <c r="AD488" s="217" t="s">
        <v>334</v>
      </c>
      <c r="AE488" s="217" t="s">
        <v>334</v>
      </c>
    </row>
    <row r="489" spans="28:31">
      <c r="AB489" s="231" t="s">
        <v>878</v>
      </c>
      <c r="AC489" s="217" t="s">
        <v>333</v>
      </c>
      <c r="AD489" s="217" t="s">
        <v>334</v>
      </c>
      <c r="AE489" s="217" t="s">
        <v>334</v>
      </c>
    </row>
    <row r="490" spans="28:31">
      <c r="AB490" s="231" t="s">
        <v>879</v>
      </c>
      <c r="AC490" s="217" t="s">
        <v>333</v>
      </c>
      <c r="AD490" s="217" t="s">
        <v>334</v>
      </c>
      <c r="AE490" s="217" t="s">
        <v>334</v>
      </c>
    </row>
    <row r="491" spans="28:31">
      <c r="AB491" s="231" t="s">
        <v>880</v>
      </c>
      <c r="AC491" s="217" t="s">
        <v>333</v>
      </c>
      <c r="AD491" s="217" t="s">
        <v>334</v>
      </c>
      <c r="AE491" s="217" t="s">
        <v>334</v>
      </c>
    </row>
    <row r="492" spans="28:31">
      <c r="AB492" s="231" t="s">
        <v>881</v>
      </c>
      <c r="AC492" s="217" t="s">
        <v>333</v>
      </c>
      <c r="AD492" s="217" t="s">
        <v>334</v>
      </c>
      <c r="AE492" s="217" t="s">
        <v>334</v>
      </c>
    </row>
    <row r="493" spans="28:31">
      <c r="AB493" s="231" t="s">
        <v>882</v>
      </c>
      <c r="AC493" s="217" t="s">
        <v>333</v>
      </c>
      <c r="AD493" s="217" t="s">
        <v>334</v>
      </c>
      <c r="AE493" s="217" t="s">
        <v>334</v>
      </c>
    </row>
    <row r="494" spans="28:31">
      <c r="AB494" s="231" t="s">
        <v>883</v>
      </c>
      <c r="AC494" s="217" t="s">
        <v>333</v>
      </c>
      <c r="AD494" s="217" t="s">
        <v>334</v>
      </c>
      <c r="AE494" s="217" t="s">
        <v>334</v>
      </c>
    </row>
    <row r="495" spans="28:31">
      <c r="AB495" s="231" t="s">
        <v>884</v>
      </c>
      <c r="AC495" s="217" t="s">
        <v>333</v>
      </c>
      <c r="AD495" s="217" t="s">
        <v>334</v>
      </c>
      <c r="AE495" s="217" t="s">
        <v>334</v>
      </c>
    </row>
    <row r="496" spans="28:31">
      <c r="AB496" s="231" t="s">
        <v>885</v>
      </c>
      <c r="AC496" s="217" t="s">
        <v>333</v>
      </c>
      <c r="AD496" s="217" t="s">
        <v>334</v>
      </c>
      <c r="AE496" s="217" t="s">
        <v>334</v>
      </c>
    </row>
    <row r="497" spans="28:31">
      <c r="AB497" s="231" t="s">
        <v>886</v>
      </c>
      <c r="AC497" s="217" t="s">
        <v>333</v>
      </c>
      <c r="AD497" s="217" t="s">
        <v>334</v>
      </c>
      <c r="AE497" s="217" t="s">
        <v>334</v>
      </c>
    </row>
    <row r="498" spans="28:31">
      <c r="AB498" s="231" t="s">
        <v>887</v>
      </c>
      <c r="AC498" s="217" t="s">
        <v>333</v>
      </c>
      <c r="AD498" s="217" t="s">
        <v>334</v>
      </c>
      <c r="AE498" s="217" t="s">
        <v>334</v>
      </c>
    </row>
    <row r="499" spans="28:31">
      <c r="AB499" s="231" t="s">
        <v>888</v>
      </c>
      <c r="AC499" s="217" t="s">
        <v>333</v>
      </c>
      <c r="AD499" s="217" t="s">
        <v>334</v>
      </c>
      <c r="AE499" s="217" t="s">
        <v>334</v>
      </c>
    </row>
    <row r="500" spans="28:31">
      <c r="AB500" s="231" t="s">
        <v>889</v>
      </c>
      <c r="AC500" s="217" t="s">
        <v>333</v>
      </c>
      <c r="AD500" s="217" t="s">
        <v>334</v>
      </c>
      <c r="AE500" s="217" t="s">
        <v>334</v>
      </c>
    </row>
    <row r="501" spans="28:31">
      <c r="AB501" s="231" t="s">
        <v>890</v>
      </c>
      <c r="AC501" s="217" t="s">
        <v>333</v>
      </c>
      <c r="AD501" s="217" t="s">
        <v>334</v>
      </c>
      <c r="AE501" s="217" t="s">
        <v>334</v>
      </c>
    </row>
    <row r="502" spans="28:31">
      <c r="AB502" s="231" t="s">
        <v>891</v>
      </c>
      <c r="AC502" s="217" t="s">
        <v>333</v>
      </c>
      <c r="AD502" s="217" t="s">
        <v>334</v>
      </c>
      <c r="AE502" s="217" t="s">
        <v>334</v>
      </c>
    </row>
    <row r="503" spans="28:31">
      <c r="AB503" s="231" t="s">
        <v>892</v>
      </c>
      <c r="AC503" s="217" t="s">
        <v>333</v>
      </c>
      <c r="AD503" s="217" t="s">
        <v>334</v>
      </c>
      <c r="AE503" s="217" t="s">
        <v>334</v>
      </c>
    </row>
    <row r="504" spans="28:31">
      <c r="AB504" s="231" t="s">
        <v>893</v>
      </c>
      <c r="AC504" s="217" t="s">
        <v>333</v>
      </c>
      <c r="AD504" s="217" t="s">
        <v>334</v>
      </c>
      <c r="AE504" s="217" t="s">
        <v>334</v>
      </c>
    </row>
    <row r="505" spans="28:31">
      <c r="AB505" s="231" t="s">
        <v>894</v>
      </c>
      <c r="AC505" s="217" t="s">
        <v>333</v>
      </c>
      <c r="AD505" s="217" t="s">
        <v>334</v>
      </c>
      <c r="AE505" s="217" t="s">
        <v>334</v>
      </c>
    </row>
    <row r="506" spans="28:31">
      <c r="AB506" s="231" t="s">
        <v>895</v>
      </c>
      <c r="AC506" s="217" t="s">
        <v>333</v>
      </c>
      <c r="AD506" s="217" t="s">
        <v>334</v>
      </c>
      <c r="AE506" s="217" t="s">
        <v>334</v>
      </c>
    </row>
    <row r="507" spans="28:31">
      <c r="AB507" s="231" t="s">
        <v>896</v>
      </c>
      <c r="AC507" s="217" t="s">
        <v>333</v>
      </c>
      <c r="AD507" s="217" t="s">
        <v>334</v>
      </c>
      <c r="AE507" s="217" t="s">
        <v>334</v>
      </c>
    </row>
    <row r="508" spans="28:31">
      <c r="AB508" s="231" t="s">
        <v>897</v>
      </c>
      <c r="AC508" s="217" t="s">
        <v>333</v>
      </c>
      <c r="AD508" s="217" t="s">
        <v>334</v>
      </c>
      <c r="AE508" s="217" t="s">
        <v>334</v>
      </c>
    </row>
    <row r="509" spans="28:31">
      <c r="AB509" s="231" t="s">
        <v>898</v>
      </c>
      <c r="AC509" s="217" t="s">
        <v>333</v>
      </c>
      <c r="AD509" s="217" t="s">
        <v>334</v>
      </c>
      <c r="AE509" s="217" t="s">
        <v>334</v>
      </c>
    </row>
    <row r="510" spans="28:31">
      <c r="AB510" s="231" t="s">
        <v>899</v>
      </c>
      <c r="AC510" s="217" t="s">
        <v>333</v>
      </c>
      <c r="AD510" s="217" t="s">
        <v>334</v>
      </c>
      <c r="AE510" s="217" t="s">
        <v>334</v>
      </c>
    </row>
    <row r="511" spans="28:31">
      <c r="AB511" s="231" t="s">
        <v>900</v>
      </c>
      <c r="AC511" s="217" t="s">
        <v>333</v>
      </c>
      <c r="AD511" s="217" t="s">
        <v>334</v>
      </c>
      <c r="AE511" s="217" t="s">
        <v>334</v>
      </c>
    </row>
    <row r="512" spans="28:31">
      <c r="AB512" s="231" t="s">
        <v>901</v>
      </c>
      <c r="AC512" s="217" t="s">
        <v>333</v>
      </c>
      <c r="AD512" s="217" t="s">
        <v>334</v>
      </c>
      <c r="AE512" s="217" t="s">
        <v>334</v>
      </c>
    </row>
    <row r="513" spans="28:31">
      <c r="AB513" s="231" t="s">
        <v>902</v>
      </c>
      <c r="AC513" s="217" t="s">
        <v>333</v>
      </c>
      <c r="AD513" s="217" t="s">
        <v>334</v>
      </c>
      <c r="AE513" s="217" t="s">
        <v>334</v>
      </c>
    </row>
    <row r="514" spans="28:31">
      <c r="AB514" s="231" t="s">
        <v>903</v>
      </c>
      <c r="AC514" s="217" t="s">
        <v>333</v>
      </c>
      <c r="AD514" s="217" t="s">
        <v>334</v>
      </c>
      <c r="AE514" s="217" t="s">
        <v>334</v>
      </c>
    </row>
    <row r="515" spans="28:31">
      <c r="AB515" s="231" t="s">
        <v>904</v>
      </c>
      <c r="AC515" s="217" t="s">
        <v>333</v>
      </c>
      <c r="AD515" s="217" t="s">
        <v>334</v>
      </c>
      <c r="AE515" s="217" t="s">
        <v>334</v>
      </c>
    </row>
    <row r="516" spans="28:31">
      <c r="AB516" s="231" t="s">
        <v>905</v>
      </c>
      <c r="AC516" s="217" t="s">
        <v>333</v>
      </c>
      <c r="AD516" s="217" t="s">
        <v>334</v>
      </c>
      <c r="AE516" s="217" t="s">
        <v>334</v>
      </c>
    </row>
    <row r="517" spans="28:31">
      <c r="AB517" s="231" t="s">
        <v>906</v>
      </c>
      <c r="AC517" s="217" t="s">
        <v>333</v>
      </c>
      <c r="AD517" s="217" t="s">
        <v>334</v>
      </c>
      <c r="AE517" s="217" t="s">
        <v>334</v>
      </c>
    </row>
    <row r="518" spans="28:31">
      <c r="AB518" s="231" t="s">
        <v>907</v>
      </c>
      <c r="AC518" s="217" t="s">
        <v>333</v>
      </c>
      <c r="AD518" s="217" t="s">
        <v>334</v>
      </c>
      <c r="AE518" s="217" t="s">
        <v>334</v>
      </c>
    </row>
    <row r="519" spans="28:31">
      <c r="AB519" s="231" t="s">
        <v>908</v>
      </c>
      <c r="AC519" s="217" t="s">
        <v>333</v>
      </c>
      <c r="AD519" s="217" t="s">
        <v>334</v>
      </c>
      <c r="AE519" s="217" t="s">
        <v>334</v>
      </c>
    </row>
    <row r="520" spans="28:31">
      <c r="AB520" s="231" t="s">
        <v>909</v>
      </c>
      <c r="AC520" s="217" t="s">
        <v>333</v>
      </c>
      <c r="AD520" s="217" t="s">
        <v>334</v>
      </c>
      <c r="AE520" s="217" t="s">
        <v>334</v>
      </c>
    </row>
    <row r="521" spans="28:31">
      <c r="AB521" s="231" t="s">
        <v>910</v>
      </c>
      <c r="AC521" s="217" t="s">
        <v>333</v>
      </c>
      <c r="AD521" s="217" t="s">
        <v>334</v>
      </c>
      <c r="AE521" s="217" t="s">
        <v>334</v>
      </c>
    </row>
    <row r="522" spans="28:31">
      <c r="AB522" s="231" t="s">
        <v>911</v>
      </c>
      <c r="AC522" s="217" t="s">
        <v>333</v>
      </c>
      <c r="AD522" s="217" t="s">
        <v>334</v>
      </c>
      <c r="AE522" s="217" t="s">
        <v>334</v>
      </c>
    </row>
    <row r="523" spans="28:31">
      <c r="AB523" s="231" t="s">
        <v>912</v>
      </c>
      <c r="AC523" s="217" t="s">
        <v>333</v>
      </c>
      <c r="AD523" s="217" t="s">
        <v>334</v>
      </c>
      <c r="AE523" s="217" t="s">
        <v>334</v>
      </c>
    </row>
    <row r="524" spans="28:31">
      <c r="AB524" s="231" t="s">
        <v>913</v>
      </c>
      <c r="AC524" s="217" t="s">
        <v>333</v>
      </c>
      <c r="AD524" s="217" t="s">
        <v>334</v>
      </c>
      <c r="AE524" s="217" t="s">
        <v>334</v>
      </c>
    </row>
    <row r="525" spans="28:31">
      <c r="AB525" s="231" t="s">
        <v>914</v>
      </c>
      <c r="AC525" s="217" t="s">
        <v>333</v>
      </c>
      <c r="AD525" s="217" t="s">
        <v>334</v>
      </c>
      <c r="AE525" s="217" t="s">
        <v>334</v>
      </c>
    </row>
    <row r="526" spans="28:31">
      <c r="AB526" s="231" t="s">
        <v>915</v>
      </c>
      <c r="AC526" s="217" t="s">
        <v>333</v>
      </c>
      <c r="AD526" s="217" t="s">
        <v>334</v>
      </c>
      <c r="AE526" s="217" t="s">
        <v>334</v>
      </c>
    </row>
    <row r="527" spans="28:31">
      <c r="AB527" s="231" t="s">
        <v>916</v>
      </c>
      <c r="AC527" s="217" t="s">
        <v>333</v>
      </c>
      <c r="AD527" s="217" t="s">
        <v>334</v>
      </c>
      <c r="AE527" s="217" t="s">
        <v>334</v>
      </c>
    </row>
    <row r="528" spans="28:31">
      <c r="AB528" s="231" t="s">
        <v>917</v>
      </c>
      <c r="AC528" s="217" t="s">
        <v>333</v>
      </c>
      <c r="AD528" s="217" t="s">
        <v>334</v>
      </c>
      <c r="AE528" s="217" t="s">
        <v>334</v>
      </c>
    </row>
    <row r="529" spans="28:31">
      <c r="AB529" s="231" t="s">
        <v>918</v>
      </c>
      <c r="AC529" s="217" t="s">
        <v>333</v>
      </c>
      <c r="AD529" s="217" t="s">
        <v>334</v>
      </c>
      <c r="AE529" s="217" t="s">
        <v>334</v>
      </c>
    </row>
    <row r="530" spans="28:31">
      <c r="AB530" s="231" t="s">
        <v>919</v>
      </c>
      <c r="AC530" s="217" t="s">
        <v>333</v>
      </c>
      <c r="AD530" s="217" t="s">
        <v>334</v>
      </c>
      <c r="AE530" s="217" t="s">
        <v>334</v>
      </c>
    </row>
    <row r="531" spans="28:31">
      <c r="AB531" s="231" t="s">
        <v>920</v>
      </c>
      <c r="AC531" s="217" t="s">
        <v>333</v>
      </c>
      <c r="AD531" s="217" t="s">
        <v>334</v>
      </c>
      <c r="AE531" s="217" t="s">
        <v>334</v>
      </c>
    </row>
    <row r="532" spans="28:31">
      <c r="AB532" s="231" t="s">
        <v>921</v>
      </c>
      <c r="AC532" s="217" t="s">
        <v>333</v>
      </c>
      <c r="AD532" s="217" t="s">
        <v>334</v>
      </c>
      <c r="AE532" s="217" t="s">
        <v>334</v>
      </c>
    </row>
    <row r="533" spans="28:31">
      <c r="AB533" s="231" t="s">
        <v>922</v>
      </c>
      <c r="AC533" s="217" t="s">
        <v>333</v>
      </c>
      <c r="AD533" s="217" t="s">
        <v>334</v>
      </c>
      <c r="AE533" s="217" t="s">
        <v>334</v>
      </c>
    </row>
    <row r="534" spans="28:31">
      <c r="AB534" s="231" t="s">
        <v>923</v>
      </c>
      <c r="AC534" s="217" t="s">
        <v>333</v>
      </c>
      <c r="AD534" s="217" t="s">
        <v>334</v>
      </c>
      <c r="AE534" s="217" t="s">
        <v>334</v>
      </c>
    </row>
    <row r="535" spans="28:31">
      <c r="AB535" s="231" t="s">
        <v>924</v>
      </c>
      <c r="AC535" s="217" t="s">
        <v>333</v>
      </c>
      <c r="AD535" s="217" t="s">
        <v>334</v>
      </c>
      <c r="AE535" s="217" t="s">
        <v>334</v>
      </c>
    </row>
    <row r="536" spans="28:31">
      <c r="AB536" s="231" t="s">
        <v>925</v>
      </c>
      <c r="AC536" s="217" t="s">
        <v>333</v>
      </c>
      <c r="AD536" s="217" t="s">
        <v>334</v>
      </c>
      <c r="AE536" s="217" t="s">
        <v>334</v>
      </c>
    </row>
    <row r="537" spans="28:31">
      <c r="AB537" s="231" t="s">
        <v>926</v>
      </c>
      <c r="AC537" s="217" t="s">
        <v>333</v>
      </c>
      <c r="AD537" s="217" t="s">
        <v>334</v>
      </c>
      <c r="AE537" s="217" t="s">
        <v>334</v>
      </c>
    </row>
    <row r="538" spans="28:31">
      <c r="AB538" s="231" t="s">
        <v>927</v>
      </c>
      <c r="AC538" s="217" t="s">
        <v>333</v>
      </c>
      <c r="AD538" s="217" t="s">
        <v>334</v>
      </c>
      <c r="AE538" s="217" t="s">
        <v>334</v>
      </c>
    </row>
    <row r="539" spans="28:31">
      <c r="AB539" s="231" t="s">
        <v>928</v>
      </c>
      <c r="AC539" s="217" t="s">
        <v>333</v>
      </c>
      <c r="AD539" s="217" t="s">
        <v>334</v>
      </c>
      <c r="AE539" s="217" t="s">
        <v>334</v>
      </c>
    </row>
    <row r="540" spans="28:31">
      <c r="AB540" s="231" t="s">
        <v>929</v>
      </c>
      <c r="AC540" s="217" t="s">
        <v>333</v>
      </c>
      <c r="AD540" s="217" t="s">
        <v>334</v>
      </c>
      <c r="AE540" s="217" t="s">
        <v>334</v>
      </c>
    </row>
    <row r="541" spans="28:31">
      <c r="AB541" s="231" t="s">
        <v>930</v>
      </c>
      <c r="AC541" s="217" t="s">
        <v>333</v>
      </c>
      <c r="AD541" s="217" t="s">
        <v>334</v>
      </c>
      <c r="AE541" s="217" t="s">
        <v>334</v>
      </c>
    </row>
    <row r="542" spans="28:31">
      <c r="AB542" s="231" t="s">
        <v>931</v>
      </c>
      <c r="AC542" s="217" t="s">
        <v>333</v>
      </c>
      <c r="AD542" s="217" t="s">
        <v>334</v>
      </c>
      <c r="AE542" s="217" t="s">
        <v>334</v>
      </c>
    </row>
    <row r="543" spans="28:31">
      <c r="AB543" s="231" t="s">
        <v>932</v>
      </c>
      <c r="AC543" s="217" t="s">
        <v>333</v>
      </c>
      <c r="AD543" s="217" t="s">
        <v>334</v>
      </c>
      <c r="AE543" s="217" t="s">
        <v>334</v>
      </c>
    </row>
    <row r="544" spans="28:31">
      <c r="AB544" s="231" t="s">
        <v>933</v>
      </c>
      <c r="AC544" s="217" t="s">
        <v>333</v>
      </c>
      <c r="AD544" s="217" t="s">
        <v>334</v>
      </c>
      <c r="AE544" s="217" t="s">
        <v>334</v>
      </c>
    </row>
    <row r="545" spans="28:31">
      <c r="AB545" s="231" t="s">
        <v>934</v>
      </c>
      <c r="AC545" s="217" t="s">
        <v>333</v>
      </c>
      <c r="AD545" s="217" t="s">
        <v>334</v>
      </c>
      <c r="AE545" s="217" t="s">
        <v>334</v>
      </c>
    </row>
    <row r="546" spans="28:31">
      <c r="AB546" s="231" t="s">
        <v>935</v>
      </c>
      <c r="AC546" s="217" t="s">
        <v>333</v>
      </c>
      <c r="AD546" s="217" t="s">
        <v>334</v>
      </c>
      <c r="AE546" s="217" t="s">
        <v>334</v>
      </c>
    </row>
    <row r="547" spans="28:31">
      <c r="AB547" s="231" t="s">
        <v>936</v>
      </c>
      <c r="AC547" s="217" t="s">
        <v>333</v>
      </c>
      <c r="AD547" s="217" t="s">
        <v>334</v>
      </c>
      <c r="AE547" s="217" t="s">
        <v>334</v>
      </c>
    </row>
    <row r="548" spans="28:31">
      <c r="AB548" s="231" t="s">
        <v>937</v>
      </c>
      <c r="AC548" s="217" t="s">
        <v>333</v>
      </c>
      <c r="AD548" s="217" t="s">
        <v>334</v>
      </c>
      <c r="AE548" s="217" t="s">
        <v>334</v>
      </c>
    </row>
    <row r="549" spans="28:31">
      <c r="AB549" s="231" t="s">
        <v>938</v>
      </c>
      <c r="AC549" s="217" t="s">
        <v>333</v>
      </c>
      <c r="AD549" s="217" t="s">
        <v>334</v>
      </c>
      <c r="AE549" s="217" t="s">
        <v>334</v>
      </c>
    </row>
    <row r="550" spans="28:31">
      <c r="AB550" s="231" t="s">
        <v>939</v>
      </c>
      <c r="AC550" s="217" t="s">
        <v>333</v>
      </c>
      <c r="AD550" s="217" t="s">
        <v>334</v>
      </c>
      <c r="AE550" s="217" t="s">
        <v>334</v>
      </c>
    </row>
    <row r="551" spans="28:31">
      <c r="AB551" s="231" t="s">
        <v>940</v>
      </c>
      <c r="AC551" s="217" t="s">
        <v>333</v>
      </c>
      <c r="AD551" s="217" t="s">
        <v>334</v>
      </c>
      <c r="AE551" s="217" t="s">
        <v>334</v>
      </c>
    </row>
    <row r="552" spans="28:31">
      <c r="AB552" s="231" t="s">
        <v>941</v>
      </c>
      <c r="AC552" s="217" t="s">
        <v>333</v>
      </c>
      <c r="AD552" s="217" t="s">
        <v>334</v>
      </c>
      <c r="AE552" s="217" t="s">
        <v>334</v>
      </c>
    </row>
    <row r="553" spans="28:31">
      <c r="AB553" s="231" t="s">
        <v>942</v>
      </c>
      <c r="AC553" s="217" t="s">
        <v>333</v>
      </c>
      <c r="AD553" s="217" t="s">
        <v>334</v>
      </c>
      <c r="AE553" s="217" t="s">
        <v>334</v>
      </c>
    </row>
    <row r="554" spans="28:31">
      <c r="AB554" s="231" t="s">
        <v>943</v>
      </c>
      <c r="AC554" s="217" t="s">
        <v>333</v>
      </c>
      <c r="AD554" s="217" t="s">
        <v>334</v>
      </c>
      <c r="AE554" s="217" t="s">
        <v>334</v>
      </c>
    </row>
    <row r="555" spans="28:31">
      <c r="AB555" s="231" t="s">
        <v>944</v>
      </c>
      <c r="AC555" s="217" t="s">
        <v>333</v>
      </c>
      <c r="AD555" s="217" t="s">
        <v>334</v>
      </c>
      <c r="AE555" s="217" t="s">
        <v>334</v>
      </c>
    </row>
    <row r="556" spans="28:31">
      <c r="AB556" s="231" t="s">
        <v>945</v>
      </c>
      <c r="AC556" s="217" t="s">
        <v>333</v>
      </c>
      <c r="AD556" s="217" t="s">
        <v>334</v>
      </c>
      <c r="AE556" s="217" t="s">
        <v>334</v>
      </c>
    </row>
    <row r="557" spans="28:31">
      <c r="AB557" s="231" t="s">
        <v>946</v>
      </c>
      <c r="AC557" s="217" t="s">
        <v>333</v>
      </c>
      <c r="AD557" s="217" t="s">
        <v>334</v>
      </c>
      <c r="AE557" s="217" t="s">
        <v>334</v>
      </c>
    </row>
    <row r="558" spans="28:31">
      <c r="AB558" s="231" t="s">
        <v>947</v>
      </c>
      <c r="AC558" s="217" t="s">
        <v>333</v>
      </c>
      <c r="AD558" s="217" t="s">
        <v>334</v>
      </c>
      <c r="AE558" s="217" t="s">
        <v>334</v>
      </c>
    </row>
    <row r="559" spans="28:31">
      <c r="AB559" s="231" t="s">
        <v>948</v>
      </c>
      <c r="AC559" s="217" t="s">
        <v>333</v>
      </c>
      <c r="AD559" s="217" t="s">
        <v>334</v>
      </c>
      <c r="AE559" s="217" t="s">
        <v>334</v>
      </c>
    </row>
    <row r="560" spans="28:31">
      <c r="AB560" s="231" t="s">
        <v>949</v>
      </c>
      <c r="AC560" s="217" t="s">
        <v>333</v>
      </c>
      <c r="AD560" s="217" t="s">
        <v>334</v>
      </c>
      <c r="AE560" s="217" t="s">
        <v>334</v>
      </c>
    </row>
    <row r="561" spans="28:31">
      <c r="AB561" s="231" t="s">
        <v>950</v>
      </c>
      <c r="AC561" s="217" t="s">
        <v>333</v>
      </c>
      <c r="AD561" s="217" t="s">
        <v>334</v>
      </c>
      <c r="AE561" s="217" t="s">
        <v>334</v>
      </c>
    </row>
    <row r="562" spans="28:31">
      <c r="AB562" s="231" t="s">
        <v>951</v>
      </c>
      <c r="AC562" s="217" t="s">
        <v>333</v>
      </c>
      <c r="AD562" s="217" t="s">
        <v>334</v>
      </c>
      <c r="AE562" s="217" t="s">
        <v>334</v>
      </c>
    </row>
    <row r="563" spans="28:31">
      <c r="AB563" s="231" t="s">
        <v>952</v>
      </c>
      <c r="AC563" s="217" t="s">
        <v>333</v>
      </c>
      <c r="AD563" s="217" t="s">
        <v>334</v>
      </c>
      <c r="AE563" s="217" t="s">
        <v>334</v>
      </c>
    </row>
    <row r="564" spans="28:31">
      <c r="AB564" s="231" t="s">
        <v>953</v>
      </c>
      <c r="AC564" s="217" t="s">
        <v>333</v>
      </c>
      <c r="AD564" s="217" t="s">
        <v>334</v>
      </c>
      <c r="AE564" s="217" t="s">
        <v>334</v>
      </c>
    </row>
    <row r="565" spans="28:31">
      <c r="AB565" s="231" t="s">
        <v>954</v>
      </c>
      <c r="AC565" s="217" t="s">
        <v>333</v>
      </c>
      <c r="AD565" s="217" t="s">
        <v>334</v>
      </c>
      <c r="AE565" s="217" t="s">
        <v>334</v>
      </c>
    </row>
    <row r="566" spans="28:31">
      <c r="AB566" s="231" t="s">
        <v>955</v>
      </c>
      <c r="AC566" s="217" t="s">
        <v>333</v>
      </c>
      <c r="AD566" s="217" t="s">
        <v>334</v>
      </c>
      <c r="AE566" s="217" t="s">
        <v>334</v>
      </c>
    </row>
    <row r="567" spans="28:31">
      <c r="AB567" s="231" t="s">
        <v>956</v>
      </c>
      <c r="AC567" s="217" t="s">
        <v>333</v>
      </c>
      <c r="AD567" s="217" t="s">
        <v>334</v>
      </c>
      <c r="AE567" s="217" t="s">
        <v>334</v>
      </c>
    </row>
    <row r="568" spans="28:31">
      <c r="AB568" s="231" t="s">
        <v>957</v>
      </c>
      <c r="AC568" s="217" t="s">
        <v>333</v>
      </c>
      <c r="AD568" s="217" t="s">
        <v>334</v>
      </c>
      <c r="AE568" s="217" t="s">
        <v>334</v>
      </c>
    </row>
    <row r="569" spans="28:31">
      <c r="AB569" s="231" t="s">
        <v>958</v>
      </c>
      <c r="AC569" s="217" t="s">
        <v>333</v>
      </c>
      <c r="AD569" s="217" t="s">
        <v>334</v>
      </c>
      <c r="AE569" s="217" t="s">
        <v>334</v>
      </c>
    </row>
    <row r="570" spans="28:31">
      <c r="AB570" s="231" t="s">
        <v>959</v>
      </c>
      <c r="AC570" s="217" t="s">
        <v>333</v>
      </c>
      <c r="AD570" s="217" t="s">
        <v>334</v>
      </c>
      <c r="AE570" s="217" t="s">
        <v>334</v>
      </c>
    </row>
    <row r="571" spans="28:31">
      <c r="AB571" s="231" t="s">
        <v>960</v>
      </c>
      <c r="AC571" s="217" t="s">
        <v>333</v>
      </c>
      <c r="AD571" s="217" t="s">
        <v>334</v>
      </c>
      <c r="AE571" s="217" t="s">
        <v>334</v>
      </c>
    </row>
    <row r="572" spans="28:31">
      <c r="AB572" s="231" t="s">
        <v>961</v>
      </c>
      <c r="AC572" s="217" t="s">
        <v>333</v>
      </c>
      <c r="AD572" s="217" t="s">
        <v>334</v>
      </c>
      <c r="AE572" s="217" t="s">
        <v>334</v>
      </c>
    </row>
    <row r="573" spans="28:31">
      <c r="AB573" s="231" t="s">
        <v>962</v>
      </c>
      <c r="AC573" s="217" t="s">
        <v>333</v>
      </c>
      <c r="AD573" s="217" t="s">
        <v>334</v>
      </c>
      <c r="AE573" s="217" t="s">
        <v>334</v>
      </c>
    </row>
    <row r="574" spans="28:31">
      <c r="AB574" s="231" t="s">
        <v>963</v>
      </c>
      <c r="AC574" s="217" t="s">
        <v>333</v>
      </c>
      <c r="AD574" s="217" t="s">
        <v>334</v>
      </c>
      <c r="AE574" s="217" t="s">
        <v>334</v>
      </c>
    </row>
    <row r="575" spans="28:31">
      <c r="AB575" s="231" t="s">
        <v>964</v>
      </c>
      <c r="AC575" s="217" t="s">
        <v>333</v>
      </c>
      <c r="AD575" s="217" t="s">
        <v>334</v>
      </c>
      <c r="AE575" s="217" t="s">
        <v>334</v>
      </c>
    </row>
    <row r="576" spans="28:31">
      <c r="AB576" s="231" t="s">
        <v>965</v>
      </c>
      <c r="AC576" s="217" t="s">
        <v>333</v>
      </c>
      <c r="AD576" s="217" t="s">
        <v>334</v>
      </c>
      <c r="AE576" s="217" t="s">
        <v>334</v>
      </c>
    </row>
    <row r="577" spans="28:31">
      <c r="AB577" s="231" t="s">
        <v>966</v>
      </c>
      <c r="AC577" s="217" t="s">
        <v>333</v>
      </c>
      <c r="AD577" s="217" t="s">
        <v>334</v>
      </c>
      <c r="AE577" s="217" t="s">
        <v>334</v>
      </c>
    </row>
    <row r="578" spans="28:31">
      <c r="AB578" s="231" t="s">
        <v>967</v>
      </c>
      <c r="AC578" s="217" t="s">
        <v>333</v>
      </c>
      <c r="AD578" s="217" t="s">
        <v>334</v>
      </c>
      <c r="AE578" s="217" t="s">
        <v>334</v>
      </c>
    </row>
    <row r="579" spans="28:31">
      <c r="AB579" s="231" t="s">
        <v>968</v>
      </c>
      <c r="AC579" s="217" t="s">
        <v>333</v>
      </c>
      <c r="AD579" s="217" t="s">
        <v>334</v>
      </c>
      <c r="AE579" s="217" t="s">
        <v>334</v>
      </c>
    </row>
    <row r="580" spans="28:31">
      <c r="AB580" s="231" t="s">
        <v>969</v>
      </c>
      <c r="AC580" s="217" t="s">
        <v>333</v>
      </c>
      <c r="AD580" s="217" t="s">
        <v>334</v>
      </c>
      <c r="AE580" s="217" t="s">
        <v>334</v>
      </c>
    </row>
    <row r="581" spans="28:31">
      <c r="AB581" s="231" t="s">
        <v>970</v>
      </c>
      <c r="AC581" s="217" t="s">
        <v>333</v>
      </c>
      <c r="AD581" s="217" t="s">
        <v>334</v>
      </c>
      <c r="AE581" s="217" t="s">
        <v>334</v>
      </c>
    </row>
    <row r="582" spans="28:31">
      <c r="AB582" s="231" t="s">
        <v>971</v>
      </c>
      <c r="AC582" s="217" t="s">
        <v>333</v>
      </c>
      <c r="AD582" s="217" t="s">
        <v>334</v>
      </c>
      <c r="AE582" s="217" t="s">
        <v>334</v>
      </c>
    </row>
    <row r="583" spans="28:31">
      <c r="AB583" s="231" t="s">
        <v>972</v>
      </c>
      <c r="AC583" s="217" t="s">
        <v>333</v>
      </c>
      <c r="AD583" s="217" t="s">
        <v>334</v>
      </c>
      <c r="AE583" s="217" t="s">
        <v>334</v>
      </c>
    </row>
    <row r="584" spans="28:31">
      <c r="AB584" s="231" t="s">
        <v>973</v>
      </c>
      <c r="AC584" s="217" t="s">
        <v>333</v>
      </c>
      <c r="AD584" s="217" t="s">
        <v>334</v>
      </c>
      <c r="AE584" s="217" t="s">
        <v>334</v>
      </c>
    </row>
    <row r="585" spans="28:31">
      <c r="AB585" s="231" t="s">
        <v>974</v>
      </c>
      <c r="AC585" s="217" t="s">
        <v>333</v>
      </c>
      <c r="AD585" s="217" t="s">
        <v>334</v>
      </c>
      <c r="AE585" s="217" t="s">
        <v>334</v>
      </c>
    </row>
    <row r="586" spans="28:31">
      <c r="AB586" s="231" t="s">
        <v>975</v>
      </c>
      <c r="AC586" s="217" t="s">
        <v>333</v>
      </c>
      <c r="AD586" s="217" t="s">
        <v>334</v>
      </c>
      <c r="AE586" s="217" t="s">
        <v>334</v>
      </c>
    </row>
    <row r="587" spans="28:31">
      <c r="AB587" s="231" t="s">
        <v>976</v>
      </c>
      <c r="AC587" s="217" t="s">
        <v>333</v>
      </c>
      <c r="AD587" s="217" t="s">
        <v>334</v>
      </c>
      <c r="AE587" s="217" t="s">
        <v>334</v>
      </c>
    </row>
    <row r="588" spans="28:31">
      <c r="AB588" s="231" t="s">
        <v>977</v>
      </c>
      <c r="AC588" s="217" t="s">
        <v>333</v>
      </c>
      <c r="AD588" s="217" t="s">
        <v>334</v>
      </c>
      <c r="AE588" s="217" t="s">
        <v>334</v>
      </c>
    </row>
    <row r="589" spans="28:31">
      <c r="AB589" s="231" t="s">
        <v>978</v>
      </c>
      <c r="AC589" s="217" t="s">
        <v>333</v>
      </c>
      <c r="AD589" s="217" t="s">
        <v>334</v>
      </c>
      <c r="AE589" s="217" t="s">
        <v>334</v>
      </c>
    </row>
    <row r="590" spans="28:31">
      <c r="AB590" s="231" t="s">
        <v>979</v>
      </c>
      <c r="AC590" s="217" t="s">
        <v>333</v>
      </c>
      <c r="AD590" s="217" t="s">
        <v>334</v>
      </c>
      <c r="AE590" s="217" t="s">
        <v>334</v>
      </c>
    </row>
    <row r="591" spans="28:31">
      <c r="AB591" s="231" t="s">
        <v>980</v>
      </c>
      <c r="AC591" s="217" t="s">
        <v>333</v>
      </c>
      <c r="AD591" s="217" t="s">
        <v>334</v>
      </c>
      <c r="AE591" s="217" t="s">
        <v>334</v>
      </c>
    </row>
    <row r="592" spans="28:31">
      <c r="AB592" s="231" t="s">
        <v>981</v>
      </c>
      <c r="AC592" s="217" t="s">
        <v>333</v>
      </c>
      <c r="AD592" s="217" t="s">
        <v>334</v>
      </c>
      <c r="AE592" s="217" t="s">
        <v>334</v>
      </c>
    </row>
    <row r="593" spans="28:31">
      <c r="AB593" s="231" t="s">
        <v>982</v>
      </c>
      <c r="AC593" s="217" t="s">
        <v>333</v>
      </c>
      <c r="AD593" s="217" t="s">
        <v>334</v>
      </c>
      <c r="AE593" s="217" t="s">
        <v>334</v>
      </c>
    </row>
    <row r="594" spans="28:31">
      <c r="AB594" s="231" t="s">
        <v>983</v>
      </c>
      <c r="AC594" s="217" t="s">
        <v>333</v>
      </c>
      <c r="AD594" s="217" t="s">
        <v>334</v>
      </c>
      <c r="AE594" s="217" t="s">
        <v>334</v>
      </c>
    </row>
    <row r="595" spans="28:31">
      <c r="AB595" s="231" t="s">
        <v>984</v>
      </c>
      <c r="AC595" s="217" t="s">
        <v>333</v>
      </c>
      <c r="AD595" s="217" t="s">
        <v>334</v>
      </c>
      <c r="AE595" s="217" t="s">
        <v>334</v>
      </c>
    </row>
    <row r="596" spans="28:31">
      <c r="AB596" s="231" t="s">
        <v>985</v>
      </c>
      <c r="AC596" s="217" t="s">
        <v>333</v>
      </c>
      <c r="AD596" s="217" t="s">
        <v>334</v>
      </c>
      <c r="AE596" s="217" t="s">
        <v>334</v>
      </c>
    </row>
    <row r="597" spans="28:31">
      <c r="AB597" s="231" t="s">
        <v>986</v>
      </c>
      <c r="AC597" s="217" t="s">
        <v>333</v>
      </c>
      <c r="AD597" s="217" t="s">
        <v>334</v>
      </c>
      <c r="AE597" s="217" t="s">
        <v>334</v>
      </c>
    </row>
    <row r="598" spans="28:31">
      <c r="AB598" s="231" t="s">
        <v>987</v>
      </c>
      <c r="AC598" s="217" t="s">
        <v>333</v>
      </c>
      <c r="AD598" s="217" t="s">
        <v>334</v>
      </c>
      <c r="AE598" s="217" t="s">
        <v>334</v>
      </c>
    </row>
    <row r="599" spans="28:31">
      <c r="AB599" s="231" t="s">
        <v>988</v>
      </c>
      <c r="AC599" s="217" t="s">
        <v>333</v>
      </c>
      <c r="AD599" s="217" t="s">
        <v>334</v>
      </c>
      <c r="AE599" s="217" t="s">
        <v>334</v>
      </c>
    </row>
    <row r="600" spans="28:31">
      <c r="AB600" s="231" t="s">
        <v>989</v>
      </c>
      <c r="AC600" s="217" t="s">
        <v>333</v>
      </c>
      <c r="AD600" s="217" t="s">
        <v>334</v>
      </c>
      <c r="AE600" s="217" t="s">
        <v>334</v>
      </c>
    </row>
    <row r="601" spans="28:31">
      <c r="AB601" s="231" t="s">
        <v>990</v>
      </c>
      <c r="AC601" s="217" t="s">
        <v>333</v>
      </c>
      <c r="AD601" s="217" t="s">
        <v>334</v>
      </c>
      <c r="AE601" s="217" t="s">
        <v>334</v>
      </c>
    </row>
    <row r="602" spans="28:31">
      <c r="AB602" s="231" t="s">
        <v>991</v>
      </c>
      <c r="AC602" s="217" t="s">
        <v>333</v>
      </c>
      <c r="AD602" s="217" t="s">
        <v>334</v>
      </c>
      <c r="AE602" s="217" t="s">
        <v>334</v>
      </c>
    </row>
    <row r="603" spans="28:31">
      <c r="AB603" s="231" t="s">
        <v>992</v>
      </c>
      <c r="AC603" s="217" t="s">
        <v>333</v>
      </c>
      <c r="AD603" s="217" t="s">
        <v>334</v>
      </c>
      <c r="AE603" s="217" t="s">
        <v>334</v>
      </c>
    </row>
    <row r="604" spans="28:31">
      <c r="AB604" s="231" t="s">
        <v>993</v>
      </c>
      <c r="AC604" s="217" t="s">
        <v>333</v>
      </c>
      <c r="AD604" s="217" t="s">
        <v>334</v>
      </c>
      <c r="AE604" s="217" t="s">
        <v>334</v>
      </c>
    </row>
    <row r="605" spans="28:31">
      <c r="AB605" s="231" t="s">
        <v>994</v>
      </c>
      <c r="AC605" s="217" t="s">
        <v>333</v>
      </c>
      <c r="AD605" s="217" t="s">
        <v>334</v>
      </c>
      <c r="AE605" s="217" t="s">
        <v>334</v>
      </c>
    </row>
    <row r="606" spans="28:31">
      <c r="AB606" s="231" t="s">
        <v>995</v>
      </c>
      <c r="AC606" s="217" t="s">
        <v>333</v>
      </c>
      <c r="AD606" s="217" t="s">
        <v>334</v>
      </c>
      <c r="AE606" s="217" t="s">
        <v>334</v>
      </c>
    </row>
    <row r="607" spans="28:31">
      <c r="AB607" s="231" t="s">
        <v>996</v>
      </c>
      <c r="AC607" s="217" t="s">
        <v>333</v>
      </c>
      <c r="AD607" s="217" t="s">
        <v>334</v>
      </c>
      <c r="AE607" s="217" t="s">
        <v>334</v>
      </c>
    </row>
    <row r="608" spans="28:31">
      <c r="AB608" s="231" t="s">
        <v>997</v>
      </c>
      <c r="AC608" s="217" t="s">
        <v>333</v>
      </c>
      <c r="AD608" s="217" t="s">
        <v>334</v>
      </c>
      <c r="AE608" s="217" t="s">
        <v>334</v>
      </c>
    </row>
    <row r="609" spans="28:31">
      <c r="AB609" s="231" t="s">
        <v>998</v>
      </c>
      <c r="AC609" s="217" t="s">
        <v>333</v>
      </c>
      <c r="AD609" s="217" t="s">
        <v>334</v>
      </c>
      <c r="AE609" s="217" t="s">
        <v>334</v>
      </c>
    </row>
    <row r="610" spans="28:31">
      <c r="AB610" s="231" t="s">
        <v>999</v>
      </c>
      <c r="AC610" s="217" t="s">
        <v>333</v>
      </c>
      <c r="AD610" s="217" t="s">
        <v>334</v>
      </c>
      <c r="AE610" s="217" t="s">
        <v>334</v>
      </c>
    </row>
    <row r="611" spans="28:31">
      <c r="AB611" s="231" t="s">
        <v>1000</v>
      </c>
      <c r="AC611" s="217" t="s">
        <v>333</v>
      </c>
      <c r="AD611" s="217" t="s">
        <v>334</v>
      </c>
      <c r="AE611" s="217" t="s">
        <v>334</v>
      </c>
    </row>
    <row r="612" spans="28:31">
      <c r="AB612" s="231" t="s">
        <v>1001</v>
      </c>
      <c r="AC612" s="217" t="s">
        <v>333</v>
      </c>
      <c r="AD612" s="217" t="s">
        <v>334</v>
      </c>
      <c r="AE612" s="217" t="s">
        <v>334</v>
      </c>
    </row>
    <row r="613" spans="28:31">
      <c r="AB613" s="231" t="s">
        <v>1002</v>
      </c>
      <c r="AC613" s="217" t="s">
        <v>333</v>
      </c>
      <c r="AD613" s="217" t="s">
        <v>334</v>
      </c>
      <c r="AE613" s="217" t="s">
        <v>334</v>
      </c>
    </row>
    <row r="614" spans="28:31">
      <c r="AB614" s="231" t="s">
        <v>1003</v>
      </c>
      <c r="AC614" s="217" t="s">
        <v>333</v>
      </c>
      <c r="AD614" s="217" t="s">
        <v>334</v>
      </c>
      <c r="AE614" s="217" t="s">
        <v>334</v>
      </c>
    </row>
    <row r="615" spans="28:31">
      <c r="AB615" s="231" t="s">
        <v>1004</v>
      </c>
      <c r="AC615" s="217" t="s">
        <v>333</v>
      </c>
      <c r="AD615" s="217" t="s">
        <v>334</v>
      </c>
      <c r="AE615" s="217" t="s">
        <v>334</v>
      </c>
    </row>
    <row r="616" spans="28:31">
      <c r="AB616" s="231" t="s">
        <v>1005</v>
      </c>
      <c r="AC616" s="217" t="s">
        <v>333</v>
      </c>
      <c r="AD616" s="217" t="s">
        <v>334</v>
      </c>
      <c r="AE616" s="217" t="s">
        <v>334</v>
      </c>
    </row>
    <row r="617" spans="28:31">
      <c r="AB617" s="231" t="s">
        <v>1006</v>
      </c>
      <c r="AC617" s="217" t="s">
        <v>333</v>
      </c>
      <c r="AD617" s="217" t="s">
        <v>334</v>
      </c>
      <c r="AE617" s="217" t="s">
        <v>334</v>
      </c>
    </row>
    <row r="618" spans="28:31">
      <c r="AB618" s="231" t="s">
        <v>1007</v>
      </c>
      <c r="AC618" s="217" t="s">
        <v>333</v>
      </c>
      <c r="AD618" s="217" t="s">
        <v>334</v>
      </c>
      <c r="AE618" s="217" t="s">
        <v>334</v>
      </c>
    </row>
    <row r="619" spans="28:31">
      <c r="AB619" s="231" t="s">
        <v>1008</v>
      </c>
      <c r="AC619" s="217" t="s">
        <v>333</v>
      </c>
      <c r="AD619" s="217" t="s">
        <v>334</v>
      </c>
      <c r="AE619" s="217" t="s">
        <v>334</v>
      </c>
    </row>
    <row r="620" spans="28:31">
      <c r="AB620" s="231" t="s">
        <v>1009</v>
      </c>
      <c r="AC620" s="217" t="s">
        <v>333</v>
      </c>
      <c r="AD620" s="217" t="s">
        <v>334</v>
      </c>
      <c r="AE620" s="217" t="s">
        <v>334</v>
      </c>
    </row>
    <row r="621" spans="28:31">
      <c r="AB621" s="231" t="s">
        <v>1010</v>
      </c>
      <c r="AC621" s="217" t="s">
        <v>333</v>
      </c>
      <c r="AD621" s="217" t="s">
        <v>334</v>
      </c>
      <c r="AE621" s="217" t="s">
        <v>334</v>
      </c>
    </row>
    <row r="622" spans="28:31">
      <c r="AB622" s="231" t="s">
        <v>1011</v>
      </c>
      <c r="AC622" s="217" t="s">
        <v>333</v>
      </c>
      <c r="AD622" s="217" t="s">
        <v>334</v>
      </c>
      <c r="AE622" s="217" t="s">
        <v>334</v>
      </c>
    </row>
    <row r="623" spans="28:31">
      <c r="AB623" s="231" t="s">
        <v>1012</v>
      </c>
      <c r="AC623" s="217" t="s">
        <v>333</v>
      </c>
      <c r="AD623" s="217" t="s">
        <v>334</v>
      </c>
      <c r="AE623" s="217" t="s">
        <v>334</v>
      </c>
    </row>
    <row r="624" spans="28:31">
      <c r="AB624" s="231" t="s">
        <v>1013</v>
      </c>
      <c r="AC624" s="217" t="s">
        <v>333</v>
      </c>
      <c r="AD624" s="217" t="s">
        <v>334</v>
      </c>
      <c r="AE624" s="217" t="s">
        <v>334</v>
      </c>
    </row>
    <row r="625" spans="28:31">
      <c r="AB625" s="231" t="s">
        <v>1014</v>
      </c>
      <c r="AC625" s="217" t="s">
        <v>333</v>
      </c>
      <c r="AD625" s="217" t="s">
        <v>334</v>
      </c>
      <c r="AE625" s="217" t="s">
        <v>334</v>
      </c>
    </row>
    <row r="626" spans="28:31">
      <c r="AB626" s="231" t="s">
        <v>1015</v>
      </c>
      <c r="AC626" s="217" t="s">
        <v>333</v>
      </c>
      <c r="AD626" s="217" t="s">
        <v>334</v>
      </c>
      <c r="AE626" s="217" t="s">
        <v>334</v>
      </c>
    </row>
    <row r="627" spans="28:31">
      <c r="AB627" s="231" t="s">
        <v>1016</v>
      </c>
      <c r="AC627" s="217" t="s">
        <v>333</v>
      </c>
      <c r="AD627" s="217" t="s">
        <v>334</v>
      </c>
      <c r="AE627" s="217" t="s">
        <v>334</v>
      </c>
    </row>
    <row r="628" spans="28:31">
      <c r="AB628" s="231" t="s">
        <v>1017</v>
      </c>
      <c r="AC628" s="217" t="s">
        <v>333</v>
      </c>
      <c r="AD628" s="217" t="s">
        <v>334</v>
      </c>
      <c r="AE628" s="217" t="s">
        <v>334</v>
      </c>
    </row>
    <row r="629" spans="28:31">
      <c r="AB629" s="231" t="s">
        <v>1018</v>
      </c>
      <c r="AC629" s="217" t="s">
        <v>333</v>
      </c>
      <c r="AD629" s="217" t="s">
        <v>334</v>
      </c>
      <c r="AE629" s="217" t="s">
        <v>334</v>
      </c>
    </row>
    <row r="630" spans="28:31">
      <c r="AB630" s="231" t="s">
        <v>1019</v>
      </c>
      <c r="AC630" s="217" t="s">
        <v>333</v>
      </c>
      <c r="AD630" s="217" t="s">
        <v>334</v>
      </c>
      <c r="AE630" s="217" t="s">
        <v>334</v>
      </c>
    </row>
    <row r="631" spans="28:31">
      <c r="AB631" s="231" t="s">
        <v>1020</v>
      </c>
      <c r="AC631" s="217" t="s">
        <v>333</v>
      </c>
      <c r="AD631" s="217" t="s">
        <v>334</v>
      </c>
      <c r="AE631" s="217" t="s">
        <v>334</v>
      </c>
    </row>
    <row r="632" spans="28:31">
      <c r="AB632" s="231" t="s">
        <v>1021</v>
      </c>
      <c r="AC632" s="217" t="s">
        <v>333</v>
      </c>
      <c r="AD632" s="217" t="s">
        <v>334</v>
      </c>
      <c r="AE632" s="217" t="s">
        <v>334</v>
      </c>
    </row>
    <row r="633" spans="28:31">
      <c r="AB633" s="231" t="s">
        <v>1022</v>
      </c>
      <c r="AC633" s="217" t="s">
        <v>333</v>
      </c>
      <c r="AD633" s="217" t="s">
        <v>334</v>
      </c>
      <c r="AE633" s="217" t="s">
        <v>334</v>
      </c>
    </row>
    <row r="634" spans="28:31">
      <c r="AB634" s="231" t="s">
        <v>1023</v>
      </c>
      <c r="AC634" s="217" t="s">
        <v>333</v>
      </c>
      <c r="AD634" s="217" t="s">
        <v>334</v>
      </c>
      <c r="AE634" s="217" t="s">
        <v>334</v>
      </c>
    </row>
    <row r="635" spans="28:31">
      <c r="AB635" s="231" t="s">
        <v>1024</v>
      </c>
      <c r="AC635" s="217" t="s">
        <v>333</v>
      </c>
      <c r="AD635" s="217" t="s">
        <v>334</v>
      </c>
      <c r="AE635" s="217" t="s">
        <v>334</v>
      </c>
    </row>
    <row r="636" spans="28:31">
      <c r="AB636" s="231" t="s">
        <v>1025</v>
      </c>
      <c r="AC636" s="217" t="s">
        <v>333</v>
      </c>
      <c r="AD636" s="217" t="s">
        <v>334</v>
      </c>
      <c r="AE636" s="217" t="s">
        <v>334</v>
      </c>
    </row>
    <row r="637" spans="28:31">
      <c r="AB637" s="231" t="s">
        <v>1026</v>
      </c>
      <c r="AC637" s="217" t="s">
        <v>333</v>
      </c>
      <c r="AD637" s="217" t="s">
        <v>334</v>
      </c>
      <c r="AE637" s="217" t="s">
        <v>334</v>
      </c>
    </row>
    <row r="638" spans="28:31">
      <c r="AB638" s="231" t="s">
        <v>1027</v>
      </c>
      <c r="AC638" s="217" t="s">
        <v>333</v>
      </c>
      <c r="AD638" s="217" t="s">
        <v>334</v>
      </c>
      <c r="AE638" s="217" t="s">
        <v>334</v>
      </c>
    </row>
    <row r="639" spans="28:31">
      <c r="AB639" s="231" t="s">
        <v>1028</v>
      </c>
      <c r="AC639" s="217" t="s">
        <v>333</v>
      </c>
      <c r="AD639" s="217" t="s">
        <v>334</v>
      </c>
      <c r="AE639" s="217" t="s">
        <v>334</v>
      </c>
    </row>
    <row r="640" spans="28:31">
      <c r="AB640" s="231" t="s">
        <v>1029</v>
      </c>
      <c r="AC640" s="217" t="s">
        <v>333</v>
      </c>
      <c r="AD640" s="217" t="s">
        <v>334</v>
      </c>
      <c r="AE640" s="217" t="s">
        <v>334</v>
      </c>
    </row>
    <row r="641" spans="28:31">
      <c r="AB641" s="231" t="s">
        <v>1030</v>
      </c>
      <c r="AC641" s="217" t="s">
        <v>333</v>
      </c>
      <c r="AD641" s="217" t="s">
        <v>334</v>
      </c>
      <c r="AE641" s="217" t="s">
        <v>334</v>
      </c>
    </row>
    <row r="642" spans="28:31">
      <c r="AB642" s="231" t="s">
        <v>1031</v>
      </c>
      <c r="AC642" s="217" t="s">
        <v>333</v>
      </c>
      <c r="AD642" s="217" t="s">
        <v>334</v>
      </c>
      <c r="AE642" s="217" t="s">
        <v>334</v>
      </c>
    </row>
    <row r="643" spans="28:31">
      <c r="AB643" s="231" t="s">
        <v>1032</v>
      </c>
      <c r="AC643" s="217" t="s">
        <v>333</v>
      </c>
      <c r="AD643" s="217" t="s">
        <v>334</v>
      </c>
      <c r="AE643" s="217" t="s">
        <v>334</v>
      </c>
    </row>
    <row r="644" spans="28:31">
      <c r="AB644" s="231" t="s">
        <v>1033</v>
      </c>
      <c r="AC644" s="217" t="s">
        <v>333</v>
      </c>
      <c r="AD644" s="217" t="s">
        <v>334</v>
      </c>
      <c r="AE644" s="217" t="s">
        <v>334</v>
      </c>
    </row>
    <row r="645" spans="28:31">
      <c r="AB645" s="231" t="s">
        <v>1034</v>
      </c>
      <c r="AC645" s="217" t="s">
        <v>333</v>
      </c>
      <c r="AD645" s="217" t="s">
        <v>334</v>
      </c>
      <c r="AE645" s="217" t="s">
        <v>334</v>
      </c>
    </row>
    <row r="646" spans="28:31">
      <c r="AB646" s="231" t="s">
        <v>1035</v>
      </c>
      <c r="AC646" s="217" t="s">
        <v>333</v>
      </c>
      <c r="AD646" s="217" t="s">
        <v>334</v>
      </c>
      <c r="AE646" s="217" t="s">
        <v>334</v>
      </c>
    </row>
    <row r="647" spans="28:31">
      <c r="AB647" s="231" t="s">
        <v>1036</v>
      </c>
      <c r="AC647" s="217" t="s">
        <v>333</v>
      </c>
      <c r="AD647" s="217" t="s">
        <v>334</v>
      </c>
      <c r="AE647" s="217" t="s">
        <v>334</v>
      </c>
    </row>
    <row r="648" spans="28:31">
      <c r="AB648" s="231" t="s">
        <v>1037</v>
      </c>
      <c r="AC648" s="217" t="s">
        <v>333</v>
      </c>
      <c r="AD648" s="217" t="s">
        <v>334</v>
      </c>
      <c r="AE648" s="217" t="s">
        <v>334</v>
      </c>
    </row>
    <row r="649" spans="28:31">
      <c r="AB649" s="231" t="s">
        <v>1038</v>
      </c>
      <c r="AC649" s="217" t="s">
        <v>333</v>
      </c>
      <c r="AD649" s="217" t="s">
        <v>334</v>
      </c>
      <c r="AE649" s="217" t="s">
        <v>334</v>
      </c>
    </row>
    <row r="650" spans="28:31">
      <c r="AB650" s="231" t="s">
        <v>1039</v>
      </c>
      <c r="AC650" s="217" t="s">
        <v>333</v>
      </c>
      <c r="AD650" s="217" t="s">
        <v>334</v>
      </c>
      <c r="AE650" s="217" t="s">
        <v>334</v>
      </c>
    </row>
    <row r="651" spans="28:31">
      <c r="AB651" s="231" t="s">
        <v>1040</v>
      </c>
      <c r="AC651" s="217" t="s">
        <v>333</v>
      </c>
      <c r="AD651" s="217" t="s">
        <v>334</v>
      </c>
      <c r="AE651" s="217" t="s">
        <v>334</v>
      </c>
    </row>
    <row r="652" spans="28:31">
      <c r="AB652" s="231" t="s">
        <v>1041</v>
      </c>
      <c r="AC652" s="217" t="s">
        <v>333</v>
      </c>
      <c r="AD652" s="217" t="s">
        <v>334</v>
      </c>
      <c r="AE652" s="217" t="s">
        <v>334</v>
      </c>
    </row>
    <row r="653" spans="28:31">
      <c r="AB653" s="231" t="s">
        <v>1042</v>
      </c>
      <c r="AC653" s="217" t="s">
        <v>333</v>
      </c>
      <c r="AD653" s="217" t="s">
        <v>334</v>
      </c>
      <c r="AE653" s="217" t="s">
        <v>334</v>
      </c>
    </row>
    <row r="654" spans="28:31">
      <c r="AB654" s="231" t="s">
        <v>1043</v>
      </c>
      <c r="AC654" s="217" t="s">
        <v>333</v>
      </c>
      <c r="AD654" s="217" t="s">
        <v>334</v>
      </c>
      <c r="AE654" s="217" t="s">
        <v>334</v>
      </c>
    </row>
    <row r="655" spans="28:31">
      <c r="AB655" s="231" t="s">
        <v>1044</v>
      </c>
      <c r="AC655" s="217" t="s">
        <v>333</v>
      </c>
      <c r="AD655" s="217" t="s">
        <v>334</v>
      </c>
      <c r="AE655" s="217" t="s">
        <v>334</v>
      </c>
    </row>
    <row r="656" spans="28:31">
      <c r="AB656" s="231" t="s">
        <v>1045</v>
      </c>
      <c r="AC656" s="217" t="s">
        <v>333</v>
      </c>
      <c r="AD656" s="217" t="s">
        <v>334</v>
      </c>
      <c r="AE656" s="217" t="s">
        <v>334</v>
      </c>
    </row>
    <row r="657" spans="28:31">
      <c r="AB657" s="231" t="s">
        <v>1046</v>
      </c>
      <c r="AC657" s="217" t="s">
        <v>333</v>
      </c>
      <c r="AD657" s="217" t="s">
        <v>334</v>
      </c>
      <c r="AE657" s="217" t="s">
        <v>334</v>
      </c>
    </row>
    <row r="658" spans="28:31">
      <c r="AB658" s="231" t="s">
        <v>1047</v>
      </c>
      <c r="AC658" s="217" t="s">
        <v>333</v>
      </c>
      <c r="AD658" s="217" t="s">
        <v>334</v>
      </c>
      <c r="AE658" s="217" t="s">
        <v>334</v>
      </c>
    </row>
    <row r="659" spans="28:31">
      <c r="AB659" s="231" t="s">
        <v>1048</v>
      </c>
      <c r="AC659" s="217" t="s">
        <v>333</v>
      </c>
      <c r="AD659" s="217" t="s">
        <v>334</v>
      </c>
      <c r="AE659" s="217" t="s">
        <v>334</v>
      </c>
    </row>
    <row r="660" spans="28:31">
      <c r="AB660" s="231" t="s">
        <v>1049</v>
      </c>
      <c r="AC660" s="217" t="s">
        <v>333</v>
      </c>
      <c r="AD660" s="217" t="s">
        <v>334</v>
      </c>
      <c r="AE660" s="217" t="s">
        <v>334</v>
      </c>
    </row>
    <row r="661" spans="28:31">
      <c r="AB661" s="231" t="s">
        <v>1050</v>
      </c>
      <c r="AC661" s="217" t="s">
        <v>333</v>
      </c>
      <c r="AD661" s="217" t="s">
        <v>334</v>
      </c>
      <c r="AE661" s="217" t="s">
        <v>334</v>
      </c>
    </row>
    <row r="662" spans="28:31">
      <c r="AB662" s="231" t="s">
        <v>1051</v>
      </c>
      <c r="AC662" s="217" t="s">
        <v>333</v>
      </c>
      <c r="AD662" s="217" t="s">
        <v>334</v>
      </c>
      <c r="AE662" s="217" t="s">
        <v>334</v>
      </c>
    </row>
    <row r="663" spans="28:31">
      <c r="AB663" s="231" t="s">
        <v>1052</v>
      </c>
      <c r="AC663" s="217" t="s">
        <v>333</v>
      </c>
      <c r="AD663" s="217" t="s">
        <v>334</v>
      </c>
      <c r="AE663" s="217" t="s">
        <v>334</v>
      </c>
    </row>
    <row r="664" spans="28:31">
      <c r="AB664" s="231" t="s">
        <v>1053</v>
      </c>
      <c r="AC664" s="217" t="s">
        <v>333</v>
      </c>
      <c r="AD664" s="217" t="s">
        <v>334</v>
      </c>
      <c r="AE664" s="217" t="s">
        <v>334</v>
      </c>
    </row>
    <row r="665" spans="28:31">
      <c r="AB665" s="231" t="s">
        <v>1054</v>
      </c>
      <c r="AC665" s="217" t="s">
        <v>333</v>
      </c>
      <c r="AD665" s="217" t="s">
        <v>334</v>
      </c>
      <c r="AE665" s="217" t="s">
        <v>334</v>
      </c>
    </row>
    <row r="666" spans="28:31">
      <c r="AB666" s="231" t="s">
        <v>1055</v>
      </c>
      <c r="AC666" s="217" t="s">
        <v>333</v>
      </c>
      <c r="AD666" s="217" t="s">
        <v>334</v>
      </c>
      <c r="AE666" s="217" t="s">
        <v>334</v>
      </c>
    </row>
    <row r="667" spans="28:31">
      <c r="AB667" s="231" t="s">
        <v>1056</v>
      </c>
      <c r="AC667" s="217" t="s">
        <v>333</v>
      </c>
      <c r="AD667" s="217" t="s">
        <v>334</v>
      </c>
      <c r="AE667" s="217" t="s">
        <v>334</v>
      </c>
    </row>
    <row r="668" spans="28:31">
      <c r="AB668" s="231" t="s">
        <v>1057</v>
      </c>
      <c r="AC668" s="217" t="s">
        <v>333</v>
      </c>
      <c r="AD668" s="217" t="s">
        <v>334</v>
      </c>
      <c r="AE668" s="217" t="s">
        <v>334</v>
      </c>
    </row>
    <row r="669" spans="28:31">
      <c r="AB669" s="231" t="s">
        <v>1058</v>
      </c>
      <c r="AC669" s="217" t="s">
        <v>333</v>
      </c>
      <c r="AD669" s="217" t="s">
        <v>334</v>
      </c>
      <c r="AE669" s="217" t="s">
        <v>334</v>
      </c>
    </row>
    <row r="670" spans="28:31">
      <c r="AB670" s="231" t="s">
        <v>1059</v>
      </c>
      <c r="AC670" s="217" t="s">
        <v>333</v>
      </c>
      <c r="AD670" s="217" t="s">
        <v>334</v>
      </c>
      <c r="AE670" s="217" t="s">
        <v>334</v>
      </c>
    </row>
    <row r="671" spans="28:31">
      <c r="AB671" s="231" t="s">
        <v>1060</v>
      </c>
      <c r="AC671" s="217" t="s">
        <v>333</v>
      </c>
      <c r="AD671" s="217" t="s">
        <v>334</v>
      </c>
      <c r="AE671" s="217" t="s">
        <v>334</v>
      </c>
    </row>
    <row r="672" spans="28:31">
      <c r="AB672" s="231" t="s">
        <v>1061</v>
      </c>
      <c r="AC672" s="217" t="s">
        <v>333</v>
      </c>
      <c r="AD672" s="217" t="s">
        <v>334</v>
      </c>
      <c r="AE672" s="217" t="s">
        <v>334</v>
      </c>
    </row>
    <row r="673" spans="28:31">
      <c r="AB673" s="231" t="s">
        <v>1062</v>
      </c>
      <c r="AC673" s="217" t="s">
        <v>333</v>
      </c>
      <c r="AD673" s="217" t="s">
        <v>334</v>
      </c>
      <c r="AE673" s="217" t="s">
        <v>334</v>
      </c>
    </row>
    <row r="674" spans="28:31">
      <c r="AB674" s="231" t="s">
        <v>1063</v>
      </c>
      <c r="AC674" s="217" t="s">
        <v>333</v>
      </c>
      <c r="AD674" s="217" t="s">
        <v>334</v>
      </c>
      <c r="AE674" s="217" t="s">
        <v>334</v>
      </c>
    </row>
    <row r="675" spans="28:31">
      <c r="AB675" s="231" t="s">
        <v>1064</v>
      </c>
      <c r="AC675" s="217" t="s">
        <v>333</v>
      </c>
      <c r="AD675" s="217" t="s">
        <v>334</v>
      </c>
      <c r="AE675" s="217" t="s">
        <v>334</v>
      </c>
    </row>
    <row r="676" spans="28:31">
      <c r="AB676" s="231" t="s">
        <v>1065</v>
      </c>
      <c r="AC676" s="217" t="s">
        <v>333</v>
      </c>
      <c r="AD676" s="217" t="s">
        <v>334</v>
      </c>
      <c r="AE676" s="217" t="s">
        <v>334</v>
      </c>
    </row>
    <row r="677" spans="28:31">
      <c r="AB677" s="231" t="s">
        <v>1066</v>
      </c>
      <c r="AC677" s="217" t="s">
        <v>333</v>
      </c>
      <c r="AD677" s="217" t="s">
        <v>334</v>
      </c>
      <c r="AE677" s="217" t="s">
        <v>334</v>
      </c>
    </row>
    <row r="678" spans="28:31">
      <c r="AB678" s="231" t="s">
        <v>1067</v>
      </c>
      <c r="AC678" s="217" t="s">
        <v>333</v>
      </c>
      <c r="AD678" s="217" t="s">
        <v>334</v>
      </c>
      <c r="AE678" s="217" t="s">
        <v>334</v>
      </c>
    </row>
    <row r="679" spans="28:31">
      <c r="AB679" s="231" t="s">
        <v>1068</v>
      </c>
      <c r="AC679" s="217" t="s">
        <v>333</v>
      </c>
      <c r="AD679" s="217" t="s">
        <v>334</v>
      </c>
      <c r="AE679" s="217" t="s">
        <v>334</v>
      </c>
    </row>
    <row r="680" spans="28:31">
      <c r="AB680" s="231" t="s">
        <v>1069</v>
      </c>
      <c r="AC680" s="217" t="s">
        <v>333</v>
      </c>
      <c r="AD680" s="217" t="s">
        <v>334</v>
      </c>
      <c r="AE680" s="217" t="s">
        <v>334</v>
      </c>
    </row>
    <row r="681" spans="28:31">
      <c r="AB681" s="231" t="s">
        <v>1070</v>
      </c>
      <c r="AC681" s="217" t="s">
        <v>333</v>
      </c>
      <c r="AD681" s="217" t="s">
        <v>334</v>
      </c>
      <c r="AE681" s="217" t="s">
        <v>334</v>
      </c>
    </row>
    <row r="682" spans="28:31">
      <c r="AB682" s="231" t="s">
        <v>1071</v>
      </c>
      <c r="AC682" s="217" t="s">
        <v>333</v>
      </c>
      <c r="AD682" s="217" t="s">
        <v>334</v>
      </c>
      <c r="AE682" s="217" t="s">
        <v>334</v>
      </c>
    </row>
    <row r="683" spans="28:31">
      <c r="AB683" s="231" t="s">
        <v>1072</v>
      </c>
      <c r="AC683" s="217" t="s">
        <v>333</v>
      </c>
      <c r="AD683" s="217" t="s">
        <v>334</v>
      </c>
      <c r="AE683" s="217" t="s">
        <v>334</v>
      </c>
    </row>
    <row r="684" spans="28:31">
      <c r="AB684" s="231" t="s">
        <v>1073</v>
      </c>
      <c r="AC684" s="217" t="s">
        <v>333</v>
      </c>
      <c r="AD684" s="217" t="s">
        <v>334</v>
      </c>
      <c r="AE684" s="217" t="s">
        <v>334</v>
      </c>
    </row>
    <row r="685" spans="28:31">
      <c r="AB685" s="231" t="s">
        <v>1074</v>
      </c>
      <c r="AC685" s="217" t="s">
        <v>333</v>
      </c>
      <c r="AD685" s="217" t="s">
        <v>334</v>
      </c>
      <c r="AE685" s="217" t="s">
        <v>334</v>
      </c>
    </row>
    <row r="686" spans="28:31">
      <c r="AB686" s="231" t="s">
        <v>1075</v>
      </c>
      <c r="AC686" s="217" t="s">
        <v>333</v>
      </c>
      <c r="AD686" s="217" t="s">
        <v>334</v>
      </c>
      <c r="AE686" s="217" t="s">
        <v>334</v>
      </c>
    </row>
    <row r="687" spans="28:31">
      <c r="AB687" s="231" t="s">
        <v>1076</v>
      </c>
      <c r="AC687" s="217" t="s">
        <v>333</v>
      </c>
      <c r="AD687" s="217" t="s">
        <v>334</v>
      </c>
      <c r="AE687" s="217" t="s">
        <v>334</v>
      </c>
    </row>
    <row r="688" spans="28:31">
      <c r="AB688" s="231" t="s">
        <v>1077</v>
      </c>
      <c r="AC688" s="217" t="s">
        <v>333</v>
      </c>
      <c r="AD688" s="217" t="s">
        <v>334</v>
      </c>
      <c r="AE688" s="217" t="s">
        <v>334</v>
      </c>
    </row>
    <row r="689" spans="28:31">
      <c r="AB689" s="231" t="s">
        <v>1078</v>
      </c>
      <c r="AC689" s="217" t="s">
        <v>333</v>
      </c>
      <c r="AD689" s="217" t="s">
        <v>334</v>
      </c>
      <c r="AE689" s="217" t="s">
        <v>334</v>
      </c>
    </row>
    <row r="690" spans="28:31">
      <c r="AB690" s="231" t="s">
        <v>1079</v>
      </c>
      <c r="AC690" s="217" t="s">
        <v>333</v>
      </c>
      <c r="AD690" s="217" t="s">
        <v>334</v>
      </c>
      <c r="AE690" s="217" t="s">
        <v>334</v>
      </c>
    </row>
    <row r="691" spans="28:31">
      <c r="AB691" s="231" t="s">
        <v>1080</v>
      </c>
      <c r="AC691" s="217" t="s">
        <v>333</v>
      </c>
      <c r="AD691" s="217" t="s">
        <v>334</v>
      </c>
      <c r="AE691" s="217" t="s">
        <v>334</v>
      </c>
    </row>
    <row r="692" spans="28:31">
      <c r="AB692" s="231" t="s">
        <v>1081</v>
      </c>
      <c r="AC692" s="217" t="s">
        <v>333</v>
      </c>
      <c r="AD692" s="217" t="s">
        <v>334</v>
      </c>
      <c r="AE692" s="217" t="s">
        <v>334</v>
      </c>
    </row>
    <row r="693" spans="28:31">
      <c r="AB693" s="231" t="s">
        <v>1082</v>
      </c>
      <c r="AC693" s="217" t="s">
        <v>333</v>
      </c>
      <c r="AD693" s="217" t="s">
        <v>334</v>
      </c>
      <c r="AE693" s="217" t="s">
        <v>334</v>
      </c>
    </row>
    <row r="694" spans="28:31">
      <c r="AB694" s="231" t="s">
        <v>1083</v>
      </c>
      <c r="AC694" s="217" t="s">
        <v>333</v>
      </c>
      <c r="AD694" s="217" t="s">
        <v>334</v>
      </c>
      <c r="AE694" s="217" t="s">
        <v>334</v>
      </c>
    </row>
    <row r="695" spans="28:31">
      <c r="AB695" s="231" t="s">
        <v>1084</v>
      </c>
      <c r="AC695" s="217" t="s">
        <v>333</v>
      </c>
      <c r="AD695" s="217" t="s">
        <v>334</v>
      </c>
      <c r="AE695" s="217" t="s">
        <v>334</v>
      </c>
    </row>
    <row r="696" spans="28:31">
      <c r="AB696" s="231" t="s">
        <v>1085</v>
      </c>
      <c r="AC696" s="217" t="s">
        <v>333</v>
      </c>
      <c r="AD696" s="217" t="s">
        <v>334</v>
      </c>
      <c r="AE696" s="217" t="s">
        <v>334</v>
      </c>
    </row>
    <row r="697" spans="28:31">
      <c r="AB697" s="231" t="s">
        <v>1086</v>
      </c>
      <c r="AC697" s="217" t="s">
        <v>333</v>
      </c>
      <c r="AD697" s="217" t="s">
        <v>334</v>
      </c>
      <c r="AE697" s="217" t="s">
        <v>334</v>
      </c>
    </row>
    <row r="698" spans="28:31">
      <c r="AB698" s="231" t="s">
        <v>1087</v>
      </c>
      <c r="AC698" s="217" t="s">
        <v>333</v>
      </c>
      <c r="AD698" s="217" t="s">
        <v>334</v>
      </c>
      <c r="AE698" s="217" t="s">
        <v>334</v>
      </c>
    </row>
    <row r="699" spans="28:31">
      <c r="AB699" s="231" t="s">
        <v>1088</v>
      </c>
      <c r="AC699" s="217" t="s">
        <v>333</v>
      </c>
      <c r="AD699" s="217" t="s">
        <v>334</v>
      </c>
      <c r="AE699" s="217" t="s">
        <v>334</v>
      </c>
    </row>
    <row r="700" spans="28:31">
      <c r="AB700" s="231" t="s">
        <v>1089</v>
      </c>
      <c r="AC700" s="217" t="s">
        <v>333</v>
      </c>
      <c r="AD700" s="217" t="s">
        <v>334</v>
      </c>
      <c r="AE700" s="217" t="s">
        <v>334</v>
      </c>
    </row>
    <row r="701" spans="28:31">
      <c r="AB701" s="231" t="s">
        <v>1090</v>
      </c>
      <c r="AC701" s="217" t="s">
        <v>333</v>
      </c>
      <c r="AD701" s="217" t="s">
        <v>334</v>
      </c>
      <c r="AE701" s="217" t="s">
        <v>334</v>
      </c>
    </row>
    <row r="702" spans="28:31">
      <c r="AB702" s="231" t="s">
        <v>1091</v>
      </c>
      <c r="AC702" s="217" t="s">
        <v>333</v>
      </c>
      <c r="AD702" s="217" t="s">
        <v>334</v>
      </c>
      <c r="AE702" s="217" t="s">
        <v>334</v>
      </c>
    </row>
    <row r="703" spans="28:31">
      <c r="AB703" s="231" t="s">
        <v>1092</v>
      </c>
      <c r="AC703" s="217" t="s">
        <v>333</v>
      </c>
      <c r="AD703" s="217" t="s">
        <v>334</v>
      </c>
      <c r="AE703" s="217" t="s">
        <v>334</v>
      </c>
    </row>
    <row r="704" spans="28:31">
      <c r="AB704" s="231" t="s">
        <v>1093</v>
      </c>
      <c r="AC704" s="217" t="s">
        <v>333</v>
      </c>
      <c r="AD704" s="217" t="s">
        <v>334</v>
      </c>
      <c r="AE704" s="217" t="s">
        <v>334</v>
      </c>
    </row>
    <row r="705" spans="28:31">
      <c r="AB705" s="231" t="s">
        <v>1094</v>
      </c>
      <c r="AC705" s="217" t="s">
        <v>333</v>
      </c>
      <c r="AD705" s="217" t="s">
        <v>334</v>
      </c>
      <c r="AE705" s="217" t="s">
        <v>334</v>
      </c>
    </row>
    <row r="706" spans="28:31">
      <c r="AB706" s="231" t="s">
        <v>1095</v>
      </c>
      <c r="AC706" s="217" t="s">
        <v>333</v>
      </c>
      <c r="AD706" s="217" t="s">
        <v>334</v>
      </c>
      <c r="AE706" s="217" t="s">
        <v>334</v>
      </c>
    </row>
    <row r="707" spans="28:31">
      <c r="AB707" s="231" t="s">
        <v>1096</v>
      </c>
      <c r="AC707" s="217" t="s">
        <v>333</v>
      </c>
      <c r="AD707" s="217" t="s">
        <v>334</v>
      </c>
      <c r="AE707" s="217" t="s">
        <v>334</v>
      </c>
    </row>
    <row r="708" spans="28:31">
      <c r="AB708" s="231" t="s">
        <v>1097</v>
      </c>
      <c r="AC708" s="217" t="s">
        <v>333</v>
      </c>
      <c r="AD708" s="217" t="s">
        <v>334</v>
      </c>
      <c r="AE708" s="217" t="s">
        <v>334</v>
      </c>
    </row>
    <row r="709" spans="28:31">
      <c r="AB709" s="231" t="s">
        <v>1098</v>
      </c>
      <c r="AC709" s="217" t="s">
        <v>333</v>
      </c>
      <c r="AD709" s="217" t="s">
        <v>334</v>
      </c>
      <c r="AE709" s="217" t="s">
        <v>334</v>
      </c>
    </row>
    <row r="710" spans="28:31">
      <c r="AB710" s="231" t="s">
        <v>1099</v>
      </c>
      <c r="AC710" s="217" t="s">
        <v>333</v>
      </c>
      <c r="AD710" s="217" t="s">
        <v>334</v>
      </c>
      <c r="AE710" s="217" t="s">
        <v>334</v>
      </c>
    </row>
    <row r="711" spans="28:31">
      <c r="AB711" s="231" t="s">
        <v>1100</v>
      </c>
      <c r="AC711" s="217" t="s">
        <v>333</v>
      </c>
      <c r="AD711" s="217" t="s">
        <v>334</v>
      </c>
      <c r="AE711" s="217" t="s">
        <v>334</v>
      </c>
    </row>
    <row r="712" spans="28:31">
      <c r="AB712" s="231" t="s">
        <v>1101</v>
      </c>
      <c r="AC712" s="217" t="s">
        <v>333</v>
      </c>
      <c r="AD712" s="217" t="s">
        <v>334</v>
      </c>
      <c r="AE712" s="217" t="s">
        <v>334</v>
      </c>
    </row>
    <row r="713" spans="28:31">
      <c r="AB713" s="231" t="s">
        <v>1102</v>
      </c>
      <c r="AC713" s="217" t="s">
        <v>333</v>
      </c>
      <c r="AD713" s="217" t="s">
        <v>334</v>
      </c>
      <c r="AE713" s="217" t="s">
        <v>334</v>
      </c>
    </row>
    <row r="714" spans="28:31">
      <c r="AB714" s="231" t="s">
        <v>1103</v>
      </c>
      <c r="AC714" s="217" t="s">
        <v>333</v>
      </c>
      <c r="AD714" s="217" t="s">
        <v>334</v>
      </c>
      <c r="AE714" s="217" t="s">
        <v>334</v>
      </c>
    </row>
    <row r="715" spans="28:31">
      <c r="AB715" s="231" t="s">
        <v>1104</v>
      </c>
      <c r="AC715" s="217" t="s">
        <v>333</v>
      </c>
      <c r="AD715" s="217" t="s">
        <v>334</v>
      </c>
      <c r="AE715" s="217" t="s">
        <v>334</v>
      </c>
    </row>
    <row r="716" spans="28:31">
      <c r="AB716" s="231" t="s">
        <v>1105</v>
      </c>
      <c r="AC716" s="217" t="s">
        <v>333</v>
      </c>
      <c r="AD716" s="217" t="s">
        <v>334</v>
      </c>
      <c r="AE716" s="217" t="s">
        <v>334</v>
      </c>
    </row>
    <row r="717" spans="28:31">
      <c r="AB717" s="231" t="s">
        <v>1106</v>
      </c>
      <c r="AC717" s="217" t="s">
        <v>333</v>
      </c>
      <c r="AD717" s="217" t="s">
        <v>334</v>
      </c>
      <c r="AE717" s="217" t="s">
        <v>334</v>
      </c>
    </row>
    <row r="718" spans="28:31">
      <c r="AB718" s="231" t="s">
        <v>1107</v>
      </c>
      <c r="AC718" s="217" t="s">
        <v>333</v>
      </c>
      <c r="AD718" s="217" t="s">
        <v>334</v>
      </c>
      <c r="AE718" s="217" t="s">
        <v>334</v>
      </c>
    </row>
    <row r="719" spans="28:31">
      <c r="AB719" s="231" t="s">
        <v>1108</v>
      </c>
      <c r="AC719" s="217" t="s">
        <v>333</v>
      </c>
      <c r="AD719" s="217" t="s">
        <v>334</v>
      </c>
      <c r="AE719" s="217" t="s">
        <v>334</v>
      </c>
    </row>
    <row r="720" spans="28:31">
      <c r="AB720" s="231" t="s">
        <v>1109</v>
      </c>
      <c r="AC720" s="217" t="s">
        <v>333</v>
      </c>
      <c r="AD720" s="217" t="s">
        <v>334</v>
      </c>
      <c r="AE720" s="217" t="s">
        <v>334</v>
      </c>
    </row>
    <row r="721" spans="28:31">
      <c r="AB721" s="231" t="s">
        <v>1110</v>
      </c>
      <c r="AC721" s="217" t="s">
        <v>333</v>
      </c>
      <c r="AD721" s="217" t="s">
        <v>334</v>
      </c>
      <c r="AE721" s="217" t="s">
        <v>334</v>
      </c>
    </row>
    <row r="722" spans="28:31">
      <c r="AB722" s="231" t="s">
        <v>1111</v>
      </c>
      <c r="AC722" s="217" t="s">
        <v>333</v>
      </c>
      <c r="AD722" s="217" t="s">
        <v>334</v>
      </c>
      <c r="AE722" s="217" t="s">
        <v>334</v>
      </c>
    </row>
    <row r="723" spans="28:31">
      <c r="AB723" s="231" t="s">
        <v>1112</v>
      </c>
      <c r="AC723" s="217" t="s">
        <v>333</v>
      </c>
      <c r="AD723" s="217" t="s">
        <v>334</v>
      </c>
      <c r="AE723" s="217" t="s">
        <v>334</v>
      </c>
    </row>
    <row r="724" spans="28:31">
      <c r="AB724" s="231" t="s">
        <v>1113</v>
      </c>
      <c r="AC724" s="217" t="s">
        <v>333</v>
      </c>
      <c r="AD724" s="217" t="s">
        <v>334</v>
      </c>
      <c r="AE724" s="217" t="s">
        <v>334</v>
      </c>
    </row>
    <row r="725" spans="28:31">
      <c r="AB725" s="231" t="s">
        <v>1114</v>
      </c>
      <c r="AC725" s="217" t="s">
        <v>333</v>
      </c>
      <c r="AD725" s="217" t="s">
        <v>334</v>
      </c>
      <c r="AE725" s="217" t="s">
        <v>334</v>
      </c>
    </row>
    <row r="726" spans="28:31">
      <c r="AB726" s="231" t="s">
        <v>1115</v>
      </c>
      <c r="AC726" s="217" t="s">
        <v>333</v>
      </c>
      <c r="AD726" s="217" t="s">
        <v>334</v>
      </c>
      <c r="AE726" s="217" t="s">
        <v>334</v>
      </c>
    </row>
    <row r="727" spans="28:31">
      <c r="AB727" s="231" t="s">
        <v>1116</v>
      </c>
      <c r="AC727" s="217" t="s">
        <v>333</v>
      </c>
      <c r="AD727" s="217" t="s">
        <v>334</v>
      </c>
      <c r="AE727" s="217" t="s">
        <v>334</v>
      </c>
    </row>
    <row r="728" spans="28:31">
      <c r="AB728" s="231" t="s">
        <v>1117</v>
      </c>
      <c r="AC728" s="217" t="s">
        <v>333</v>
      </c>
      <c r="AD728" s="217" t="s">
        <v>334</v>
      </c>
      <c r="AE728" s="217" t="s">
        <v>334</v>
      </c>
    </row>
    <row r="729" spans="28:31">
      <c r="AB729" s="231" t="s">
        <v>1118</v>
      </c>
      <c r="AC729" s="217" t="s">
        <v>333</v>
      </c>
      <c r="AD729" s="217" t="s">
        <v>334</v>
      </c>
      <c r="AE729" s="217" t="s">
        <v>334</v>
      </c>
    </row>
    <row r="730" spans="28:31">
      <c r="AB730" s="231" t="s">
        <v>1119</v>
      </c>
      <c r="AC730" s="217" t="s">
        <v>333</v>
      </c>
      <c r="AD730" s="217" t="s">
        <v>334</v>
      </c>
      <c r="AE730" s="217" t="s">
        <v>334</v>
      </c>
    </row>
    <row r="731" spans="28:31">
      <c r="AB731" s="231" t="s">
        <v>1120</v>
      </c>
      <c r="AC731" s="217" t="s">
        <v>333</v>
      </c>
      <c r="AD731" s="217" t="s">
        <v>334</v>
      </c>
      <c r="AE731" s="217" t="s">
        <v>334</v>
      </c>
    </row>
    <row r="732" spans="28:31">
      <c r="AB732" s="231" t="s">
        <v>1121</v>
      </c>
      <c r="AC732" s="217" t="s">
        <v>333</v>
      </c>
      <c r="AD732" s="217" t="s">
        <v>334</v>
      </c>
      <c r="AE732" s="217" t="s">
        <v>334</v>
      </c>
    </row>
    <row r="733" spans="28:31">
      <c r="AB733" s="231" t="s">
        <v>1122</v>
      </c>
      <c r="AC733" s="217" t="s">
        <v>333</v>
      </c>
      <c r="AD733" s="217" t="s">
        <v>334</v>
      </c>
      <c r="AE733" s="217" t="s">
        <v>334</v>
      </c>
    </row>
    <row r="734" spans="28:31">
      <c r="AB734" s="231" t="s">
        <v>1123</v>
      </c>
      <c r="AC734" s="217" t="s">
        <v>333</v>
      </c>
      <c r="AD734" s="217" t="s">
        <v>334</v>
      </c>
      <c r="AE734" s="217" t="s">
        <v>334</v>
      </c>
    </row>
    <row r="735" spans="28:31">
      <c r="AB735" s="231" t="s">
        <v>1124</v>
      </c>
      <c r="AC735" s="217" t="s">
        <v>333</v>
      </c>
      <c r="AD735" s="217" t="s">
        <v>334</v>
      </c>
      <c r="AE735" s="217" t="s">
        <v>334</v>
      </c>
    </row>
    <row r="736" spans="28:31">
      <c r="AB736" s="231" t="s">
        <v>1125</v>
      </c>
      <c r="AC736" s="217" t="s">
        <v>333</v>
      </c>
      <c r="AD736" s="217" t="s">
        <v>334</v>
      </c>
      <c r="AE736" s="217" t="s">
        <v>334</v>
      </c>
    </row>
    <row r="737" spans="28:31">
      <c r="AB737" s="231" t="s">
        <v>1126</v>
      </c>
      <c r="AC737" s="217" t="s">
        <v>333</v>
      </c>
      <c r="AD737" s="217" t="s">
        <v>334</v>
      </c>
      <c r="AE737" s="217" t="s">
        <v>334</v>
      </c>
    </row>
    <row r="738" spans="28:31">
      <c r="AB738" s="231" t="s">
        <v>1127</v>
      </c>
      <c r="AC738" s="217" t="s">
        <v>333</v>
      </c>
      <c r="AD738" s="217" t="s">
        <v>334</v>
      </c>
      <c r="AE738" s="217" t="s">
        <v>334</v>
      </c>
    </row>
    <row r="739" spans="28:31">
      <c r="AB739" s="231" t="s">
        <v>1128</v>
      </c>
      <c r="AC739" s="217" t="s">
        <v>333</v>
      </c>
      <c r="AD739" s="217" t="s">
        <v>334</v>
      </c>
      <c r="AE739" s="217" t="s">
        <v>334</v>
      </c>
    </row>
    <row r="740" spans="28:31">
      <c r="AB740" s="231" t="s">
        <v>1129</v>
      </c>
      <c r="AC740" s="217" t="s">
        <v>333</v>
      </c>
      <c r="AD740" s="217" t="s">
        <v>334</v>
      </c>
      <c r="AE740" s="217" t="s">
        <v>334</v>
      </c>
    </row>
    <row r="741" spans="28:31">
      <c r="AB741" s="231" t="s">
        <v>1130</v>
      </c>
      <c r="AC741" s="217" t="s">
        <v>333</v>
      </c>
      <c r="AD741" s="217" t="s">
        <v>334</v>
      </c>
      <c r="AE741" s="217" t="s">
        <v>334</v>
      </c>
    </row>
    <row r="742" spans="28:31">
      <c r="AB742" s="231" t="s">
        <v>1131</v>
      </c>
      <c r="AC742" s="217" t="s">
        <v>333</v>
      </c>
      <c r="AD742" s="217" t="s">
        <v>334</v>
      </c>
      <c r="AE742" s="217" t="s">
        <v>334</v>
      </c>
    </row>
    <row r="743" spans="28:31">
      <c r="AB743" s="231" t="s">
        <v>1132</v>
      </c>
      <c r="AC743" s="217" t="s">
        <v>333</v>
      </c>
      <c r="AD743" s="217" t="s">
        <v>334</v>
      </c>
      <c r="AE743" s="217" t="s">
        <v>334</v>
      </c>
    </row>
    <row r="744" spans="28:31">
      <c r="AB744" s="231" t="s">
        <v>1133</v>
      </c>
      <c r="AC744" s="217" t="s">
        <v>333</v>
      </c>
      <c r="AD744" s="217" t="s">
        <v>334</v>
      </c>
      <c r="AE744" s="217" t="s">
        <v>334</v>
      </c>
    </row>
    <row r="745" spans="28:31">
      <c r="AB745" s="231" t="s">
        <v>1134</v>
      </c>
      <c r="AC745" s="217" t="s">
        <v>333</v>
      </c>
      <c r="AD745" s="217" t="s">
        <v>334</v>
      </c>
      <c r="AE745" s="217" t="s">
        <v>334</v>
      </c>
    </row>
    <row r="746" spans="28:31">
      <c r="AB746" s="231" t="s">
        <v>1135</v>
      </c>
      <c r="AC746" s="217" t="s">
        <v>333</v>
      </c>
      <c r="AD746" s="217" t="s">
        <v>334</v>
      </c>
      <c r="AE746" s="217" t="s">
        <v>334</v>
      </c>
    </row>
    <row r="747" spans="28:31">
      <c r="AB747" s="231" t="s">
        <v>1136</v>
      </c>
      <c r="AC747" s="217" t="s">
        <v>333</v>
      </c>
      <c r="AD747" s="217" t="s">
        <v>334</v>
      </c>
      <c r="AE747" s="217" t="s">
        <v>334</v>
      </c>
    </row>
    <row r="748" spans="28:31">
      <c r="AB748" s="231" t="s">
        <v>1137</v>
      </c>
      <c r="AC748" s="217" t="s">
        <v>333</v>
      </c>
      <c r="AD748" s="217" t="s">
        <v>334</v>
      </c>
      <c r="AE748" s="217" t="s">
        <v>334</v>
      </c>
    </row>
    <row r="749" spans="28:31">
      <c r="AB749" s="231" t="s">
        <v>1138</v>
      </c>
      <c r="AC749" s="217" t="s">
        <v>333</v>
      </c>
      <c r="AD749" s="217" t="s">
        <v>334</v>
      </c>
      <c r="AE749" s="217" t="s">
        <v>334</v>
      </c>
    </row>
    <row r="750" spans="28:31">
      <c r="AB750" s="231" t="s">
        <v>1139</v>
      </c>
      <c r="AC750" s="217" t="s">
        <v>333</v>
      </c>
      <c r="AD750" s="217" t="s">
        <v>334</v>
      </c>
      <c r="AE750" s="217" t="s">
        <v>334</v>
      </c>
    </row>
    <row r="751" spans="28:31">
      <c r="AB751" s="231" t="s">
        <v>1140</v>
      </c>
      <c r="AC751" s="217" t="s">
        <v>333</v>
      </c>
      <c r="AD751" s="217" t="s">
        <v>334</v>
      </c>
      <c r="AE751" s="217" t="s">
        <v>334</v>
      </c>
    </row>
    <row r="752" spans="28:31">
      <c r="AB752" s="231" t="s">
        <v>1141</v>
      </c>
      <c r="AC752" s="217" t="s">
        <v>333</v>
      </c>
      <c r="AD752" s="217" t="s">
        <v>334</v>
      </c>
      <c r="AE752" s="217" t="s">
        <v>334</v>
      </c>
    </row>
    <row r="753" spans="28:31">
      <c r="AB753" s="231" t="s">
        <v>1142</v>
      </c>
      <c r="AC753" s="217" t="s">
        <v>333</v>
      </c>
      <c r="AD753" s="217" t="s">
        <v>334</v>
      </c>
      <c r="AE753" s="217" t="s">
        <v>334</v>
      </c>
    </row>
    <row r="754" spans="28:31">
      <c r="AB754" s="231" t="s">
        <v>1143</v>
      </c>
      <c r="AC754" s="217" t="s">
        <v>333</v>
      </c>
      <c r="AD754" s="217" t="s">
        <v>334</v>
      </c>
      <c r="AE754" s="217" t="s">
        <v>334</v>
      </c>
    </row>
    <row r="755" spans="28:31">
      <c r="AB755" s="231" t="s">
        <v>1144</v>
      </c>
      <c r="AC755" s="217" t="s">
        <v>333</v>
      </c>
      <c r="AD755" s="217" t="s">
        <v>334</v>
      </c>
      <c r="AE755" s="217" t="s">
        <v>334</v>
      </c>
    </row>
    <row r="756" spans="28:31">
      <c r="AB756" s="231" t="s">
        <v>1145</v>
      </c>
      <c r="AC756" s="217" t="s">
        <v>333</v>
      </c>
      <c r="AD756" s="217" t="s">
        <v>334</v>
      </c>
      <c r="AE756" s="217" t="s">
        <v>334</v>
      </c>
    </row>
    <row r="757" spans="28:31">
      <c r="AB757" s="231" t="s">
        <v>1146</v>
      </c>
      <c r="AC757" s="217" t="s">
        <v>333</v>
      </c>
      <c r="AD757" s="217" t="s">
        <v>334</v>
      </c>
      <c r="AE757" s="217" t="s">
        <v>334</v>
      </c>
    </row>
    <row r="758" spans="28:31">
      <c r="AB758" s="231" t="s">
        <v>1147</v>
      </c>
      <c r="AC758" s="217" t="s">
        <v>333</v>
      </c>
      <c r="AD758" s="217" t="s">
        <v>334</v>
      </c>
      <c r="AE758" s="217" t="s">
        <v>334</v>
      </c>
    </row>
    <row r="759" spans="28:31">
      <c r="AB759" s="231" t="s">
        <v>1148</v>
      </c>
      <c r="AC759" s="217" t="s">
        <v>333</v>
      </c>
      <c r="AD759" s="217" t="s">
        <v>334</v>
      </c>
      <c r="AE759" s="217" t="s">
        <v>334</v>
      </c>
    </row>
    <row r="760" spans="28:31">
      <c r="AB760" s="231" t="s">
        <v>1149</v>
      </c>
      <c r="AC760" s="217" t="s">
        <v>333</v>
      </c>
      <c r="AD760" s="217" t="s">
        <v>334</v>
      </c>
      <c r="AE760" s="217" t="s">
        <v>334</v>
      </c>
    </row>
    <row r="761" spans="28:31">
      <c r="AB761" s="231" t="s">
        <v>1150</v>
      </c>
      <c r="AC761" s="217" t="s">
        <v>333</v>
      </c>
      <c r="AD761" s="217" t="s">
        <v>334</v>
      </c>
      <c r="AE761" s="217" t="s">
        <v>334</v>
      </c>
    </row>
    <row r="762" spans="28:31">
      <c r="AB762" s="231" t="s">
        <v>1151</v>
      </c>
      <c r="AC762" s="217" t="s">
        <v>333</v>
      </c>
      <c r="AD762" s="217" t="s">
        <v>334</v>
      </c>
      <c r="AE762" s="217" t="s">
        <v>334</v>
      </c>
    </row>
    <row r="763" spans="28:31">
      <c r="AB763" s="231" t="s">
        <v>1152</v>
      </c>
      <c r="AC763" s="217" t="s">
        <v>333</v>
      </c>
      <c r="AD763" s="217" t="s">
        <v>334</v>
      </c>
      <c r="AE763" s="217" t="s">
        <v>334</v>
      </c>
    </row>
    <row r="764" spans="28:31">
      <c r="AB764" s="231" t="s">
        <v>1153</v>
      </c>
      <c r="AC764" s="217" t="s">
        <v>333</v>
      </c>
      <c r="AD764" s="217" t="s">
        <v>334</v>
      </c>
      <c r="AE764" s="217" t="s">
        <v>334</v>
      </c>
    </row>
    <row r="765" spans="28:31">
      <c r="AB765" s="231" t="s">
        <v>1154</v>
      </c>
      <c r="AC765" s="217" t="s">
        <v>333</v>
      </c>
      <c r="AD765" s="217" t="s">
        <v>334</v>
      </c>
      <c r="AE765" s="217" t="s">
        <v>334</v>
      </c>
    </row>
    <row r="766" spans="28:31">
      <c r="AB766" s="231" t="s">
        <v>1155</v>
      </c>
      <c r="AC766" s="217" t="s">
        <v>333</v>
      </c>
      <c r="AD766" s="217" t="s">
        <v>334</v>
      </c>
      <c r="AE766" s="217" t="s">
        <v>334</v>
      </c>
    </row>
    <row r="767" spans="28:31">
      <c r="AB767" s="231" t="s">
        <v>1156</v>
      </c>
      <c r="AC767" s="217" t="s">
        <v>333</v>
      </c>
      <c r="AD767" s="217" t="s">
        <v>334</v>
      </c>
      <c r="AE767" s="217" t="s">
        <v>334</v>
      </c>
    </row>
    <row r="768" spans="28:31">
      <c r="AB768" s="231" t="s">
        <v>1157</v>
      </c>
      <c r="AC768" s="217" t="s">
        <v>333</v>
      </c>
      <c r="AD768" s="217" t="s">
        <v>334</v>
      </c>
      <c r="AE768" s="217" t="s">
        <v>334</v>
      </c>
    </row>
    <row r="769" spans="28:31">
      <c r="AB769" s="231" t="s">
        <v>1158</v>
      </c>
      <c r="AC769" s="217" t="s">
        <v>333</v>
      </c>
      <c r="AD769" s="217" t="s">
        <v>334</v>
      </c>
      <c r="AE769" s="217" t="s">
        <v>334</v>
      </c>
    </row>
    <row r="770" spans="28:31">
      <c r="AB770" s="231" t="s">
        <v>1159</v>
      </c>
      <c r="AC770" s="217" t="s">
        <v>333</v>
      </c>
      <c r="AD770" s="217" t="s">
        <v>334</v>
      </c>
      <c r="AE770" s="217" t="s">
        <v>334</v>
      </c>
    </row>
    <row r="771" spans="28:31">
      <c r="AB771" s="231" t="s">
        <v>1160</v>
      </c>
      <c r="AC771" s="217" t="s">
        <v>333</v>
      </c>
      <c r="AD771" s="217" t="s">
        <v>334</v>
      </c>
      <c r="AE771" s="217" t="s">
        <v>334</v>
      </c>
    </row>
    <row r="772" spans="28:31">
      <c r="AB772" s="231" t="s">
        <v>1161</v>
      </c>
      <c r="AC772" s="217" t="s">
        <v>333</v>
      </c>
      <c r="AD772" s="217" t="s">
        <v>334</v>
      </c>
      <c r="AE772" s="217" t="s">
        <v>334</v>
      </c>
    </row>
    <row r="773" spans="28:31">
      <c r="AB773" s="231" t="s">
        <v>1162</v>
      </c>
      <c r="AC773" s="217" t="s">
        <v>333</v>
      </c>
      <c r="AD773" s="217" t="s">
        <v>334</v>
      </c>
      <c r="AE773" s="217" t="s">
        <v>334</v>
      </c>
    </row>
    <row r="774" spans="28:31">
      <c r="AB774" s="231" t="s">
        <v>1163</v>
      </c>
      <c r="AC774" s="217" t="s">
        <v>333</v>
      </c>
      <c r="AD774" s="217" t="s">
        <v>334</v>
      </c>
      <c r="AE774" s="217" t="s">
        <v>334</v>
      </c>
    </row>
    <row r="775" spans="28:31">
      <c r="AB775" s="231" t="s">
        <v>1164</v>
      </c>
      <c r="AC775" s="217" t="s">
        <v>333</v>
      </c>
      <c r="AD775" s="217" t="s">
        <v>334</v>
      </c>
      <c r="AE775" s="217" t="s">
        <v>334</v>
      </c>
    </row>
    <row r="776" spans="28:31">
      <c r="AB776" s="231" t="s">
        <v>1165</v>
      </c>
      <c r="AC776" s="217" t="s">
        <v>333</v>
      </c>
      <c r="AD776" s="217" t="s">
        <v>334</v>
      </c>
      <c r="AE776" s="217" t="s">
        <v>334</v>
      </c>
    </row>
    <row r="777" spans="28:31">
      <c r="AB777" s="231" t="s">
        <v>1166</v>
      </c>
      <c r="AC777" s="217" t="s">
        <v>333</v>
      </c>
      <c r="AD777" s="217" t="s">
        <v>334</v>
      </c>
      <c r="AE777" s="217" t="s">
        <v>334</v>
      </c>
    </row>
    <row r="778" spans="28:31">
      <c r="AB778" s="231" t="s">
        <v>1167</v>
      </c>
      <c r="AC778" s="217" t="s">
        <v>333</v>
      </c>
      <c r="AD778" s="217" t="s">
        <v>334</v>
      </c>
      <c r="AE778" s="217" t="s">
        <v>334</v>
      </c>
    </row>
    <row r="779" spans="28:31">
      <c r="AB779" s="231" t="s">
        <v>1168</v>
      </c>
      <c r="AC779" s="217" t="s">
        <v>333</v>
      </c>
      <c r="AD779" s="217" t="s">
        <v>334</v>
      </c>
      <c r="AE779" s="217" t="s">
        <v>334</v>
      </c>
    </row>
    <row r="780" spans="28:31">
      <c r="AB780" s="231" t="s">
        <v>1169</v>
      </c>
      <c r="AC780" s="217" t="s">
        <v>333</v>
      </c>
      <c r="AD780" s="217" t="s">
        <v>334</v>
      </c>
      <c r="AE780" s="217" t="s">
        <v>334</v>
      </c>
    </row>
    <row r="781" spans="28:31">
      <c r="AB781" s="231" t="s">
        <v>1170</v>
      </c>
      <c r="AC781" s="217" t="s">
        <v>333</v>
      </c>
      <c r="AD781" s="217" t="s">
        <v>334</v>
      </c>
      <c r="AE781" s="217" t="s">
        <v>334</v>
      </c>
    </row>
    <row r="782" spans="28:31">
      <c r="AB782" s="231" t="s">
        <v>1171</v>
      </c>
      <c r="AC782" s="217" t="s">
        <v>333</v>
      </c>
      <c r="AD782" s="217" t="s">
        <v>334</v>
      </c>
      <c r="AE782" s="217" t="s">
        <v>334</v>
      </c>
    </row>
    <row r="783" spans="28:31">
      <c r="AB783" s="231" t="s">
        <v>1172</v>
      </c>
      <c r="AC783" s="217" t="s">
        <v>333</v>
      </c>
      <c r="AD783" s="217" t="s">
        <v>334</v>
      </c>
      <c r="AE783" s="217" t="s">
        <v>334</v>
      </c>
    </row>
    <row r="784" spans="28:31">
      <c r="AB784" s="231" t="s">
        <v>1173</v>
      </c>
      <c r="AC784" s="217" t="s">
        <v>333</v>
      </c>
      <c r="AD784" s="217" t="s">
        <v>334</v>
      </c>
      <c r="AE784" s="217" t="s">
        <v>334</v>
      </c>
    </row>
    <row r="785" spans="28:31">
      <c r="AB785" s="231" t="s">
        <v>1174</v>
      </c>
      <c r="AC785" s="217" t="s">
        <v>333</v>
      </c>
      <c r="AD785" s="217" t="s">
        <v>334</v>
      </c>
      <c r="AE785" s="217" t="s">
        <v>334</v>
      </c>
    </row>
    <row r="786" spans="28:31">
      <c r="AB786" s="231" t="s">
        <v>1175</v>
      </c>
      <c r="AC786" s="217" t="s">
        <v>333</v>
      </c>
      <c r="AD786" s="217" t="s">
        <v>334</v>
      </c>
      <c r="AE786" s="217" t="s">
        <v>334</v>
      </c>
    </row>
    <row r="787" spans="28:31">
      <c r="AB787" s="231" t="s">
        <v>1176</v>
      </c>
      <c r="AC787" s="217" t="s">
        <v>333</v>
      </c>
      <c r="AD787" s="217" t="s">
        <v>334</v>
      </c>
      <c r="AE787" s="217" t="s">
        <v>334</v>
      </c>
    </row>
    <row r="788" spans="28:31">
      <c r="AB788" s="231" t="s">
        <v>1177</v>
      </c>
      <c r="AC788" s="217" t="s">
        <v>333</v>
      </c>
      <c r="AD788" s="217" t="s">
        <v>334</v>
      </c>
      <c r="AE788" s="217" t="s">
        <v>334</v>
      </c>
    </row>
    <row r="789" spans="28:31">
      <c r="AB789" s="231" t="s">
        <v>1178</v>
      </c>
      <c r="AC789" s="217" t="s">
        <v>333</v>
      </c>
      <c r="AD789" s="217" t="s">
        <v>334</v>
      </c>
      <c r="AE789" s="217" t="s">
        <v>334</v>
      </c>
    </row>
    <row r="790" spans="28:31">
      <c r="AB790" s="231" t="s">
        <v>1179</v>
      </c>
      <c r="AC790" s="217" t="s">
        <v>333</v>
      </c>
      <c r="AD790" s="217" t="s">
        <v>334</v>
      </c>
      <c r="AE790" s="217" t="s">
        <v>334</v>
      </c>
    </row>
    <row r="791" spans="28:31">
      <c r="AB791" s="231" t="s">
        <v>1180</v>
      </c>
      <c r="AC791" s="217" t="s">
        <v>333</v>
      </c>
      <c r="AD791" s="217" t="s">
        <v>334</v>
      </c>
      <c r="AE791" s="217" t="s">
        <v>334</v>
      </c>
    </row>
    <row r="792" spans="28:31">
      <c r="AB792" s="231" t="s">
        <v>1181</v>
      </c>
      <c r="AC792" s="217" t="s">
        <v>333</v>
      </c>
      <c r="AD792" s="217" t="s">
        <v>334</v>
      </c>
      <c r="AE792" s="217" t="s">
        <v>334</v>
      </c>
    </row>
    <row r="793" spans="28:31">
      <c r="AB793" s="231" t="s">
        <v>1182</v>
      </c>
      <c r="AC793" s="217" t="s">
        <v>333</v>
      </c>
      <c r="AD793" s="217" t="s">
        <v>334</v>
      </c>
      <c r="AE793" s="217" t="s">
        <v>334</v>
      </c>
    </row>
    <row r="794" spans="28:31">
      <c r="AB794" s="231" t="s">
        <v>1183</v>
      </c>
      <c r="AC794" s="217" t="s">
        <v>333</v>
      </c>
      <c r="AD794" s="217" t="s">
        <v>334</v>
      </c>
      <c r="AE794" s="217" t="s">
        <v>334</v>
      </c>
    </row>
    <row r="795" spans="28:31">
      <c r="AB795" s="231" t="s">
        <v>1184</v>
      </c>
      <c r="AC795" s="217" t="s">
        <v>333</v>
      </c>
      <c r="AD795" s="217" t="s">
        <v>334</v>
      </c>
      <c r="AE795" s="217" t="s">
        <v>334</v>
      </c>
    </row>
    <row r="796" spans="28:31">
      <c r="AB796" s="231" t="s">
        <v>1185</v>
      </c>
      <c r="AC796" s="217" t="s">
        <v>333</v>
      </c>
      <c r="AD796" s="217" t="s">
        <v>334</v>
      </c>
      <c r="AE796" s="217" t="s">
        <v>334</v>
      </c>
    </row>
    <row r="797" spans="28:31">
      <c r="AB797" s="231" t="s">
        <v>1186</v>
      </c>
      <c r="AC797" s="217" t="s">
        <v>333</v>
      </c>
      <c r="AD797" s="217" t="s">
        <v>334</v>
      </c>
      <c r="AE797" s="217" t="s">
        <v>334</v>
      </c>
    </row>
    <row r="798" spans="28:31">
      <c r="AB798" s="231" t="s">
        <v>1187</v>
      </c>
      <c r="AC798" s="217" t="s">
        <v>333</v>
      </c>
      <c r="AD798" s="217" t="s">
        <v>334</v>
      </c>
      <c r="AE798" s="217" t="s">
        <v>334</v>
      </c>
    </row>
    <row r="799" spans="28:31">
      <c r="AB799" s="231" t="s">
        <v>1188</v>
      </c>
      <c r="AC799" s="217" t="s">
        <v>333</v>
      </c>
      <c r="AD799" s="217" t="s">
        <v>334</v>
      </c>
      <c r="AE799" s="217" t="s">
        <v>334</v>
      </c>
    </row>
    <row r="800" spans="28:31">
      <c r="AB800" s="231" t="s">
        <v>1189</v>
      </c>
      <c r="AC800" s="217" t="s">
        <v>333</v>
      </c>
      <c r="AD800" s="217" t="s">
        <v>334</v>
      </c>
      <c r="AE800" s="217" t="s">
        <v>334</v>
      </c>
    </row>
    <row r="801" spans="28:31">
      <c r="AB801" s="231" t="s">
        <v>1190</v>
      </c>
      <c r="AC801" s="217" t="s">
        <v>333</v>
      </c>
      <c r="AD801" s="217" t="s">
        <v>334</v>
      </c>
      <c r="AE801" s="217" t="s">
        <v>334</v>
      </c>
    </row>
    <row r="802" spans="28:31">
      <c r="AB802" s="231" t="s">
        <v>1191</v>
      </c>
      <c r="AC802" s="217" t="s">
        <v>333</v>
      </c>
      <c r="AD802" s="217" t="s">
        <v>334</v>
      </c>
      <c r="AE802" s="217" t="s">
        <v>334</v>
      </c>
    </row>
    <row r="803" spans="28:31">
      <c r="AB803" s="231" t="s">
        <v>1192</v>
      </c>
      <c r="AC803" s="217" t="s">
        <v>333</v>
      </c>
      <c r="AD803" s="217" t="s">
        <v>334</v>
      </c>
      <c r="AE803" s="217" t="s">
        <v>334</v>
      </c>
    </row>
    <row r="804" spans="28:31">
      <c r="AB804" s="231" t="s">
        <v>1193</v>
      </c>
      <c r="AC804" s="217" t="s">
        <v>333</v>
      </c>
      <c r="AD804" s="217" t="s">
        <v>334</v>
      </c>
      <c r="AE804" s="217" t="s">
        <v>334</v>
      </c>
    </row>
    <row r="805" spans="28:31">
      <c r="AB805" s="231" t="s">
        <v>1194</v>
      </c>
      <c r="AC805" s="217" t="s">
        <v>333</v>
      </c>
      <c r="AD805" s="217" t="s">
        <v>334</v>
      </c>
      <c r="AE805" s="217" t="s">
        <v>334</v>
      </c>
    </row>
    <row r="806" spans="28:31">
      <c r="AB806" s="231" t="s">
        <v>1195</v>
      </c>
      <c r="AC806" s="217" t="s">
        <v>333</v>
      </c>
      <c r="AD806" s="217" t="s">
        <v>334</v>
      </c>
      <c r="AE806" s="217" t="s">
        <v>334</v>
      </c>
    </row>
    <row r="807" spans="28:31">
      <c r="AB807" s="231" t="s">
        <v>1196</v>
      </c>
      <c r="AC807" s="217" t="s">
        <v>333</v>
      </c>
      <c r="AD807" s="217" t="s">
        <v>334</v>
      </c>
      <c r="AE807" s="217" t="s">
        <v>334</v>
      </c>
    </row>
    <row r="808" spans="28:31">
      <c r="AB808" s="231" t="s">
        <v>1197</v>
      </c>
      <c r="AC808" s="217" t="s">
        <v>333</v>
      </c>
      <c r="AD808" s="217" t="s">
        <v>334</v>
      </c>
      <c r="AE808" s="217" t="s">
        <v>334</v>
      </c>
    </row>
    <row r="809" spans="28:31">
      <c r="AB809" s="231" t="s">
        <v>1198</v>
      </c>
      <c r="AC809" s="217" t="s">
        <v>333</v>
      </c>
      <c r="AD809" s="217" t="s">
        <v>334</v>
      </c>
      <c r="AE809" s="217" t="s">
        <v>334</v>
      </c>
    </row>
    <row r="810" spans="28:31">
      <c r="AB810" s="231" t="s">
        <v>1199</v>
      </c>
      <c r="AC810" s="217" t="s">
        <v>333</v>
      </c>
      <c r="AD810" s="217" t="s">
        <v>334</v>
      </c>
      <c r="AE810" s="217" t="s">
        <v>334</v>
      </c>
    </row>
    <row r="811" spans="28:31">
      <c r="AB811" s="231" t="s">
        <v>1200</v>
      </c>
      <c r="AC811" s="217" t="s">
        <v>333</v>
      </c>
      <c r="AD811" s="217" t="s">
        <v>334</v>
      </c>
      <c r="AE811" s="217" t="s">
        <v>334</v>
      </c>
    </row>
    <row r="812" spans="28:31">
      <c r="AB812" s="231" t="s">
        <v>1201</v>
      </c>
      <c r="AC812" s="217" t="s">
        <v>333</v>
      </c>
      <c r="AD812" s="217" t="s">
        <v>334</v>
      </c>
      <c r="AE812" s="217" t="s">
        <v>334</v>
      </c>
    </row>
    <row r="813" spans="28:31">
      <c r="AB813" s="231" t="s">
        <v>1202</v>
      </c>
      <c r="AC813" s="217" t="s">
        <v>333</v>
      </c>
      <c r="AD813" s="217" t="s">
        <v>334</v>
      </c>
      <c r="AE813" s="217" t="s">
        <v>334</v>
      </c>
    </row>
    <row r="814" spans="28:31">
      <c r="AB814" s="231" t="s">
        <v>1203</v>
      </c>
      <c r="AC814" s="217" t="s">
        <v>333</v>
      </c>
      <c r="AD814" s="217" t="s">
        <v>334</v>
      </c>
      <c r="AE814" s="217" t="s">
        <v>334</v>
      </c>
    </row>
    <row r="815" spans="28:31">
      <c r="AB815" s="231" t="s">
        <v>1204</v>
      </c>
      <c r="AC815" s="217" t="s">
        <v>333</v>
      </c>
      <c r="AD815" s="217" t="s">
        <v>334</v>
      </c>
      <c r="AE815" s="217" t="s">
        <v>334</v>
      </c>
    </row>
    <row r="816" spans="28:31">
      <c r="AB816" s="231" t="s">
        <v>1205</v>
      </c>
      <c r="AC816" s="217" t="s">
        <v>333</v>
      </c>
      <c r="AD816" s="217" t="s">
        <v>334</v>
      </c>
      <c r="AE816" s="217" t="s">
        <v>334</v>
      </c>
    </row>
    <row r="817" spans="28:31">
      <c r="AB817" s="231" t="s">
        <v>1206</v>
      </c>
      <c r="AC817" s="217" t="s">
        <v>333</v>
      </c>
      <c r="AD817" s="217" t="s">
        <v>334</v>
      </c>
      <c r="AE817" s="217" t="s">
        <v>334</v>
      </c>
    </row>
    <row r="818" spans="28:31">
      <c r="AB818" s="231" t="s">
        <v>1207</v>
      </c>
      <c r="AC818" s="217" t="s">
        <v>333</v>
      </c>
      <c r="AD818" s="217" t="s">
        <v>334</v>
      </c>
      <c r="AE818" s="217" t="s">
        <v>334</v>
      </c>
    </row>
    <row r="819" spans="28:31">
      <c r="AB819" s="231" t="s">
        <v>1208</v>
      </c>
      <c r="AC819" s="217" t="s">
        <v>333</v>
      </c>
      <c r="AD819" s="217" t="s">
        <v>334</v>
      </c>
      <c r="AE819" s="217" t="s">
        <v>334</v>
      </c>
    </row>
    <row r="820" spans="28:31">
      <c r="AB820" s="231" t="s">
        <v>1209</v>
      </c>
      <c r="AC820" s="217" t="s">
        <v>333</v>
      </c>
      <c r="AD820" s="217" t="s">
        <v>334</v>
      </c>
      <c r="AE820" s="217" t="s">
        <v>334</v>
      </c>
    </row>
    <row r="821" spans="28:31">
      <c r="AB821" s="231" t="s">
        <v>1210</v>
      </c>
      <c r="AC821" s="217" t="s">
        <v>333</v>
      </c>
      <c r="AD821" s="217" t="s">
        <v>334</v>
      </c>
      <c r="AE821" s="217" t="s">
        <v>334</v>
      </c>
    </row>
    <row r="822" spans="28:31">
      <c r="AB822" s="231" t="s">
        <v>1211</v>
      </c>
      <c r="AC822" s="217" t="s">
        <v>333</v>
      </c>
      <c r="AD822" s="217" t="s">
        <v>334</v>
      </c>
      <c r="AE822" s="217" t="s">
        <v>334</v>
      </c>
    </row>
    <row r="823" spans="28:31">
      <c r="AB823" s="231" t="s">
        <v>1212</v>
      </c>
      <c r="AC823" s="217" t="s">
        <v>333</v>
      </c>
      <c r="AD823" s="217" t="s">
        <v>334</v>
      </c>
      <c r="AE823" s="217" t="s">
        <v>334</v>
      </c>
    </row>
    <row r="824" spans="28:31">
      <c r="AB824" s="231" t="s">
        <v>1213</v>
      </c>
      <c r="AC824" s="217" t="s">
        <v>333</v>
      </c>
      <c r="AD824" s="217" t="s">
        <v>334</v>
      </c>
      <c r="AE824" s="217" t="s">
        <v>334</v>
      </c>
    </row>
    <row r="825" spans="28:31">
      <c r="AB825" s="231" t="s">
        <v>1214</v>
      </c>
      <c r="AC825" s="217" t="s">
        <v>333</v>
      </c>
      <c r="AD825" s="217" t="s">
        <v>334</v>
      </c>
      <c r="AE825" s="217" t="s">
        <v>334</v>
      </c>
    </row>
    <row r="826" spans="28:31">
      <c r="AB826" s="231" t="s">
        <v>1215</v>
      </c>
      <c r="AC826" s="217" t="s">
        <v>333</v>
      </c>
      <c r="AD826" s="217" t="s">
        <v>334</v>
      </c>
      <c r="AE826" s="217" t="s">
        <v>334</v>
      </c>
    </row>
    <row r="827" spans="28:31">
      <c r="AB827" s="231" t="s">
        <v>1216</v>
      </c>
      <c r="AC827" s="217" t="s">
        <v>333</v>
      </c>
      <c r="AD827" s="217" t="s">
        <v>334</v>
      </c>
      <c r="AE827" s="217" t="s">
        <v>334</v>
      </c>
    </row>
    <row r="828" spans="28:31">
      <c r="AB828" s="231" t="s">
        <v>1217</v>
      </c>
      <c r="AC828" s="217" t="s">
        <v>333</v>
      </c>
      <c r="AD828" s="217" t="s">
        <v>334</v>
      </c>
      <c r="AE828" s="217" t="s">
        <v>334</v>
      </c>
    </row>
    <row r="829" spans="28:31">
      <c r="AB829" s="231" t="s">
        <v>1218</v>
      </c>
      <c r="AC829" s="217" t="s">
        <v>333</v>
      </c>
      <c r="AD829" s="217" t="s">
        <v>334</v>
      </c>
      <c r="AE829" s="217" t="s">
        <v>334</v>
      </c>
    </row>
    <row r="830" spans="28:31">
      <c r="AB830" s="231" t="s">
        <v>1219</v>
      </c>
      <c r="AC830" s="217" t="s">
        <v>333</v>
      </c>
      <c r="AD830" s="217" t="s">
        <v>334</v>
      </c>
      <c r="AE830" s="217" t="s">
        <v>334</v>
      </c>
    </row>
    <row r="831" spans="28:31">
      <c r="AB831" s="231" t="s">
        <v>1220</v>
      </c>
      <c r="AC831" s="217" t="s">
        <v>333</v>
      </c>
      <c r="AD831" s="217" t="s">
        <v>334</v>
      </c>
      <c r="AE831" s="217" t="s">
        <v>334</v>
      </c>
    </row>
    <row r="832" spans="28:31">
      <c r="AB832" s="231" t="s">
        <v>1221</v>
      </c>
      <c r="AC832" s="217" t="s">
        <v>333</v>
      </c>
      <c r="AD832" s="217" t="s">
        <v>334</v>
      </c>
      <c r="AE832" s="217" t="s">
        <v>334</v>
      </c>
    </row>
    <row r="833" spans="28:31">
      <c r="AB833" s="231" t="s">
        <v>1222</v>
      </c>
      <c r="AC833" s="217" t="s">
        <v>333</v>
      </c>
      <c r="AD833" s="217" t="s">
        <v>334</v>
      </c>
      <c r="AE833" s="217" t="s">
        <v>334</v>
      </c>
    </row>
    <row r="834" spans="28:31">
      <c r="AB834" s="231" t="s">
        <v>1223</v>
      </c>
      <c r="AC834" s="217" t="s">
        <v>333</v>
      </c>
      <c r="AD834" s="217" t="s">
        <v>334</v>
      </c>
      <c r="AE834" s="217" t="s">
        <v>334</v>
      </c>
    </row>
    <row r="835" spans="28:31">
      <c r="AB835" s="231" t="s">
        <v>1224</v>
      </c>
      <c r="AC835" s="217" t="s">
        <v>333</v>
      </c>
      <c r="AD835" s="217" t="s">
        <v>334</v>
      </c>
      <c r="AE835" s="217" t="s">
        <v>334</v>
      </c>
    </row>
    <row r="836" spans="28:31">
      <c r="AB836" s="231" t="s">
        <v>1225</v>
      </c>
      <c r="AC836" s="217" t="s">
        <v>333</v>
      </c>
      <c r="AD836" s="217" t="s">
        <v>334</v>
      </c>
      <c r="AE836" s="217" t="s">
        <v>334</v>
      </c>
    </row>
    <row r="837" spans="28:31">
      <c r="AB837" s="231" t="s">
        <v>1226</v>
      </c>
      <c r="AC837" s="217" t="s">
        <v>333</v>
      </c>
      <c r="AD837" s="217" t="s">
        <v>334</v>
      </c>
      <c r="AE837" s="217" t="s">
        <v>334</v>
      </c>
    </row>
    <row r="838" spans="28:31">
      <c r="AB838" s="231" t="s">
        <v>1227</v>
      </c>
      <c r="AC838" s="217" t="s">
        <v>333</v>
      </c>
      <c r="AD838" s="217" t="s">
        <v>334</v>
      </c>
      <c r="AE838" s="217" t="s">
        <v>334</v>
      </c>
    </row>
    <row r="839" spans="28:31">
      <c r="AB839" s="231" t="s">
        <v>1228</v>
      </c>
      <c r="AC839" s="217" t="s">
        <v>333</v>
      </c>
      <c r="AD839" s="217" t="s">
        <v>334</v>
      </c>
      <c r="AE839" s="217" t="s">
        <v>334</v>
      </c>
    </row>
    <row r="840" spans="28:31">
      <c r="AB840" s="231" t="s">
        <v>1229</v>
      </c>
      <c r="AC840" s="217" t="s">
        <v>333</v>
      </c>
      <c r="AD840" s="217" t="s">
        <v>334</v>
      </c>
      <c r="AE840" s="217" t="s">
        <v>334</v>
      </c>
    </row>
    <row r="841" spans="28:31">
      <c r="AB841" s="231" t="s">
        <v>1230</v>
      </c>
      <c r="AC841" s="217" t="s">
        <v>333</v>
      </c>
      <c r="AD841" s="217" t="s">
        <v>334</v>
      </c>
      <c r="AE841" s="217" t="s">
        <v>334</v>
      </c>
    </row>
    <row r="842" spans="28:31">
      <c r="AB842" s="231" t="s">
        <v>1231</v>
      </c>
      <c r="AC842" s="217" t="s">
        <v>333</v>
      </c>
      <c r="AD842" s="217" t="s">
        <v>334</v>
      </c>
      <c r="AE842" s="217" t="s">
        <v>334</v>
      </c>
    </row>
    <row r="843" spans="28:31">
      <c r="AB843" s="231" t="s">
        <v>1232</v>
      </c>
      <c r="AC843" s="217" t="s">
        <v>333</v>
      </c>
      <c r="AD843" s="217" t="s">
        <v>334</v>
      </c>
      <c r="AE843" s="217" t="s">
        <v>334</v>
      </c>
    </row>
    <row r="844" spans="28:31">
      <c r="AB844" s="231" t="s">
        <v>1233</v>
      </c>
      <c r="AC844" s="217" t="s">
        <v>333</v>
      </c>
      <c r="AD844" s="217" t="s">
        <v>334</v>
      </c>
      <c r="AE844" s="217" t="s">
        <v>334</v>
      </c>
    </row>
    <row r="845" spans="28:31">
      <c r="AB845" s="231" t="s">
        <v>1234</v>
      </c>
      <c r="AC845" s="217" t="s">
        <v>333</v>
      </c>
      <c r="AD845" s="217" t="s">
        <v>334</v>
      </c>
      <c r="AE845" s="217" t="s">
        <v>334</v>
      </c>
    </row>
    <row r="846" spans="28:31">
      <c r="AB846" s="231" t="s">
        <v>1235</v>
      </c>
      <c r="AC846" s="217" t="s">
        <v>333</v>
      </c>
      <c r="AD846" s="217" t="s">
        <v>334</v>
      </c>
      <c r="AE846" s="217" t="s">
        <v>334</v>
      </c>
    </row>
    <row r="847" spans="28:31">
      <c r="AB847" s="231" t="s">
        <v>1236</v>
      </c>
      <c r="AC847" s="217" t="s">
        <v>333</v>
      </c>
      <c r="AD847" s="217" t="s">
        <v>334</v>
      </c>
      <c r="AE847" s="217" t="s">
        <v>334</v>
      </c>
    </row>
    <row r="848" spans="28:31">
      <c r="AB848" s="231" t="s">
        <v>1237</v>
      </c>
      <c r="AC848" s="217" t="s">
        <v>333</v>
      </c>
      <c r="AD848" s="217" t="s">
        <v>334</v>
      </c>
      <c r="AE848" s="217" t="s">
        <v>334</v>
      </c>
    </row>
    <row r="849" spans="28:31">
      <c r="AB849" s="231" t="s">
        <v>1238</v>
      </c>
      <c r="AC849" s="217" t="s">
        <v>333</v>
      </c>
      <c r="AD849" s="217" t="s">
        <v>334</v>
      </c>
      <c r="AE849" s="217" t="s">
        <v>334</v>
      </c>
    </row>
    <row r="850" spans="28:31">
      <c r="AB850" s="231" t="s">
        <v>1239</v>
      </c>
      <c r="AC850" s="217" t="s">
        <v>333</v>
      </c>
      <c r="AD850" s="217" t="s">
        <v>334</v>
      </c>
      <c r="AE850" s="217" t="s">
        <v>334</v>
      </c>
    </row>
    <row r="851" spans="28:31">
      <c r="AB851" s="231" t="s">
        <v>1240</v>
      </c>
      <c r="AC851" s="217" t="s">
        <v>333</v>
      </c>
      <c r="AD851" s="217" t="s">
        <v>334</v>
      </c>
      <c r="AE851" s="217" t="s">
        <v>334</v>
      </c>
    </row>
    <row r="852" spans="28:31">
      <c r="AB852" s="231" t="s">
        <v>1241</v>
      </c>
      <c r="AC852" s="217" t="s">
        <v>333</v>
      </c>
      <c r="AD852" s="217" t="s">
        <v>334</v>
      </c>
      <c r="AE852" s="217" t="s">
        <v>334</v>
      </c>
    </row>
    <row r="853" spans="28:31">
      <c r="AB853" s="231" t="s">
        <v>1242</v>
      </c>
      <c r="AC853" s="217" t="s">
        <v>333</v>
      </c>
      <c r="AD853" s="217" t="s">
        <v>334</v>
      </c>
      <c r="AE853" s="217" t="s">
        <v>334</v>
      </c>
    </row>
    <row r="854" spans="28:31">
      <c r="AB854" s="231" t="s">
        <v>1243</v>
      </c>
      <c r="AC854" s="217" t="s">
        <v>333</v>
      </c>
      <c r="AD854" s="217" t="s">
        <v>334</v>
      </c>
      <c r="AE854" s="217" t="s">
        <v>334</v>
      </c>
    </row>
    <row r="855" spans="28:31">
      <c r="AB855" s="231" t="s">
        <v>1244</v>
      </c>
      <c r="AC855" s="217" t="s">
        <v>333</v>
      </c>
      <c r="AD855" s="217" t="s">
        <v>334</v>
      </c>
      <c r="AE855" s="217" t="s">
        <v>334</v>
      </c>
    </row>
    <row r="856" spans="28:31">
      <c r="AB856" s="231" t="s">
        <v>1245</v>
      </c>
      <c r="AC856" s="217" t="s">
        <v>333</v>
      </c>
      <c r="AD856" s="217" t="s">
        <v>334</v>
      </c>
      <c r="AE856" s="217" t="s">
        <v>334</v>
      </c>
    </row>
    <row r="857" spans="28:31">
      <c r="AB857" s="231" t="s">
        <v>1246</v>
      </c>
      <c r="AC857" s="217" t="s">
        <v>333</v>
      </c>
      <c r="AD857" s="217" t="s">
        <v>334</v>
      </c>
      <c r="AE857" s="217" t="s">
        <v>334</v>
      </c>
    </row>
    <row r="858" spans="28:31">
      <c r="AB858" s="231" t="s">
        <v>1247</v>
      </c>
      <c r="AC858" s="217" t="s">
        <v>333</v>
      </c>
      <c r="AD858" s="217" t="s">
        <v>334</v>
      </c>
      <c r="AE858" s="217" t="s">
        <v>334</v>
      </c>
    </row>
    <row r="859" spans="28:31">
      <c r="AB859" s="231" t="s">
        <v>1248</v>
      </c>
      <c r="AC859" s="217" t="s">
        <v>333</v>
      </c>
      <c r="AD859" s="217" t="s">
        <v>334</v>
      </c>
      <c r="AE859" s="217" t="s">
        <v>334</v>
      </c>
    </row>
    <row r="860" spans="28:31">
      <c r="AB860" s="231" t="s">
        <v>1249</v>
      </c>
      <c r="AC860" s="217" t="s">
        <v>333</v>
      </c>
      <c r="AD860" s="217" t="s">
        <v>334</v>
      </c>
      <c r="AE860" s="217" t="s">
        <v>334</v>
      </c>
    </row>
    <row r="861" spans="28:31">
      <c r="AB861" s="231" t="s">
        <v>1250</v>
      </c>
      <c r="AC861" s="217" t="s">
        <v>333</v>
      </c>
      <c r="AD861" s="217" t="s">
        <v>334</v>
      </c>
      <c r="AE861" s="217" t="s">
        <v>334</v>
      </c>
    </row>
    <row r="862" spans="28:31">
      <c r="AB862" s="231" t="s">
        <v>1251</v>
      </c>
      <c r="AC862" s="217" t="s">
        <v>333</v>
      </c>
      <c r="AD862" s="217" t="s">
        <v>334</v>
      </c>
      <c r="AE862" s="217" t="s">
        <v>334</v>
      </c>
    </row>
    <row r="863" spans="28:31">
      <c r="AB863" s="231" t="s">
        <v>1252</v>
      </c>
      <c r="AC863" s="217" t="s">
        <v>333</v>
      </c>
      <c r="AD863" s="217" t="s">
        <v>334</v>
      </c>
      <c r="AE863" s="217" t="s">
        <v>334</v>
      </c>
    </row>
    <row r="864" spans="28:31">
      <c r="AB864" s="231" t="s">
        <v>1253</v>
      </c>
      <c r="AC864" s="217" t="s">
        <v>333</v>
      </c>
      <c r="AD864" s="217" t="s">
        <v>334</v>
      </c>
      <c r="AE864" s="217" t="s">
        <v>334</v>
      </c>
    </row>
    <row r="865" spans="28:31">
      <c r="AB865" s="231" t="s">
        <v>1254</v>
      </c>
      <c r="AC865" s="217" t="s">
        <v>333</v>
      </c>
      <c r="AD865" s="217" t="s">
        <v>334</v>
      </c>
      <c r="AE865" s="217" t="s">
        <v>334</v>
      </c>
    </row>
    <row r="866" spans="28:31">
      <c r="AB866" s="231" t="s">
        <v>1255</v>
      </c>
      <c r="AC866" s="217" t="s">
        <v>333</v>
      </c>
      <c r="AD866" s="217" t="s">
        <v>334</v>
      </c>
      <c r="AE866" s="217" t="s">
        <v>334</v>
      </c>
    </row>
    <row r="867" spans="28:31">
      <c r="AB867" s="231" t="s">
        <v>1256</v>
      </c>
      <c r="AC867" s="217" t="s">
        <v>333</v>
      </c>
      <c r="AD867" s="217" t="s">
        <v>334</v>
      </c>
      <c r="AE867" s="217" t="s">
        <v>334</v>
      </c>
    </row>
    <row r="868" spans="28:31">
      <c r="AB868" s="231" t="s">
        <v>1257</v>
      </c>
      <c r="AC868" s="217" t="s">
        <v>333</v>
      </c>
      <c r="AD868" s="217" t="s">
        <v>334</v>
      </c>
      <c r="AE868" s="217" t="s">
        <v>334</v>
      </c>
    </row>
    <row r="869" spans="28:31">
      <c r="AB869" s="231" t="s">
        <v>1258</v>
      </c>
      <c r="AC869" s="217" t="s">
        <v>333</v>
      </c>
      <c r="AD869" s="217" t="s">
        <v>334</v>
      </c>
      <c r="AE869" s="217" t="s">
        <v>334</v>
      </c>
    </row>
    <row r="870" spans="28:31">
      <c r="AB870" s="231" t="s">
        <v>1259</v>
      </c>
      <c r="AC870" s="217" t="s">
        <v>333</v>
      </c>
      <c r="AD870" s="217" t="s">
        <v>334</v>
      </c>
      <c r="AE870" s="217" t="s">
        <v>334</v>
      </c>
    </row>
    <row r="871" spans="28:31">
      <c r="AB871" s="231" t="s">
        <v>1260</v>
      </c>
      <c r="AC871" s="217" t="s">
        <v>333</v>
      </c>
      <c r="AD871" s="217" t="s">
        <v>334</v>
      </c>
      <c r="AE871" s="217" t="s">
        <v>334</v>
      </c>
    </row>
    <row r="872" spans="28:31">
      <c r="AB872" s="231" t="s">
        <v>1261</v>
      </c>
      <c r="AC872" s="217" t="s">
        <v>333</v>
      </c>
      <c r="AD872" s="217" t="s">
        <v>334</v>
      </c>
      <c r="AE872" s="217" t="s">
        <v>334</v>
      </c>
    </row>
    <row r="873" spans="28:31">
      <c r="AB873" s="231" t="s">
        <v>1262</v>
      </c>
      <c r="AC873" s="217" t="s">
        <v>333</v>
      </c>
      <c r="AD873" s="217" t="s">
        <v>334</v>
      </c>
      <c r="AE873" s="217" t="s">
        <v>334</v>
      </c>
    </row>
    <row r="874" spans="28:31">
      <c r="AB874" s="231" t="s">
        <v>1263</v>
      </c>
      <c r="AC874" s="217" t="s">
        <v>333</v>
      </c>
      <c r="AD874" s="217" t="s">
        <v>334</v>
      </c>
      <c r="AE874" s="217" t="s">
        <v>334</v>
      </c>
    </row>
    <row r="875" spans="28:31">
      <c r="AB875" s="231" t="s">
        <v>1264</v>
      </c>
      <c r="AC875" s="217" t="s">
        <v>333</v>
      </c>
      <c r="AD875" s="217" t="s">
        <v>334</v>
      </c>
      <c r="AE875" s="217" t="s">
        <v>334</v>
      </c>
    </row>
    <row r="876" spans="28:31">
      <c r="AB876" s="231" t="s">
        <v>1265</v>
      </c>
      <c r="AC876" s="217" t="s">
        <v>333</v>
      </c>
      <c r="AD876" s="217" t="s">
        <v>334</v>
      </c>
      <c r="AE876" s="217" t="s">
        <v>334</v>
      </c>
    </row>
    <row r="877" spans="28:31">
      <c r="AB877" s="231" t="s">
        <v>1266</v>
      </c>
      <c r="AC877" s="217" t="s">
        <v>333</v>
      </c>
      <c r="AD877" s="217" t="s">
        <v>334</v>
      </c>
      <c r="AE877" s="217" t="s">
        <v>334</v>
      </c>
    </row>
    <row r="878" spans="28:31">
      <c r="AB878" s="231" t="s">
        <v>1267</v>
      </c>
      <c r="AC878" s="217" t="s">
        <v>333</v>
      </c>
      <c r="AD878" s="217" t="s">
        <v>334</v>
      </c>
      <c r="AE878" s="217" t="s">
        <v>334</v>
      </c>
    </row>
    <row r="879" spans="28:31">
      <c r="AB879" s="231" t="s">
        <v>1268</v>
      </c>
      <c r="AC879" s="217" t="s">
        <v>333</v>
      </c>
      <c r="AD879" s="217" t="s">
        <v>334</v>
      </c>
      <c r="AE879" s="217" t="s">
        <v>334</v>
      </c>
    </row>
    <row r="880" spans="28:31">
      <c r="AB880" s="231" t="s">
        <v>1269</v>
      </c>
      <c r="AC880" s="217" t="s">
        <v>333</v>
      </c>
      <c r="AD880" s="217" t="s">
        <v>334</v>
      </c>
      <c r="AE880" s="217" t="s">
        <v>334</v>
      </c>
    </row>
    <row r="881" spans="28:31">
      <c r="AB881" s="231" t="s">
        <v>1270</v>
      </c>
      <c r="AC881" s="217" t="s">
        <v>333</v>
      </c>
      <c r="AD881" s="217" t="s">
        <v>334</v>
      </c>
      <c r="AE881" s="217" t="s">
        <v>334</v>
      </c>
    </row>
    <row r="882" spans="28:31">
      <c r="AB882" s="231" t="s">
        <v>1271</v>
      </c>
      <c r="AC882" s="217" t="s">
        <v>333</v>
      </c>
      <c r="AD882" s="217" t="s">
        <v>334</v>
      </c>
      <c r="AE882" s="217" t="s">
        <v>334</v>
      </c>
    </row>
    <row r="883" spans="28:31">
      <c r="AB883" s="231" t="s">
        <v>1272</v>
      </c>
      <c r="AC883" s="217" t="s">
        <v>333</v>
      </c>
      <c r="AD883" s="217" t="s">
        <v>334</v>
      </c>
      <c r="AE883" s="217" t="s">
        <v>334</v>
      </c>
    </row>
    <row r="884" spans="28:31">
      <c r="AB884" s="231" t="s">
        <v>1273</v>
      </c>
      <c r="AC884" s="217" t="s">
        <v>333</v>
      </c>
      <c r="AD884" s="217" t="s">
        <v>334</v>
      </c>
      <c r="AE884" s="217" t="s">
        <v>334</v>
      </c>
    </row>
    <row r="885" spans="28:31">
      <c r="AB885" s="231" t="s">
        <v>1274</v>
      </c>
      <c r="AC885" s="217" t="s">
        <v>333</v>
      </c>
      <c r="AD885" s="217" t="s">
        <v>334</v>
      </c>
      <c r="AE885" s="217" t="s">
        <v>334</v>
      </c>
    </row>
    <row r="886" spans="28:31">
      <c r="AB886" s="231" t="s">
        <v>1275</v>
      </c>
      <c r="AC886" s="217" t="s">
        <v>333</v>
      </c>
      <c r="AD886" s="217" t="s">
        <v>334</v>
      </c>
      <c r="AE886" s="217" t="s">
        <v>334</v>
      </c>
    </row>
    <row r="887" spans="28:31">
      <c r="AB887" s="231" t="s">
        <v>1276</v>
      </c>
      <c r="AC887" s="217" t="s">
        <v>333</v>
      </c>
      <c r="AD887" s="217" t="s">
        <v>334</v>
      </c>
      <c r="AE887" s="217" t="s">
        <v>334</v>
      </c>
    </row>
    <row r="888" spans="28:31">
      <c r="AB888" s="231" t="s">
        <v>1277</v>
      </c>
      <c r="AC888" s="217" t="s">
        <v>333</v>
      </c>
      <c r="AD888" s="217" t="s">
        <v>334</v>
      </c>
      <c r="AE888" s="217" t="s">
        <v>334</v>
      </c>
    </row>
    <row r="889" spans="28:31">
      <c r="AB889" s="231" t="s">
        <v>1278</v>
      </c>
      <c r="AC889" s="217" t="s">
        <v>333</v>
      </c>
      <c r="AD889" s="217" t="s">
        <v>334</v>
      </c>
      <c r="AE889" s="217" t="s">
        <v>334</v>
      </c>
    </row>
    <row r="890" spans="28:31">
      <c r="AB890" s="231" t="s">
        <v>1279</v>
      </c>
      <c r="AC890" s="217" t="s">
        <v>333</v>
      </c>
      <c r="AD890" s="217" t="s">
        <v>334</v>
      </c>
      <c r="AE890" s="217" t="s">
        <v>334</v>
      </c>
    </row>
    <row r="891" spans="28:31">
      <c r="AB891" s="231" t="s">
        <v>1280</v>
      </c>
      <c r="AC891" s="217" t="s">
        <v>333</v>
      </c>
      <c r="AD891" s="217" t="s">
        <v>334</v>
      </c>
      <c r="AE891" s="217" t="s">
        <v>334</v>
      </c>
    </row>
    <row r="892" spans="28:31">
      <c r="AB892" s="231" t="s">
        <v>1281</v>
      </c>
      <c r="AC892" s="217" t="s">
        <v>333</v>
      </c>
      <c r="AD892" s="217" t="s">
        <v>334</v>
      </c>
      <c r="AE892" s="217" t="s">
        <v>334</v>
      </c>
    </row>
    <row r="893" spans="28:31">
      <c r="AB893" s="231" t="s">
        <v>1282</v>
      </c>
      <c r="AC893" s="217" t="s">
        <v>333</v>
      </c>
      <c r="AD893" s="217" t="s">
        <v>334</v>
      </c>
      <c r="AE893" s="217" t="s">
        <v>334</v>
      </c>
    </row>
    <row r="894" spans="28:31">
      <c r="AB894" s="231" t="s">
        <v>1283</v>
      </c>
      <c r="AC894" s="217" t="s">
        <v>333</v>
      </c>
      <c r="AD894" s="217" t="s">
        <v>334</v>
      </c>
      <c r="AE894" s="217" t="s">
        <v>334</v>
      </c>
    </row>
    <row r="895" spans="28:31">
      <c r="AB895" s="231" t="s">
        <v>1284</v>
      </c>
      <c r="AC895" s="217" t="s">
        <v>333</v>
      </c>
      <c r="AD895" s="217" t="s">
        <v>334</v>
      </c>
      <c r="AE895" s="217" t="s">
        <v>334</v>
      </c>
    </row>
    <row r="896" spans="28:31">
      <c r="AB896" s="231" t="s">
        <v>1285</v>
      </c>
      <c r="AC896" s="217" t="s">
        <v>333</v>
      </c>
      <c r="AD896" s="217" t="s">
        <v>334</v>
      </c>
      <c r="AE896" s="217" t="s">
        <v>334</v>
      </c>
    </row>
    <row r="897" spans="28:31">
      <c r="AB897" s="231" t="s">
        <v>1286</v>
      </c>
      <c r="AC897" s="217" t="s">
        <v>333</v>
      </c>
      <c r="AD897" s="217" t="s">
        <v>334</v>
      </c>
      <c r="AE897" s="217" t="s">
        <v>334</v>
      </c>
    </row>
    <row r="898" spans="28:31">
      <c r="AB898" s="231" t="s">
        <v>1287</v>
      </c>
      <c r="AC898" s="217" t="s">
        <v>333</v>
      </c>
      <c r="AD898" s="217" t="s">
        <v>334</v>
      </c>
      <c r="AE898" s="217" t="s">
        <v>334</v>
      </c>
    </row>
    <row r="899" spans="28:31">
      <c r="AB899" s="231" t="s">
        <v>1288</v>
      </c>
      <c r="AC899" s="217" t="s">
        <v>333</v>
      </c>
      <c r="AD899" s="217" t="s">
        <v>334</v>
      </c>
      <c r="AE899" s="217" t="s">
        <v>334</v>
      </c>
    </row>
    <row r="900" spans="28:31">
      <c r="AB900" s="231" t="s">
        <v>1289</v>
      </c>
      <c r="AC900" s="217" t="s">
        <v>333</v>
      </c>
      <c r="AD900" s="217" t="s">
        <v>334</v>
      </c>
      <c r="AE900" s="217" t="s">
        <v>334</v>
      </c>
    </row>
    <row r="901" spans="28:31">
      <c r="AB901" s="231" t="s">
        <v>1290</v>
      </c>
      <c r="AC901" s="217" t="s">
        <v>333</v>
      </c>
      <c r="AD901" s="217" t="s">
        <v>334</v>
      </c>
      <c r="AE901" s="217" t="s">
        <v>334</v>
      </c>
    </row>
    <row r="902" spans="28:31">
      <c r="AB902" s="231" t="s">
        <v>1291</v>
      </c>
      <c r="AC902" s="217" t="s">
        <v>333</v>
      </c>
      <c r="AD902" s="217" t="s">
        <v>334</v>
      </c>
      <c r="AE902" s="217" t="s">
        <v>334</v>
      </c>
    </row>
    <row r="903" spans="28:31">
      <c r="AB903" s="231" t="s">
        <v>1292</v>
      </c>
      <c r="AC903" s="217" t="s">
        <v>333</v>
      </c>
      <c r="AD903" s="217" t="s">
        <v>334</v>
      </c>
      <c r="AE903" s="217" t="s">
        <v>334</v>
      </c>
    </row>
    <row r="904" spans="28:31">
      <c r="AB904" s="231" t="s">
        <v>1293</v>
      </c>
      <c r="AC904" s="217" t="s">
        <v>333</v>
      </c>
      <c r="AD904" s="217" t="s">
        <v>334</v>
      </c>
      <c r="AE904" s="217" t="s">
        <v>334</v>
      </c>
    </row>
    <row r="905" spans="28:31">
      <c r="AB905" s="231" t="s">
        <v>1294</v>
      </c>
      <c r="AC905" s="217" t="s">
        <v>333</v>
      </c>
      <c r="AD905" s="217" t="s">
        <v>334</v>
      </c>
      <c r="AE905" s="217" t="s">
        <v>334</v>
      </c>
    </row>
    <row r="906" spans="28:31">
      <c r="AB906" s="231" t="s">
        <v>1295</v>
      </c>
      <c r="AC906" s="217" t="s">
        <v>333</v>
      </c>
      <c r="AD906" s="217" t="s">
        <v>334</v>
      </c>
      <c r="AE906" s="217" t="s">
        <v>334</v>
      </c>
    </row>
    <row r="907" spans="28:31">
      <c r="AB907" s="231" t="s">
        <v>1296</v>
      </c>
      <c r="AC907" s="217" t="s">
        <v>333</v>
      </c>
      <c r="AD907" s="217" t="s">
        <v>334</v>
      </c>
      <c r="AE907" s="217" t="s">
        <v>334</v>
      </c>
    </row>
    <row r="908" spans="28:31">
      <c r="AB908" s="231" t="s">
        <v>1297</v>
      </c>
      <c r="AC908" s="217" t="s">
        <v>333</v>
      </c>
      <c r="AD908" s="217" t="s">
        <v>334</v>
      </c>
      <c r="AE908" s="217" t="s">
        <v>334</v>
      </c>
    </row>
    <row r="909" spans="28:31">
      <c r="AB909" s="231" t="s">
        <v>1298</v>
      </c>
      <c r="AC909" s="217" t="s">
        <v>333</v>
      </c>
      <c r="AD909" s="217" t="s">
        <v>334</v>
      </c>
      <c r="AE909" s="217" t="s">
        <v>334</v>
      </c>
    </row>
    <row r="910" spans="28:31">
      <c r="AB910" s="231" t="s">
        <v>1299</v>
      </c>
      <c r="AC910" s="217" t="s">
        <v>333</v>
      </c>
      <c r="AD910" s="217" t="s">
        <v>334</v>
      </c>
      <c r="AE910" s="217" t="s">
        <v>334</v>
      </c>
    </row>
    <row r="911" spans="28:31">
      <c r="AB911" s="231" t="s">
        <v>1300</v>
      </c>
      <c r="AC911" s="217" t="s">
        <v>333</v>
      </c>
      <c r="AD911" s="217" t="s">
        <v>334</v>
      </c>
      <c r="AE911" s="217" t="s">
        <v>334</v>
      </c>
    </row>
    <row r="912" spans="28:31">
      <c r="AB912" s="231" t="s">
        <v>1301</v>
      </c>
      <c r="AC912" s="217" t="s">
        <v>333</v>
      </c>
      <c r="AD912" s="217" t="s">
        <v>334</v>
      </c>
      <c r="AE912" s="217" t="s">
        <v>334</v>
      </c>
    </row>
    <row r="913" spans="28:31">
      <c r="AB913" s="231" t="s">
        <v>1302</v>
      </c>
      <c r="AC913" s="217" t="s">
        <v>333</v>
      </c>
      <c r="AD913" s="217" t="s">
        <v>334</v>
      </c>
      <c r="AE913" s="217" t="s">
        <v>334</v>
      </c>
    </row>
    <row r="914" spans="28:31">
      <c r="AB914" s="231" t="s">
        <v>1303</v>
      </c>
      <c r="AC914" s="217" t="s">
        <v>333</v>
      </c>
      <c r="AD914" s="217" t="s">
        <v>334</v>
      </c>
      <c r="AE914" s="217" t="s">
        <v>334</v>
      </c>
    </row>
    <row r="915" spans="28:31">
      <c r="AB915" s="231" t="s">
        <v>1304</v>
      </c>
      <c r="AC915" s="217" t="s">
        <v>333</v>
      </c>
      <c r="AD915" s="217" t="s">
        <v>334</v>
      </c>
      <c r="AE915" s="217" t="s">
        <v>334</v>
      </c>
    </row>
    <row r="916" spans="28:31">
      <c r="AB916" s="231" t="s">
        <v>1305</v>
      </c>
      <c r="AC916" s="217" t="s">
        <v>333</v>
      </c>
      <c r="AD916" s="217" t="s">
        <v>334</v>
      </c>
      <c r="AE916" s="217" t="s">
        <v>334</v>
      </c>
    </row>
    <row r="917" spans="28:31">
      <c r="AB917" s="231" t="s">
        <v>1306</v>
      </c>
      <c r="AC917" s="217" t="s">
        <v>333</v>
      </c>
      <c r="AD917" s="217" t="s">
        <v>334</v>
      </c>
      <c r="AE917" s="217" t="s">
        <v>334</v>
      </c>
    </row>
    <row r="918" spans="28:31">
      <c r="AB918" s="231" t="s">
        <v>1307</v>
      </c>
      <c r="AC918" s="217" t="s">
        <v>333</v>
      </c>
      <c r="AD918" s="217" t="s">
        <v>334</v>
      </c>
      <c r="AE918" s="217" t="s">
        <v>334</v>
      </c>
    </row>
    <row r="919" spans="28:31">
      <c r="AB919" s="231" t="s">
        <v>1308</v>
      </c>
      <c r="AC919" s="217" t="s">
        <v>333</v>
      </c>
      <c r="AD919" s="217" t="s">
        <v>334</v>
      </c>
      <c r="AE919" s="217" t="s">
        <v>334</v>
      </c>
    </row>
    <row r="920" spans="28:31">
      <c r="AB920" s="231" t="s">
        <v>1309</v>
      </c>
      <c r="AC920" s="217" t="s">
        <v>333</v>
      </c>
      <c r="AD920" s="217" t="s">
        <v>334</v>
      </c>
      <c r="AE920" s="217" t="s">
        <v>334</v>
      </c>
    </row>
    <row r="921" spans="28:31">
      <c r="AB921" s="231" t="s">
        <v>1310</v>
      </c>
      <c r="AC921" s="217" t="s">
        <v>333</v>
      </c>
      <c r="AD921" s="217" t="s">
        <v>334</v>
      </c>
      <c r="AE921" s="217" t="s">
        <v>334</v>
      </c>
    </row>
    <row r="922" spans="28:31">
      <c r="AB922" s="231" t="s">
        <v>1311</v>
      </c>
      <c r="AC922" s="217" t="s">
        <v>333</v>
      </c>
      <c r="AD922" s="217" t="s">
        <v>334</v>
      </c>
      <c r="AE922" s="217" t="s">
        <v>334</v>
      </c>
    </row>
    <row r="923" spans="28:31">
      <c r="AB923" s="231" t="s">
        <v>1312</v>
      </c>
      <c r="AC923" s="217" t="s">
        <v>333</v>
      </c>
      <c r="AD923" s="217" t="s">
        <v>334</v>
      </c>
      <c r="AE923" s="217" t="s">
        <v>334</v>
      </c>
    </row>
    <row r="924" spans="28:31">
      <c r="AB924" s="231" t="s">
        <v>1313</v>
      </c>
      <c r="AC924" s="217" t="s">
        <v>333</v>
      </c>
      <c r="AD924" s="217" t="s">
        <v>334</v>
      </c>
      <c r="AE924" s="217" t="s">
        <v>334</v>
      </c>
    </row>
    <row r="925" spans="28:31">
      <c r="AB925" s="231" t="s">
        <v>1314</v>
      </c>
      <c r="AC925" s="217" t="s">
        <v>333</v>
      </c>
      <c r="AD925" s="217" t="s">
        <v>334</v>
      </c>
      <c r="AE925" s="217" t="s">
        <v>334</v>
      </c>
    </row>
    <row r="926" spans="28:31">
      <c r="AB926" s="231" t="s">
        <v>1315</v>
      </c>
      <c r="AC926" s="217" t="s">
        <v>333</v>
      </c>
      <c r="AD926" s="217" t="s">
        <v>334</v>
      </c>
      <c r="AE926" s="217" t="s">
        <v>334</v>
      </c>
    </row>
    <row r="927" spans="28:31">
      <c r="AB927" s="231" t="s">
        <v>1316</v>
      </c>
      <c r="AC927" s="217" t="s">
        <v>333</v>
      </c>
      <c r="AD927" s="217" t="s">
        <v>334</v>
      </c>
      <c r="AE927" s="217" t="s">
        <v>334</v>
      </c>
    </row>
    <row r="928" spans="28:31">
      <c r="AB928" s="231" t="s">
        <v>1317</v>
      </c>
      <c r="AC928" s="217" t="s">
        <v>333</v>
      </c>
      <c r="AD928" s="217" t="s">
        <v>334</v>
      </c>
      <c r="AE928" s="217" t="s">
        <v>334</v>
      </c>
    </row>
    <row r="929" spans="28:31">
      <c r="AB929" s="231" t="s">
        <v>1318</v>
      </c>
      <c r="AC929" s="217" t="s">
        <v>333</v>
      </c>
      <c r="AD929" s="217" t="s">
        <v>334</v>
      </c>
      <c r="AE929" s="217" t="s">
        <v>334</v>
      </c>
    </row>
    <row r="930" spans="28:31">
      <c r="AB930" s="231" t="s">
        <v>1319</v>
      </c>
      <c r="AC930" s="217" t="s">
        <v>333</v>
      </c>
      <c r="AD930" s="217" t="s">
        <v>334</v>
      </c>
      <c r="AE930" s="217" t="s">
        <v>334</v>
      </c>
    </row>
    <row r="931" spans="28:31">
      <c r="AB931" s="231" t="s">
        <v>1320</v>
      </c>
      <c r="AC931" s="217" t="s">
        <v>333</v>
      </c>
      <c r="AD931" s="217" t="s">
        <v>334</v>
      </c>
      <c r="AE931" s="217" t="s">
        <v>334</v>
      </c>
    </row>
    <row r="932" spans="28:31">
      <c r="AB932" s="231" t="s">
        <v>1321</v>
      </c>
      <c r="AC932" s="217" t="s">
        <v>333</v>
      </c>
      <c r="AD932" s="217" t="s">
        <v>334</v>
      </c>
      <c r="AE932" s="217" t="s">
        <v>334</v>
      </c>
    </row>
    <row r="933" spans="28:31">
      <c r="AB933" s="231" t="s">
        <v>1322</v>
      </c>
      <c r="AC933" s="217" t="s">
        <v>333</v>
      </c>
      <c r="AD933" s="217" t="s">
        <v>334</v>
      </c>
      <c r="AE933" s="217" t="s">
        <v>334</v>
      </c>
    </row>
    <row r="934" spans="28:31">
      <c r="AB934" s="231" t="s">
        <v>1323</v>
      </c>
      <c r="AC934" s="217" t="s">
        <v>333</v>
      </c>
      <c r="AD934" s="217" t="s">
        <v>334</v>
      </c>
      <c r="AE934" s="217" t="s">
        <v>334</v>
      </c>
    </row>
    <row r="935" spans="28:31">
      <c r="AB935" s="231" t="s">
        <v>1324</v>
      </c>
      <c r="AC935" s="217" t="s">
        <v>333</v>
      </c>
      <c r="AD935" s="217" t="s">
        <v>334</v>
      </c>
      <c r="AE935" s="217" t="s">
        <v>334</v>
      </c>
    </row>
    <row r="936" spans="28:31">
      <c r="AB936" s="231" t="s">
        <v>1325</v>
      </c>
      <c r="AC936" s="217" t="s">
        <v>333</v>
      </c>
      <c r="AD936" s="217" t="s">
        <v>334</v>
      </c>
      <c r="AE936" s="217" t="s">
        <v>334</v>
      </c>
    </row>
    <row r="937" spans="28:31">
      <c r="AB937" s="231" t="s">
        <v>1326</v>
      </c>
      <c r="AC937" s="217" t="s">
        <v>333</v>
      </c>
      <c r="AD937" s="217" t="s">
        <v>334</v>
      </c>
      <c r="AE937" s="217" t="s">
        <v>334</v>
      </c>
    </row>
    <row r="938" spans="28:31">
      <c r="AB938" s="231" t="s">
        <v>1327</v>
      </c>
      <c r="AC938" s="217" t="s">
        <v>333</v>
      </c>
      <c r="AD938" s="217" t="s">
        <v>334</v>
      </c>
      <c r="AE938" s="217" t="s">
        <v>334</v>
      </c>
    </row>
    <row r="939" spans="28:31">
      <c r="AB939" s="231" t="s">
        <v>1328</v>
      </c>
      <c r="AC939" s="217" t="s">
        <v>333</v>
      </c>
      <c r="AD939" s="217" t="s">
        <v>334</v>
      </c>
      <c r="AE939" s="217" t="s">
        <v>334</v>
      </c>
    </row>
    <row r="940" spans="28:31">
      <c r="AB940" s="231" t="s">
        <v>1329</v>
      </c>
      <c r="AC940" s="217" t="s">
        <v>333</v>
      </c>
      <c r="AD940" s="217" t="s">
        <v>334</v>
      </c>
      <c r="AE940" s="217" t="s">
        <v>334</v>
      </c>
    </row>
    <row r="941" spans="28:31">
      <c r="AB941" s="231" t="s">
        <v>1330</v>
      </c>
      <c r="AC941" s="217" t="s">
        <v>333</v>
      </c>
      <c r="AD941" s="217" t="s">
        <v>334</v>
      </c>
      <c r="AE941" s="217" t="s">
        <v>334</v>
      </c>
    </row>
    <row r="942" spans="28:31">
      <c r="AB942" s="231" t="s">
        <v>1331</v>
      </c>
      <c r="AC942" s="217" t="s">
        <v>333</v>
      </c>
      <c r="AD942" s="217" t="s">
        <v>334</v>
      </c>
      <c r="AE942" s="217" t="s">
        <v>334</v>
      </c>
    </row>
    <row r="943" spans="28:31">
      <c r="AB943" s="231" t="s">
        <v>1332</v>
      </c>
      <c r="AC943" s="217" t="s">
        <v>333</v>
      </c>
      <c r="AD943" s="217" t="s">
        <v>334</v>
      </c>
      <c r="AE943" s="217" t="s">
        <v>334</v>
      </c>
    </row>
    <row r="944" spans="28:31">
      <c r="AB944" s="231" t="s">
        <v>1333</v>
      </c>
      <c r="AC944" s="217" t="s">
        <v>333</v>
      </c>
      <c r="AD944" s="217" t="s">
        <v>334</v>
      </c>
      <c r="AE944" s="217" t="s">
        <v>334</v>
      </c>
    </row>
    <row r="945" spans="28:31">
      <c r="AB945" s="231" t="s">
        <v>1334</v>
      </c>
      <c r="AC945" s="217" t="s">
        <v>333</v>
      </c>
      <c r="AD945" s="217" t="s">
        <v>334</v>
      </c>
      <c r="AE945" s="217" t="s">
        <v>334</v>
      </c>
    </row>
    <row r="946" spans="28:31">
      <c r="AB946" s="231" t="s">
        <v>1335</v>
      </c>
      <c r="AC946" s="217" t="s">
        <v>333</v>
      </c>
      <c r="AD946" s="217" t="s">
        <v>334</v>
      </c>
      <c r="AE946" s="217" t="s">
        <v>334</v>
      </c>
    </row>
    <row r="947" spans="28:31">
      <c r="AB947" s="231" t="s">
        <v>1336</v>
      </c>
      <c r="AC947" s="217" t="s">
        <v>333</v>
      </c>
      <c r="AD947" s="217" t="s">
        <v>334</v>
      </c>
      <c r="AE947" s="217" t="s">
        <v>334</v>
      </c>
    </row>
    <row r="948" spans="28:31">
      <c r="AB948" s="231" t="s">
        <v>1337</v>
      </c>
      <c r="AC948" s="217" t="s">
        <v>333</v>
      </c>
      <c r="AD948" s="217" t="s">
        <v>334</v>
      </c>
      <c r="AE948" s="217" t="s">
        <v>334</v>
      </c>
    </row>
    <row r="949" spans="28:31">
      <c r="AB949" s="231" t="s">
        <v>1338</v>
      </c>
      <c r="AC949" s="217" t="s">
        <v>333</v>
      </c>
      <c r="AD949" s="217" t="s">
        <v>334</v>
      </c>
      <c r="AE949" s="217" t="s">
        <v>334</v>
      </c>
    </row>
    <row r="950" spans="28:31">
      <c r="AB950" s="231" t="s">
        <v>1339</v>
      </c>
      <c r="AC950" s="217" t="s">
        <v>333</v>
      </c>
      <c r="AD950" s="217" t="s">
        <v>334</v>
      </c>
      <c r="AE950" s="217" t="s">
        <v>334</v>
      </c>
    </row>
    <row r="951" spans="28:31">
      <c r="AB951" s="231" t="s">
        <v>1340</v>
      </c>
      <c r="AC951" s="217" t="s">
        <v>333</v>
      </c>
      <c r="AD951" s="217" t="s">
        <v>334</v>
      </c>
      <c r="AE951" s="217" t="s">
        <v>334</v>
      </c>
    </row>
    <row r="952" spans="28:31">
      <c r="AB952" s="231" t="s">
        <v>1341</v>
      </c>
      <c r="AC952" s="217" t="s">
        <v>333</v>
      </c>
      <c r="AD952" s="217" t="s">
        <v>334</v>
      </c>
      <c r="AE952" s="217" t="s">
        <v>334</v>
      </c>
    </row>
    <row r="953" spans="28:31">
      <c r="AB953" s="231" t="s">
        <v>1342</v>
      </c>
      <c r="AC953" s="217" t="s">
        <v>333</v>
      </c>
      <c r="AD953" s="217" t="s">
        <v>334</v>
      </c>
      <c r="AE953" s="217" t="s">
        <v>334</v>
      </c>
    </row>
    <row r="954" spans="28:31">
      <c r="AB954" s="231" t="s">
        <v>1343</v>
      </c>
      <c r="AC954" s="217" t="s">
        <v>333</v>
      </c>
      <c r="AD954" s="217" t="s">
        <v>334</v>
      </c>
      <c r="AE954" s="217" t="s">
        <v>334</v>
      </c>
    </row>
    <row r="955" spans="28:31">
      <c r="AB955" s="231" t="s">
        <v>1344</v>
      </c>
      <c r="AC955" s="217" t="s">
        <v>333</v>
      </c>
      <c r="AD955" s="217" t="s">
        <v>334</v>
      </c>
      <c r="AE955" s="217" t="s">
        <v>334</v>
      </c>
    </row>
    <row r="956" spans="28:31">
      <c r="AB956" s="231" t="s">
        <v>1345</v>
      </c>
      <c r="AC956" s="217" t="s">
        <v>333</v>
      </c>
      <c r="AD956" s="217" t="s">
        <v>334</v>
      </c>
      <c r="AE956" s="217" t="s">
        <v>334</v>
      </c>
    </row>
    <row r="957" spans="28:31">
      <c r="AB957" s="231" t="s">
        <v>1346</v>
      </c>
      <c r="AC957" s="217" t="s">
        <v>333</v>
      </c>
      <c r="AD957" s="217" t="s">
        <v>334</v>
      </c>
      <c r="AE957" s="217" t="s">
        <v>334</v>
      </c>
    </row>
    <row r="958" spans="28:31">
      <c r="AB958" s="231" t="s">
        <v>1347</v>
      </c>
      <c r="AC958" s="217" t="s">
        <v>333</v>
      </c>
      <c r="AD958" s="217" t="s">
        <v>334</v>
      </c>
      <c r="AE958" s="217" t="s">
        <v>334</v>
      </c>
    </row>
    <row r="959" spans="28:31">
      <c r="AB959" s="231" t="s">
        <v>1348</v>
      </c>
      <c r="AC959" s="217" t="s">
        <v>333</v>
      </c>
      <c r="AD959" s="217" t="s">
        <v>334</v>
      </c>
      <c r="AE959" s="217" t="s">
        <v>334</v>
      </c>
    </row>
    <row r="960" spans="28:31">
      <c r="AB960" s="231" t="s">
        <v>1349</v>
      </c>
      <c r="AC960" s="217" t="s">
        <v>333</v>
      </c>
      <c r="AD960" s="217" t="s">
        <v>334</v>
      </c>
      <c r="AE960" s="217" t="s">
        <v>334</v>
      </c>
    </row>
    <row r="961" spans="28:31">
      <c r="AB961" s="231" t="s">
        <v>1350</v>
      </c>
      <c r="AC961" s="217" t="s">
        <v>333</v>
      </c>
      <c r="AD961" s="217" t="s">
        <v>334</v>
      </c>
      <c r="AE961" s="217" t="s">
        <v>334</v>
      </c>
    </row>
    <row r="962" spans="28:31">
      <c r="AB962" s="231" t="s">
        <v>1351</v>
      </c>
      <c r="AC962" s="217" t="s">
        <v>333</v>
      </c>
      <c r="AD962" s="217" t="s">
        <v>334</v>
      </c>
      <c r="AE962" s="217" t="s">
        <v>334</v>
      </c>
    </row>
    <row r="963" spans="28:31">
      <c r="AB963" s="231" t="s">
        <v>1352</v>
      </c>
      <c r="AC963" s="217" t="s">
        <v>333</v>
      </c>
      <c r="AD963" s="217" t="s">
        <v>334</v>
      </c>
      <c r="AE963" s="217" t="s">
        <v>334</v>
      </c>
    </row>
    <row r="964" spans="28:31">
      <c r="AB964" s="231" t="s">
        <v>1353</v>
      </c>
      <c r="AC964" s="217" t="s">
        <v>333</v>
      </c>
      <c r="AD964" s="217" t="s">
        <v>334</v>
      </c>
      <c r="AE964" s="217" t="s">
        <v>334</v>
      </c>
    </row>
    <row r="965" spans="28:31">
      <c r="AB965" s="231" t="s">
        <v>1354</v>
      </c>
      <c r="AC965" s="217" t="s">
        <v>333</v>
      </c>
      <c r="AD965" s="217" t="s">
        <v>334</v>
      </c>
      <c r="AE965" s="217" t="s">
        <v>334</v>
      </c>
    </row>
    <row r="966" spans="28:31">
      <c r="AB966" s="231" t="s">
        <v>1355</v>
      </c>
      <c r="AC966" s="217" t="s">
        <v>333</v>
      </c>
      <c r="AD966" s="217" t="s">
        <v>334</v>
      </c>
      <c r="AE966" s="217" t="s">
        <v>334</v>
      </c>
    </row>
    <row r="967" spans="28:31">
      <c r="AB967" s="231" t="s">
        <v>1356</v>
      </c>
      <c r="AC967" s="217" t="s">
        <v>333</v>
      </c>
      <c r="AD967" s="217" t="s">
        <v>334</v>
      </c>
      <c r="AE967" s="217" t="s">
        <v>334</v>
      </c>
    </row>
    <row r="968" spans="28:31">
      <c r="AB968" s="231" t="s">
        <v>1357</v>
      </c>
      <c r="AC968" s="217" t="s">
        <v>333</v>
      </c>
      <c r="AD968" s="217" t="s">
        <v>334</v>
      </c>
      <c r="AE968" s="217" t="s">
        <v>334</v>
      </c>
    </row>
    <row r="969" spans="28:31">
      <c r="AB969" s="231" t="s">
        <v>1358</v>
      </c>
      <c r="AC969" s="217" t="s">
        <v>333</v>
      </c>
      <c r="AD969" s="217" t="s">
        <v>334</v>
      </c>
      <c r="AE969" s="217" t="s">
        <v>334</v>
      </c>
    </row>
    <row r="970" spans="28:31">
      <c r="AB970" s="231" t="s">
        <v>1359</v>
      </c>
      <c r="AC970" s="217" t="s">
        <v>333</v>
      </c>
      <c r="AD970" s="217" t="s">
        <v>334</v>
      </c>
      <c r="AE970" s="217" t="s">
        <v>334</v>
      </c>
    </row>
    <row r="971" spans="28:31">
      <c r="AB971" s="231" t="s">
        <v>1360</v>
      </c>
      <c r="AC971" s="217" t="s">
        <v>333</v>
      </c>
      <c r="AD971" s="217" t="s">
        <v>334</v>
      </c>
      <c r="AE971" s="217" t="s">
        <v>334</v>
      </c>
    </row>
    <row r="972" spans="28:31">
      <c r="AB972" s="231" t="s">
        <v>1361</v>
      </c>
      <c r="AC972" s="217" t="s">
        <v>333</v>
      </c>
      <c r="AD972" s="217" t="s">
        <v>334</v>
      </c>
      <c r="AE972" s="217" t="s">
        <v>334</v>
      </c>
    </row>
    <row r="973" spans="28:31">
      <c r="AB973" s="231" t="s">
        <v>1362</v>
      </c>
      <c r="AC973" s="217" t="s">
        <v>333</v>
      </c>
      <c r="AD973" s="217" t="s">
        <v>334</v>
      </c>
      <c r="AE973" s="217" t="s">
        <v>334</v>
      </c>
    </row>
    <row r="974" spans="28:31">
      <c r="AB974" s="231" t="s">
        <v>1363</v>
      </c>
      <c r="AC974" s="217" t="s">
        <v>333</v>
      </c>
      <c r="AD974" s="217" t="s">
        <v>334</v>
      </c>
      <c r="AE974" s="217" t="s">
        <v>334</v>
      </c>
    </row>
    <row r="975" spans="28:31">
      <c r="AB975" s="231" t="s">
        <v>1364</v>
      </c>
      <c r="AC975" s="217" t="s">
        <v>333</v>
      </c>
      <c r="AD975" s="217" t="s">
        <v>334</v>
      </c>
      <c r="AE975" s="217" t="s">
        <v>334</v>
      </c>
    </row>
    <row r="976" spans="28:31">
      <c r="AB976" s="231" t="s">
        <v>1365</v>
      </c>
      <c r="AC976" s="217" t="s">
        <v>333</v>
      </c>
      <c r="AD976" s="217" t="s">
        <v>334</v>
      </c>
      <c r="AE976" s="217" t="s">
        <v>334</v>
      </c>
    </row>
    <row r="977" spans="28:31">
      <c r="AB977" s="231" t="s">
        <v>1366</v>
      </c>
      <c r="AC977" s="217" t="s">
        <v>333</v>
      </c>
      <c r="AD977" s="217" t="s">
        <v>334</v>
      </c>
      <c r="AE977" s="217" t="s">
        <v>334</v>
      </c>
    </row>
    <row r="978" spans="28:31">
      <c r="AB978" s="231" t="s">
        <v>1367</v>
      </c>
      <c r="AC978" s="217" t="s">
        <v>333</v>
      </c>
      <c r="AD978" s="217" t="s">
        <v>334</v>
      </c>
      <c r="AE978" s="217" t="s">
        <v>334</v>
      </c>
    </row>
    <row r="979" spans="28:31">
      <c r="AB979" s="231" t="s">
        <v>1368</v>
      </c>
      <c r="AC979" s="217" t="s">
        <v>333</v>
      </c>
      <c r="AD979" s="217" t="s">
        <v>334</v>
      </c>
      <c r="AE979" s="217" t="s">
        <v>334</v>
      </c>
    </row>
    <row r="980" spans="28:31">
      <c r="AB980" s="231" t="s">
        <v>1369</v>
      </c>
      <c r="AC980" s="217" t="s">
        <v>333</v>
      </c>
      <c r="AD980" s="217" t="s">
        <v>334</v>
      </c>
      <c r="AE980" s="217" t="s">
        <v>334</v>
      </c>
    </row>
    <row r="981" spans="28:31">
      <c r="AB981" s="231" t="s">
        <v>1370</v>
      </c>
      <c r="AC981" s="217" t="s">
        <v>333</v>
      </c>
      <c r="AD981" s="217" t="s">
        <v>334</v>
      </c>
      <c r="AE981" s="217" t="s">
        <v>334</v>
      </c>
    </row>
    <row r="982" spans="28:31">
      <c r="AB982" s="231" t="s">
        <v>1371</v>
      </c>
      <c r="AC982" s="217" t="s">
        <v>333</v>
      </c>
      <c r="AD982" s="217" t="s">
        <v>334</v>
      </c>
      <c r="AE982" s="217" t="s">
        <v>334</v>
      </c>
    </row>
    <row r="983" spans="28:31">
      <c r="AB983" s="231" t="s">
        <v>1372</v>
      </c>
      <c r="AC983" s="217" t="s">
        <v>333</v>
      </c>
      <c r="AD983" s="217" t="s">
        <v>334</v>
      </c>
      <c r="AE983" s="217" t="s">
        <v>334</v>
      </c>
    </row>
    <row r="984" spans="28:31">
      <c r="AB984" s="231" t="s">
        <v>1373</v>
      </c>
      <c r="AC984" s="217" t="s">
        <v>333</v>
      </c>
      <c r="AD984" s="217" t="s">
        <v>334</v>
      </c>
      <c r="AE984" s="217" t="s">
        <v>334</v>
      </c>
    </row>
    <row r="985" spans="28:31">
      <c r="AB985" s="231" t="s">
        <v>1374</v>
      </c>
      <c r="AC985" s="217" t="s">
        <v>333</v>
      </c>
      <c r="AD985" s="217" t="s">
        <v>334</v>
      </c>
      <c r="AE985" s="217" t="s">
        <v>334</v>
      </c>
    </row>
    <row r="986" spans="28:31">
      <c r="AB986" s="231" t="s">
        <v>1375</v>
      </c>
      <c r="AC986" s="217" t="s">
        <v>333</v>
      </c>
      <c r="AD986" s="217" t="s">
        <v>334</v>
      </c>
      <c r="AE986" s="217" t="s">
        <v>334</v>
      </c>
    </row>
    <row r="987" spans="28:31">
      <c r="AB987" s="231" t="s">
        <v>1376</v>
      </c>
      <c r="AC987" s="217" t="s">
        <v>333</v>
      </c>
      <c r="AD987" s="217" t="s">
        <v>334</v>
      </c>
      <c r="AE987" s="217" t="s">
        <v>334</v>
      </c>
    </row>
    <row r="988" spans="28:31">
      <c r="AB988" s="231" t="s">
        <v>1377</v>
      </c>
      <c r="AC988" s="217" t="s">
        <v>333</v>
      </c>
      <c r="AD988" s="217" t="s">
        <v>334</v>
      </c>
      <c r="AE988" s="217" t="s">
        <v>334</v>
      </c>
    </row>
    <row r="989" spans="28:31">
      <c r="AB989" s="231" t="s">
        <v>1378</v>
      </c>
      <c r="AC989" s="217" t="s">
        <v>333</v>
      </c>
      <c r="AD989" s="217" t="s">
        <v>334</v>
      </c>
      <c r="AE989" s="217" t="s">
        <v>334</v>
      </c>
    </row>
    <row r="990" spans="28:31">
      <c r="AB990" s="231" t="s">
        <v>1379</v>
      </c>
      <c r="AC990" s="217" t="s">
        <v>333</v>
      </c>
      <c r="AD990" s="217" t="s">
        <v>334</v>
      </c>
      <c r="AE990" s="217" t="s">
        <v>334</v>
      </c>
    </row>
    <row r="991" spans="28:31">
      <c r="AB991" s="231" t="s">
        <v>1380</v>
      </c>
      <c r="AC991" s="217" t="s">
        <v>333</v>
      </c>
      <c r="AD991" s="217" t="s">
        <v>334</v>
      </c>
      <c r="AE991" s="217" t="s">
        <v>334</v>
      </c>
    </row>
    <row r="992" spans="28:31">
      <c r="AB992" s="231" t="s">
        <v>1381</v>
      </c>
      <c r="AC992" s="217" t="s">
        <v>333</v>
      </c>
      <c r="AD992" s="217" t="s">
        <v>334</v>
      </c>
      <c r="AE992" s="217" t="s">
        <v>334</v>
      </c>
    </row>
    <row r="993" spans="28:31">
      <c r="AB993" s="231" t="s">
        <v>1382</v>
      </c>
      <c r="AC993" s="217" t="s">
        <v>333</v>
      </c>
      <c r="AD993" s="217" t="s">
        <v>334</v>
      </c>
      <c r="AE993" s="217" t="s">
        <v>334</v>
      </c>
    </row>
    <row r="994" spans="28:31">
      <c r="AB994" s="231" t="s">
        <v>1383</v>
      </c>
      <c r="AC994" s="217" t="s">
        <v>333</v>
      </c>
      <c r="AD994" s="217" t="s">
        <v>334</v>
      </c>
      <c r="AE994" s="217" t="s">
        <v>334</v>
      </c>
    </row>
    <row r="995" spans="28:31">
      <c r="AB995" s="231" t="s">
        <v>1384</v>
      </c>
      <c r="AC995" s="217" t="s">
        <v>333</v>
      </c>
      <c r="AD995" s="217" t="s">
        <v>334</v>
      </c>
      <c r="AE995" s="217" t="s">
        <v>334</v>
      </c>
    </row>
    <row r="996" spans="28:31">
      <c r="AB996" s="231" t="s">
        <v>1385</v>
      </c>
      <c r="AC996" s="217" t="s">
        <v>333</v>
      </c>
      <c r="AD996" s="217" t="s">
        <v>334</v>
      </c>
      <c r="AE996" s="217" t="s">
        <v>334</v>
      </c>
    </row>
    <row r="997" spans="28:31">
      <c r="AB997" s="231" t="s">
        <v>1386</v>
      </c>
      <c r="AC997" s="217" t="s">
        <v>333</v>
      </c>
      <c r="AD997" s="217" t="s">
        <v>334</v>
      </c>
      <c r="AE997" s="217" t="s">
        <v>334</v>
      </c>
    </row>
    <row r="998" spans="28:31">
      <c r="AB998" s="231" t="s">
        <v>1387</v>
      </c>
      <c r="AC998" s="217" t="s">
        <v>333</v>
      </c>
      <c r="AD998" s="217" t="s">
        <v>334</v>
      </c>
      <c r="AE998" s="217" t="s">
        <v>334</v>
      </c>
    </row>
    <row r="999" spans="28:31">
      <c r="AB999" s="231" t="s">
        <v>1388</v>
      </c>
      <c r="AC999" s="217" t="s">
        <v>333</v>
      </c>
      <c r="AD999" s="217" t="s">
        <v>334</v>
      </c>
      <c r="AE999" s="217" t="s">
        <v>334</v>
      </c>
    </row>
    <row r="1000" spans="28:31">
      <c r="AB1000" s="231" t="s">
        <v>1389</v>
      </c>
      <c r="AC1000" s="217" t="s">
        <v>333</v>
      </c>
      <c r="AD1000" s="217" t="s">
        <v>334</v>
      </c>
      <c r="AE1000" s="217" t="s">
        <v>334</v>
      </c>
    </row>
    <row r="1001" spans="28:31">
      <c r="AB1001" s="231" t="s">
        <v>1390</v>
      </c>
      <c r="AC1001" s="217" t="s">
        <v>333</v>
      </c>
      <c r="AD1001" s="217" t="s">
        <v>334</v>
      </c>
      <c r="AE1001" s="217" t="s">
        <v>334</v>
      </c>
    </row>
    <row r="1002" spans="28:31">
      <c r="AB1002" s="231" t="s">
        <v>1391</v>
      </c>
      <c r="AC1002" s="217" t="s">
        <v>333</v>
      </c>
      <c r="AD1002" s="217" t="s">
        <v>334</v>
      </c>
      <c r="AE1002" s="217" t="s">
        <v>334</v>
      </c>
    </row>
    <row r="1003" spans="28:31">
      <c r="AB1003" s="231" t="s">
        <v>1392</v>
      </c>
      <c r="AC1003" s="217" t="s">
        <v>333</v>
      </c>
      <c r="AD1003" s="217" t="s">
        <v>334</v>
      </c>
      <c r="AE1003" s="217" t="s">
        <v>334</v>
      </c>
    </row>
    <row r="1004" spans="28:31">
      <c r="AB1004" s="231" t="s">
        <v>1393</v>
      </c>
      <c r="AC1004" s="217" t="s">
        <v>333</v>
      </c>
      <c r="AD1004" s="217" t="s">
        <v>334</v>
      </c>
      <c r="AE1004" s="217" t="s">
        <v>334</v>
      </c>
    </row>
    <row r="1005" spans="28:31">
      <c r="AB1005" s="231" t="s">
        <v>1394</v>
      </c>
      <c r="AC1005" s="217" t="s">
        <v>333</v>
      </c>
      <c r="AD1005" s="217" t="s">
        <v>334</v>
      </c>
      <c r="AE1005" s="217" t="s">
        <v>334</v>
      </c>
    </row>
    <row r="1006" spans="28:31">
      <c r="AB1006" s="231" t="s">
        <v>1395</v>
      </c>
      <c r="AC1006" s="217" t="s">
        <v>333</v>
      </c>
      <c r="AD1006" s="217" t="s">
        <v>334</v>
      </c>
      <c r="AE1006" s="217" t="s">
        <v>334</v>
      </c>
    </row>
    <row r="1007" spans="28:31">
      <c r="AB1007" s="231" t="s">
        <v>1396</v>
      </c>
      <c r="AC1007" s="217" t="s">
        <v>333</v>
      </c>
      <c r="AD1007" s="217" t="s">
        <v>334</v>
      </c>
      <c r="AE1007" s="217" t="s">
        <v>334</v>
      </c>
    </row>
    <row r="1008" spans="28:31">
      <c r="AB1008" s="231" t="s">
        <v>1397</v>
      </c>
      <c r="AC1008" s="217" t="s">
        <v>333</v>
      </c>
      <c r="AD1008" s="217" t="s">
        <v>334</v>
      </c>
      <c r="AE1008" s="217" t="s">
        <v>334</v>
      </c>
    </row>
    <row r="1009" spans="28:31">
      <c r="AB1009" s="231" t="s">
        <v>1398</v>
      </c>
      <c r="AC1009" s="217" t="s">
        <v>333</v>
      </c>
      <c r="AD1009" s="217" t="s">
        <v>334</v>
      </c>
      <c r="AE1009" s="217" t="s">
        <v>334</v>
      </c>
    </row>
    <row r="1010" spans="28:31">
      <c r="AB1010" s="231" t="s">
        <v>1399</v>
      </c>
      <c r="AC1010" s="217" t="s">
        <v>333</v>
      </c>
      <c r="AD1010" s="217" t="s">
        <v>334</v>
      </c>
      <c r="AE1010" s="217" t="s">
        <v>334</v>
      </c>
    </row>
    <row r="1011" spans="28:31">
      <c r="AB1011" s="231" t="s">
        <v>1400</v>
      </c>
      <c r="AC1011" s="217" t="s">
        <v>333</v>
      </c>
      <c r="AD1011" s="217" t="s">
        <v>334</v>
      </c>
      <c r="AE1011" s="217" t="s">
        <v>334</v>
      </c>
    </row>
    <row r="1012" spans="28:31">
      <c r="AB1012" s="231" t="s">
        <v>1401</v>
      </c>
      <c r="AC1012" s="217" t="s">
        <v>333</v>
      </c>
      <c r="AD1012" s="217" t="s">
        <v>334</v>
      </c>
      <c r="AE1012" s="217" t="s">
        <v>334</v>
      </c>
    </row>
    <row r="1013" spans="28:31">
      <c r="AB1013" s="231" t="s">
        <v>1402</v>
      </c>
      <c r="AC1013" s="217" t="s">
        <v>333</v>
      </c>
      <c r="AD1013" s="217" t="s">
        <v>334</v>
      </c>
      <c r="AE1013" s="217" t="s">
        <v>334</v>
      </c>
    </row>
    <row r="1014" spans="28:31">
      <c r="AB1014" s="231" t="s">
        <v>1403</v>
      </c>
      <c r="AC1014" s="217" t="s">
        <v>333</v>
      </c>
      <c r="AD1014" s="217" t="s">
        <v>334</v>
      </c>
      <c r="AE1014" s="217" t="s">
        <v>334</v>
      </c>
    </row>
    <row r="1015" spans="28:31">
      <c r="AB1015" s="231" t="s">
        <v>1404</v>
      </c>
      <c r="AC1015" s="217" t="s">
        <v>333</v>
      </c>
      <c r="AD1015" s="217" t="s">
        <v>334</v>
      </c>
      <c r="AE1015" s="217" t="s">
        <v>334</v>
      </c>
    </row>
    <row r="1016" spans="28:31">
      <c r="AB1016" s="231" t="s">
        <v>1405</v>
      </c>
      <c r="AC1016" s="217" t="s">
        <v>333</v>
      </c>
      <c r="AD1016" s="217" t="s">
        <v>334</v>
      </c>
      <c r="AE1016" s="217" t="s">
        <v>334</v>
      </c>
    </row>
    <row r="1017" spans="28:31">
      <c r="AB1017" s="231" t="s">
        <v>1406</v>
      </c>
      <c r="AC1017" s="217" t="s">
        <v>333</v>
      </c>
      <c r="AD1017" s="217" t="s">
        <v>334</v>
      </c>
      <c r="AE1017" s="217" t="s">
        <v>334</v>
      </c>
    </row>
    <row r="1018" spans="28:31">
      <c r="AB1018" s="231" t="s">
        <v>1407</v>
      </c>
      <c r="AC1018" s="217" t="s">
        <v>333</v>
      </c>
      <c r="AD1018" s="217" t="s">
        <v>334</v>
      </c>
      <c r="AE1018" s="217" t="s">
        <v>334</v>
      </c>
    </row>
    <row r="1019" spans="28:31">
      <c r="AB1019" s="231" t="s">
        <v>1408</v>
      </c>
      <c r="AC1019" s="217" t="s">
        <v>333</v>
      </c>
      <c r="AD1019" s="217" t="s">
        <v>334</v>
      </c>
      <c r="AE1019" s="217" t="s">
        <v>334</v>
      </c>
    </row>
    <row r="1020" spans="28:31">
      <c r="AB1020" s="231" t="s">
        <v>1409</v>
      </c>
      <c r="AC1020" s="217" t="s">
        <v>333</v>
      </c>
      <c r="AD1020" s="217" t="s">
        <v>334</v>
      </c>
      <c r="AE1020" s="217" t="s">
        <v>334</v>
      </c>
    </row>
    <row r="1021" spans="28:31">
      <c r="AB1021" s="231" t="s">
        <v>1410</v>
      </c>
      <c r="AC1021" s="217" t="s">
        <v>333</v>
      </c>
      <c r="AD1021" s="217" t="s">
        <v>334</v>
      </c>
      <c r="AE1021" s="217" t="s">
        <v>334</v>
      </c>
    </row>
    <row r="1022" spans="28:31">
      <c r="AB1022" s="231" t="s">
        <v>1411</v>
      </c>
      <c r="AC1022" s="217" t="s">
        <v>333</v>
      </c>
      <c r="AD1022" s="217" t="s">
        <v>334</v>
      </c>
      <c r="AE1022" s="217" t="s">
        <v>334</v>
      </c>
    </row>
    <row r="1023" spans="28:31">
      <c r="AB1023" s="231" t="s">
        <v>1412</v>
      </c>
      <c r="AC1023" s="217" t="s">
        <v>333</v>
      </c>
      <c r="AD1023" s="217" t="s">
        <v>334</v>
      </c>
      <c r="AE1023" s="217" t="s">
        <v>334</v>
      </c>
    </row>
    <row r="1024" spans="28:31">
      <c r="AB1024" s="231" t="s">
        <v>1413</v>
      </c>
      <c r="AC1024" s="217" t="s">
        <v>333</v>
      </c>
      <c r="AD1024" s="217" t="s">
        <v>334</v>
      </c>
      <c r="AE1024" s="217" t="s">
        <v>334</v>
      </c>
    </row>
    <row r="1025" spans="28:31">
      <c r="AB1025" s="231" t="s">
        <v>1414</v>
      </c>
      <c r="AC1025" s="217" t="s">
        <v>333</v>
      </c>
      <c r="AD1025" s="217" t="s">
        <v>334</v>
      </c>
      <c r="AE1025" s="217" t="s">
        <v>334</v>
      </c>
    </row>
    <row r="1026" spans="28:31">
      <c r="AB1026" s="231" t="s">
        <v>1415</v>
      </c>
      <c r="AC1026" s="217" t="s">
        <v>333</v>
      </c>
      <c r="AD1026" s="217" t="s">
        <v>334</v>
      </c>
      <c r="AE1026" s="217" t="s">
        <v>334</v>
      </c>
    </row>
    <row r="1027" spans="28:31">
      <c r="AB1027" s="231" t="s">
        <v>1416</v>
      </c>
      <c r="AC1027" s="217" t="s">
        <v>333</v>
      </c>
      <c r="AD1027" s="217" t="s">
        <v>334</v>
      </c>
      <c r="AE1027" s="217" t="s">
        <v>334</v>
      </c>
    </row>
    <row r="1028" spans="28:31">
      <c r="AB1028" s="231" t="s">
        <v>1417</v>
      </c>
      <c r="AC1028" s="217" t="s">
        <v>333</v>
      </c>
      <c r="AD1028" s="217" t="s">
        <v>334</v>
      </c>
      <c r="AE1028" s="217" t="s">
        <v>334</v>
      </c>
    </row>
    <row r="1029" spans="28:31">
      <c r="AB1029" s="231" t="s">
        <v>1418</v>
      </c>
      <c r="AC1029" s="217" t="s">
        <v>333</v>
      </c>
      <c r="AD1029" s="217" t="s">
        <v>334</v>
      </c>
      <c r="AE1029" s="217" t="s">
        <v>334</v>
      </c>
    </row>
    <row r="1030" spans="28:31">
      <c r="AB1030" s="231" t="s">
        <v>1419</v>
      </c>
      <c r="AC1030" s="217" t="s">
        <v>333</v>
      </c>
      <c r="AD1030" s="217" t="s">
        <v>334</v>
      </c>
      <c r="AE1030" s="217" t="s">
        <v>334</v>
      </c>
    </row>
    <row r="1031" spans="28:31">
      <c r="AB1031" s="231" t="s">
        <v>1420</v>
      </c>
      <c r="AC1031" s="217" t="s">
        <v>333</v>
      </c>
      <c r="AD1031" s="217" t="s">
        <v>334</v>
      </c>
      <c r="AE1031" s="217" t="s">
        <v>334</v>
      </c>
    </row>
    <row r="1032" spans="28:31">
      <c r="AB1032" s="231" t="s">
        <v>1421</v>
      </c>
      <c r="AC1032" s="217" t="s">
        <v>333</v>
      </c>
      <c r="AD1032" s="217" t="s">
        <v>334</v>
      </c>
      <c r="AE1032" s="217" t="s">
        <v>334</v>
      </c>
    </row>
    <row r="1033" spans="28:31">
      <c r="AB1033" s="231" t="s">
        <v>1422</v>
      </c>
      <c r="AC1033" s="217" t="s">
        <v>333</v>
      </c>
      <c r="AD1033" s="217" t="s">
        <v>334</v>
      </c>
      <c r="AE1033" s="217" t="s">
        <v>334</v>
      </c>
    </row>
    <row r="1034" spans="28:31">
      <c r="AB1034" s="231" t="s">
        <v>1423</v>
      </c>
      <c r="AC1034" s="217" t="s">
        <v>333</v>
      </c>
      <c r="AD1034" s="217" t="s">
        <v>334</v>
      </c>
      <c r="AE1034" s="217" t="s">
        <v>334</v>
      </c>
    </row>
    <row r="1035" spans="28:31">
      <c r="AB1035" s="231" t="s">
        <v>1424</v>
      </c>
      <c r="AC1035" s="217" t="s">
        <v>333</v>
      </c>
      <c r="AD1035" s="217" t="s">
        <v>334</v>
      </c>
      <c r="AE1035" s="217" t="s">
        <v>334</v>
      </c>
    </row>
    <row r="1036" spans="28:31">
      <c r="AB1036" s="231" t="s">
        <v>1425</v>
      </c>
      <c r="AC1036" s="217" t="s">
        <v>333</v>
      </c>
      <c r="AD1036" s="217" t="s">
        <v>334</v>
      </c>
      <c r="AE1036" s="217" t="s">
        <v>334</v>
      </c>
    </row>
    <row r="1037" spans="28:31">
      <c r="AB1037" s="231" t="s">
        <v>1426</v>
      </c>
      <c r="AC1037" s="217" t="s">
        <v>333</v>
      </c>
      <c r="AD1037" s="217" t="s">
        <v>334</v>
      </c>
      <c r="AE1037" s="217" t="s">
        <v>334</v>
      </c>
    </row>
    <row r="1038" spans="28:31">
      <c r="AB1038" s="231" t="s">
        <v>1427</v>
      </c>
      <c r="AC1038" s="217" t="s">
        <v>333</v>
      </c>
      <c r="AD1038" s="217" t="s">
        <v>334</v>
      </c>
      <c r="AE1038" s="217" t="s">
        <v>334</v>
      </c>
    </row>
    <row r="1039" spans="28:31">
      <c r="AB1039" s="231" t="s">
        <v>1428</v>
      </c>
      <c r="AC1039" s="217" t="s">
        <v>333</v>
      </c>
      <c r="AD1039" s="217" t="s">
        <v>334</v>
      </c>
      <c r="AE1039" s="217" t="s">
        <v>334</v>
      </c>
    </row>
    <row r="1040" spans="28:31">
      <c r="AB1040" s="231" t="s">
        <v>1429</v>
      </c>
      <c r="AC1040" s="217" t="s">
        <v>333</v>
      </c>
      <c r="AD1040" s="217" t="s">
        <v>334</v>
      </c>
      <c r="AE1040" s="217" t="s">
        <v>334</v>
      </c>
    </row>
    <row r="1041" spans="28:31">
      <c r="AB1041" s="231" t="s">
        <v>1430</v>
      </c>
      <c r="AC1041" s="217" t="s">
        <v>333</v>
      </c>
      <c r="AD1041" s="217" t="s">
        <v>334</v>
      </c>
      <c r="AE1041" s="217" t="s">
        <v>334</v>
      </c>
    </row>
    <row r="1042" spans="28:31">
      <c r="AB1042" s="231" t="s">
        <v>1431</v>
      </c>
      <c r="AC1042" s="217" t="s">
        <v>333</v>
      </c>
      <c r="AD1042" s="217" t="s">
        <v>334</v>
      </c>
      <c r="AE1042" s="217" t="s">
        <v>334</v>
      </c>
    </row>
    <row r="1043" spans="28:31">
      <c r="AB1043" s="231" t="s">
        <v>1432</v>
      </c>
      <c r="AC1043" s="217" t="s">
        <v>333</v>
      </c>
      <c r="AD1043" s="217" t="s">
        <v>334</v>
      </c>
      <c r="AE1043" s="217" t="s">
        <v>334</v>
      </c>
    </row>
    <row r="1044" spans="28:31">
      <c r="AB1044" s="231" t="s">
        <v>1433</v>
      </c>
      <c r="AC1044" s="217" t="s">
        <v>333</v>
      </c>
      <c r="AD1044" s="217" t="s">
        <v>334</v>
      </c>
      <c r="AE1044" s="217" t="s">
        <v>334</v>
      </c>
    </row>
    <row r="1045" spans="28:31">
      <c r="AB1045" s="231" t="s">
        <v>1434</v>
      </c>
      <c r="AC1045" s="217" t="s">
        <v>333</v>
      </c>
      <c r="AD1045" s="217" t="s">
        <v>334</v>
      </c>
      <c r="AE1045" s="217" t="s">
        <v>334</v>
      </c>
    </row>
    <row r="1046" spans="28:31">
      <c r="AB1046" s="231" t="s">
        <v>1435</v>
      </c>
      <c r="AC1046" s="217" t="s">
        <v>333</v>
      </c>
      <c r="AD1046" s="217" t="s">
        <v>334</v>
      </c>
      <c r="AE1046" s="217" t="s">
        <v>334</v>
      </c>
    </row>
    <row r="1047" spans="28:31">
      <c r="AB1047" s="231" t="s">
        <v>1436</v>
      </c>
      <c r="AC1047" s="217" t="s">
        <v>333</v>
      </c>
      <c r="AD1047" s="217" t="s">
        <v>334</v>
      </c>
      <c r="AE1047" s="217" t="s">
        <v>334</v>
      </c>
    </row>
    <row r="1048" spans="28:31">
      <c r="AB1048" s="231" t="s">
        <v>1437</v>
      </c>
      <c r="AC1048" s="217" t="s">
        <v>333</v>
      </c>
      <c r="AD1048" s="217" t="s">
        <v>334</v>
      </c>
      <c r="AE1048" s="217" t="s">
        <v>334</v>
      </c>
    </row>
    <row r="1049" spans="28:31">
      <c r="AB1049" s="231" t="s">
        <v>1438</v>
      </c>
      <c r="AC1049" s="217" t="s">
        <v>333</v>
      </c>
      <c r="AD1049" s="217" t="s">
        <v>334</v>
      </c>
      <c r="AE1049" s="217" t="s">
        <v>334</v>
      </c>
    </row>
    <row r="1050" spans="28:31">
      <c r="AB1050" s="231" t="s">
        <v>1439</v>
      </c>
      <c r="AC1050" s="217" t="s">
        <v>333</v>
      </c>
      <c r="AD1050" s="217" t="s">
        <v>334</v>
      </c>
      <c r="AE1050" s="217" t="s">
        <v>334</v>
      </c>
    </row>
    <row r="1051" spans="28:31">
      <c r="AB1051" s="231" t="s">
        <v>1440</v>
      </c>
      <c r="AC1051" s="217" t="s">
        <v>333</v>
      </c>
      <c r="AD1051" s="217" t="s">
        <v>334</v>
      </c>
      <c r="AE1051" s="217" t="s">
        <v>334</v>
      </c>
    </row>
    <row r="1052" spans="28:31">
      <c r="AB1052" s="231" t="s">
        <v>1441</v>
      </c>
      <c r="AC1052" s="217" t="s">
        <v>333</v>
      </c>
      <c r="AD1052" s="217" t="s">
        <v>334</v>
      </c>
      <c r="AE1052" s="217" t="s">
        <v>334</v>
      </c>
    </row>
    <row r="1053" spans="28:31">
      <c r="AB1053" s="231" t="s">
        <v>1442</v>
      </c>
      <c r="AC1053" s="217" t="s">
        <v>333</v>
      </c>
      <c r="AD1053" s="217" t="s">
        <v>334</v>
      </c>
      <c r="AE1053" s="217" t="s">
        <v>334</v>
      </c>
    </row>
    <row r="1054" spans="28:31">
      <c r="AB1054" s="231" t="s">
        <v>1443</v>
      </c>
      <c r="AC1054" s="217" t="s">
        <v>333</v>
      </c>
      <c r="AD1054" s="217" t="s">
        <v>334</v>
      </c>
      <c r="AE1054" s="217" t="s">
        <v>334</v>
      </c>
    </row>
    <row r="1055" spans="28:31">
      <c r="AB1055" s="231" t="s">
        <v>1444</v>
      </c>
      <c r="AC1055" s="217" t="s">
        <v>333</v>
      </c>
      <c r="AD1055" s="217" t="s">
        <v>334</v>
      </c>
      <c r="AE1055" s="217" t="s">
        <v>334</v>
      </c>
    </row>
    <row r="1056" spans="28:31">
      <c r="AB1056" s="231" t="s">
        <v>1445</v>
      </c>
      <c r="AC1056" s="217" t="s">
        <v>333</v>
      </c>
      <c r="AD1056" s="217" t="s">
        <v>334</v>
      </c>
      <c r="AE1056" s="217" t="s">
        <v>334</v>
      </c>
    </row>
    <row r="1057" spans="28:31">
      <c r="AB1057" s="231" t="s">
        <v>1446</v>
      </c>
      <c r="AC1057" s="217" t="s">
        <v>333</v>
      </c>
      <c r="AD1057" s="217" t="s">
        <v>334</v>
      </c>
      <c r="AE1057" s="217" t="s">
        <v>334</v>
      </c>
    </row>
    <row r="1058" spans="28:31">
      <c r="AB1058" s="231" t="s">
        <v>1447</v>
      </c>
      <c r="AC1058" s="217" t="s">
        <v>333</v>
      </c>
      <c r="AD1058" s="217" t="s">
        <v>334</v>
      </c>
      <c r="AE1058" s="217" t="s">
        <v>334</v>
      </c>
    </row>
    <row r="1059" spans="28:31">
      <c r="AB1059" s="231" t="s">
        <v>1448</v>
      </c>
      <c r="AC1059" s="217" t="s">
        <v>333</v>
      </c>
      <c r="AD1059" s="217" t="s">
        <v>334</v>
      </c>
      <c r="AE1059" s="217" t="s">
        <v>334</v>
      </c>
    </row>
    <row r="1060" spans="28:31">
      <c r="AB1060" s="231" t="s">
        <v>1449</v>
      </c>
      <c r="AC1060" s="217" t="s">
        <v>333</v>
      </c>
      <c r="AD1060" s="217" t="s">
        <v>334</v>
      </c>
      <c r="AE1060" s="217" t="s">
        <v>334</v>
      </c>
    </row>
    <row r="1061" spans="28:31">
      <c r="AB1061" s="231" t="s">
        <v>1450</v>
      </c>
      <c r="AC1061" s="217" t="s">
        <v>333</v>
      </c>
      <c r="AD1061" s="217" t="s">
        <v>334</v>
      </c>
      <c r="AE1061" s="217" t="s">
        <v>334</v>
      </c>
    </row>
    <row r="1062" spans="28:31">
      <c r="AB1062" s="231" t="s">
        <v>1451</v>
      </c>
      <c r="AC1062" s="217" t="s">
        <v>333</v>
      </c>
      <c r="AD1062" s="217" t="s">
        <v>334</v>
      </c>
      <c r="AE1062" s="217" t="s">
        <v>334</v>
      </c>
    </row>
    <row r="1063" spans="28:31">
      <c r="AB1063" s="231" t="s">
        <v>1452</v>
      </c>
      <c r="AC1063" s="217" t="s">
        <v>333</v>
      </c>
      <c r="AD1063" s="217" t="s">
        <v>334</v>
      </c>
      <c r="AE1063" s="217" t="s">
        <v>334</v>
      </c>
    </row>
    <row r="1064" spans="28:31">
      <c r="AB1064" s="231" t="s">
        <v>1453</v>
      </c>
      <c r="AC1064" s="217" t="s">
        <v>333</v>
      </c>
      <c r="AD1064" s="217" t="s">
        <v>334</v>
      </c>
      <c r="AE1064" s="217" t="s">
        <v>334</v>
      </c>
    </row>
    <row r="1065" spans="28:31">
      <c r="AB1065" s="231" t="s">
        <v>1454</v>
      </c>
      <c r="AC1065" s="217" t="s">
        <v>333</v>
      </c>
      <c r="AD1065" s="217" t="s">
        <v>334</v>
      </c>
      <c r="AE1065" s="217" t="s">
        <v>334</v>
      </c>
    </row>
    <row r="1066" spans="28:31">
      <c r="AB1066" s="231" t="s">
        <v>1455</v>
      </c>
      <c r="AC1066" s="217" t="s">
        <v>333</v>
      </c>
      <c r="AD1066" s="217" t="s">
        <v>334</v>
      </c>
      <c r="AE1066" s="217" t="s">
        <v>334</v>
      </c>
    </row>
    <row r="1067" spans="28:31">
      <c r="AB1067" s="231" t="s">
        <v>1456</v>
      </c>
      <c r="AC1067" s="217" t="s">
        <v>333</v>
      </c>
      <c r="AD1067" s="217" t="s">
        <v>334</v>
      </c>
      <c r="AE1067" s="217" t="s">
        <v>334</v>
      </c>
    </row>
    <row r="1068" spans="28:31">
      <c r="AB1068" s="231" t="s">
        <v>1457</v>
      </c>
      <c r="AC1068" s="217" t="s">
        <v>333</v>
      </c>
      <c r="AD1068" s="217" t="s">
        <v>334</v>
      </c>
      <c r="AE1068" s="217" t="s">
        <v>334</v>
      </c>
    </row>
    <row r="1069" spans="28:31">
      <c r="AB1069" s="231" t="s">
        <v>1458</v>
      </c>
      <c r="AC1069" s="217" t="s">
        <v>333</v>
      </c>
      <c r="AD1069" s="217" t="s">
        <v>334</v>
      </c>
      <c r="AE1069" s="217" t="s">
        <v>334</v>
      </c>
    </row>
    <row r="1070" spans="28:31">
      <c r="AB1070" s="231" t="s">
        <v>1459</v>
      </c>
      <c r="AC1070" s="217" t="s">
        <v>333</v>
      </c>
      <c r="AD1070" s="217" t="s">
        <v>334</v>
      </c>
      <c r="AE1070" s="217" t="s">
        <v>334</v>
      </c>
    </row>
    <row r="1071" spans="28:31">
      <c r="AB1071" s="231" t="s">
        <v>1460</v>
      </c>
      <c r="AC1071" s="217" t="s">
        <v>333</v>
      </c>
      <c r="AD1071" s="217" t="s">
        <v>334</v>
      </c>
      <c r="AE1071" s="217" t="s">
        <v>334</v>
      </c>
    </row>
    <row r="1072" spans="28:31">
      <c r="AB1072" s="231" t="s">
        <v>1461</v>
      </c>
      <c r="AC1072" s="217" t="s">
        <v>333</v>
      </c>
      <c r="AD1072" s="217" t="s">
        <v>334</v>
      </c>
      <c r="AE1072" s="217" t="s">
        <v>334</v>
      </c>
    </row>
    <row r="1073" spans="28:31">
      <c r="AB1073" s="231" t="s">
        <v>1462</v>
      </c>
      <c r="AC1073" s="217" t="s">
        <v>333</v>
      </c>
      <c r="AD1073" s="217" t="s">
        <v>334</v>
      </c>
      <c r="AE1073" s="217" t="s">
        <v>334</v>
      </c>
    </row>
    <row r="1074" spans="28:31">
      <c r="AB1074" s="231" t="s">
        <v>1463</v>
      </c>
      <c r="AC1074" s="217" t="s">
        <v>333</v>
      </c>
      <c r="AD1074" s="217" t="s">
        <v>334</v>
      </c>
      <c r="AE1074" s="217" t="s">
        <v>334</v>
      </c>
    </row>
    <row r="1075" spans="28:31">
      <c r="AB1075" s="231" t="s">
        <v>1464</v>
      </c>
      <c r="AC1075" s="217" t="s">
        <v>333</v>
      </c>
      <c r="AD1075" s="217" t="s">
        <v>334</v>
      </c>
      <c r="AE1075" s="217" t="s">
        <v>334</v>
      </c>
    </row>
    <row r="1076" spans="28:31">
      <c r="AB1076" s="231" t="s">
        <v>1465</v>
      </c>
      <c r="AC1076" s="217" t="s">
        <v>333</v>
      </c>
      <c r="AD1076" s="217" t="s">
        <v>334</v>
      </c>
      <c r="AE1076" s="217" t="s">
        <v>334</v>
      </c>
    </row>
    <row r="1077" spans="28:31">
      <c r="AB1077" s="231" t="s">
        <v>1466</v>
      </c>
      <c r="AC1077" s="217" t="s">
        <v>333</v>
      </c>
      <c r="AD1077" s="217" t="s">
        <v>334</v>
      </c>
      <c r="AE1077" s="217" t="s">
        <v>334</v>
      </c>
    </row>
    <row r="1078" spans="28:31">
      <c r="AB1078" s="231" t="s">
        <v>1467</v>
      </c>
      <c r="AC1078" s="217" t="s">
        <v>333</v>
      </c>
      <c r="AD1078" s="217" t="s">
        <v>334</v>
      </c>
      <c r="AE1078" s="217" t="s">
        <v>334</v>
      </c>
    </row>
    <row r="1079" spans="28:31">
      <c r="AB1079" s="231" t="s">
        <v>1468</v>
      </c>
      <c r="AC1079" s="217" t="s">
        <v>333</v>
      </c>
      <c r="AD1079" s="217" t="s">
        <v>334</v>
      </c>
      <c r="AE1079" s="217" t="s">
        <v>334</v>
      </c>
    </row>
    <row r="1080" spans="28:31">
      <c r="AB1080" s="231" t="s">
        <v>1469</v>
      </c>
      <c r="AC1080" s="217" t="s">
        <v>333</v>
      </c>
      <c r="AD1080" s="217" t="s">
        <v>334</v>
      </c>
      <c r="AE1080" s="217" t="s">
        <v>334</v>
      </c>
    </row>
    <row r="1081" spans="28:31">
      <c r="AB1081" s="231" t="s">
        <v>1470</v>
      </c>
      <c r="AC1081" s="217" t="s">
        <v>333</v>
      </c>
      <c r="AD1081" s="217" t="s">
        <v>334</v>
      </c>
      <c r="AE1081" s="217" t="s">
        <v>334</v>
      </c>
    </row>
    <row r="1082" spans="28:31">
      <c r="AB1082" s="231" t="s">
        <v>1471</v>
      </c>
      <c r="AC1082" s="217" t="s">
        <v>333</v>
      </c>
      <c r="AD1082" s="217" t="s">
        <v>334</v>
      </c>
      <c r="AE1082" s="217" t="s">
        <v>334</v>
      </c>
    </row>
    <row r="1083" spans="28:31">
      <c r="AB1083" s="231" t="s">
        <v>1472</v>
      </c>
      <c r="AC1083" s="217" t="s">
        <v>333</v>
      </c>
      <c r="AD1083" s="217" t="s">
        <v>334</v>
      </c>
      <c r="AE1083" s="217" t="s">
        <v>334</v>
      </c>
    </row>
    <row r="1084" spans="28:31">
      <c r="AB1084" s="231" t="s">
        <v>1473</v>
      </c>
      <c r="AC1084" s="217" t="s">
        <v>333</v>
      </c>
      <c r="AD1084" s="217" t="s">
        <v>334</v>
      </c>
      <c r="AE1084" s="217" t="s">
        <v>334</v>
      </c>
    </row>
    <row r="1085" spans="28:31">
      <c r="AB1085" s="231" t="s">
        <v>1474</v>
      </c>
      <c r="AC1085" s="217" t="s">
        <v>333</v>
      </c>
      <c r="AD1085" s="217" t="s">
        <v>334</v>
      </c>
      <c r="AE1085" s="217" t="s">
        <v>334</v>
      </c>
    </row>
    <row r="1086" spans="28:31">
      <c r="AB1086" s="231" t="s">
        <v>1475</v>
      </c>
      <c r="AC1086" s="217" t="s">
        <v>333</v>
      </c>
      <c r="AD1086" s="217" t="s">
        <v>334</v>
      </c>
      <c r="AE1086" s="217" t="s">
        <v>334</v>
      </c>
    </row>
    <row r="1087" spans="28:31">
      <c r="AB1087" s="231" t="s">
        <v>1476</v>
      </c>
      <c r="AC1087" s="217" t="s">
        <v>333</v>
      </c>
      <c r="AD1087" s="217" t="s">
        <v>334</v>
      </c>
      <c r="AE1087" s="217" t="s">
        <v>334</v>
      </c>
    </row>
    <row r="1088" spans="28:31">
      <c r="AB1088" s="231" t="s">
        <v>1477</v>
      </c>
      <c r="AC1088" s="217" t="s">
        <v>333</v>
      </c>
      <c r="AD1088" s="217" t="s">
        <v>334</v>
      </c>
      <c r="AE1088" s="217" t="s">
        <v>334</v>
      </c>
    </row>
    <row r="1089" spans="28:31">
      <c r="AB1089" s="231" t="s">
        <v>1478</v>
      </c>
      <c r="AC1089" s="217" t="s">
        <v>333</v>
      </c>
      <c r="AD1089" s="217" t="s">
        <v>334</v>
      </c>
      <c r="AE1089" s="217" t="s">
        <v>334</v>
      </c>
    </row>
    <row r="1090" spans="28:31">
      <c r="AB1090" s="231" t="s">
        <v>1479</v>
      </c>
      <c r="AC1090" s="217" t="s">
        <v>333</v>
      </c>
      <c r="AD1090" s="217" t="s">
        <v>334</v>
      </c>
      <c r="AE1090" s="217" t="s">
        <v>334</v>
      </c>
    </row>
    <row r="1091" spans="28:31">
      <c r="AB1091" s="231" t="s">
        <v>1480</v>
      </c>
      <c r="AC1091" s="217" t="s">
        <v>333</v>
      </c>
      <c r="AD1091" s="217" t="s">
        <v>334</v>
      </c>
      <c r="AE1091" s="217" t="s">
        <v>334</v>
      </c>
    </row>
    <row r="1092" spans="28:31">
      <c r="AB1092" s="231" t="s">
        <v>1481</v>
      </c>
      <c r="AC1092" s="217" t="s">
        <v>333</v>
      </c>
      <c r="AD1092" s="217" t="s">
        <v>334</v>
      </c>
      <c r="AE1092" s="217" t="s">
        <v>334</v>
      </c>
    </row>
    <row r="1093" spans="28:31">
      <c r="AB1093" s="231" t="s">
        <v>1482</v>
      </c>
      <c r="AC1093" s="217" t="s">
        <v>333</v>
      </c>
      <c r="AD1093" s="217" t="s">
        <v>334</v>
      </c>
      <c r="AE1093" s="217" t="s">
        <v>334</v>
      </c>
    </row>
    <row r="1094" spans="28:31">
      <c r="AB1094" s="231" t="s">
        <v>1483</v>
      </c>
      <c r="AC1094" s="217" t="s">
        <v>333</v>
      </c>
      <c r="AD1094" s="217" t="s">
        <v>334</v>
      </c>
      <c r="AE1094" s="217" t="s">
        <v>334</v>
      </c>
    </row>
    <row r="1095" spans="28:31">
      <c r="AB1095" s="231" t="s">
        <v>1484</v>
      </c>
      <c r="AC1095" s="217" t="s">
        <v>333</v>
      </c>
      <c r="AD1095" s="217" t="s">
        <v>334</v>
      </c>
      <c r="AE1095" s="217" t="s">
        <v>334</v>
      </c>
    </row>
    <row r="1096" spans="28:31">
      <c r="AB1096" s="231" t="s">
        <v>1485</v>
      </c>
      <c r="AC1096" s="217" t="s">
        <v>333</v>
      </c>
      <c r="AD1096" s="217" t="s">
        <v>334</v>
      </c>
      <c r="AE1096" s="217" t="s">
        <v>334</v>
      </c>
    </row>
    <row r="1097" spans="28:31">
      <c r="AB1097" s="231" t="s">
        <v>1486</v>
      </c>
      <c r="AC1097" s="217" t="s">
        <v>333</v>
      </c>
      <c r="AD1097" s="217" t="s">
        <v>334</v>
      </c>
      <c r="AE1097" s="217" t="s">
        <v>334</v>
      </c>
    </row>
    <row r="1098" spans="28:31">
      <c r="AB1098" s="231" t="s">
        <v>1487</v>
      </c>
      <c r="AC1098" s="217" t="s">
        <v>333</v>
      </c>
      <c r="AD1098" s="217" t="s">
        <v>334</v>
      </c>
      <c r="AE1098" s="217" t="s">
        <v>334</v>
      </c>
    </row>
    <row r="1099" spans="28:31">
      <c r="AB1099" s="231" t="s">
        <v>1488</v>
      </c>
      <c r="AC1099" s="217" t="s">
        <v>333</v>
      </c>
      <c r="AD1099" s="217" t="s">
        <v>334</v>
      </c>
      <c r="AE1099" s="217" t="s">
        <v>334</v>
      </c>
    </row>
    <row r="1100" spans="28:31">
      <c r="AB1100" s="231" t="s">
        <v>1489</v>
      </c>
      <c r="AC1100" s="217" t="s">
        <v>333</v>
      </c>
      <c r="AD1100" s="217" t="s">
        <v>334</v>
      </c>
      <c r="AE1100" s="217" t="s">
        <v>334</v>
      </c>
    </row>
    <row r="1101" spans="28:31">
      <c r="AB1101" s="231" t="s">
        <v>1490</v>
      </c>
      <c r="AC1101" s="217" t="s">
        <v>333</v>
      </c>
      <c r="AD1101" s="217" t="s">
        <v>334</v>
      </c>
      <c r="AE1101" s="217" t="s">
        <v>334</v>
      </c>
    </row>
    <row r="1102" spans="28:31">
      <c r="AB1102" s="231" t="s">
        <v>1491</v>
      </c>
      <c r="AC1102" s="217" t="s">
        <v>333</v>
      </c>
      <c r="AD1102" s="217" t="s">
        <v>334</v>
      </c>
      <c r="AE1102" s="217" t="s">
        <v>334</v>
      </c>
    </row>
    <row r="1103" spans="28:31">
      <c r="AB1103" s="231" t="s">
        <v>1492</v>
      </c>
      <c r="AC1103" s="217" t="s">
        <v>333</v>
      </c>
      <c r="AD1103" s="217" t="s">
        <v>334</v>
      </c>
      <c r="AE1103" s="217" t="s">
        <v>334</v>
      </c>
    </row>
    <row r="1104" spans="28:31">
      <c r="AB1104" s="231" t="s">
        <v>1493</v>
      </c>
      <c r="AC1104" s="217" t="s">
        <v>333</v>
      </c>
      <c r="AD1104" s="217" t="s">
        <v>334</v>
      </c>
      <c r="AE1104" s="217" t="s">
        <v>334</v>
      </c>
    </row>
    <row r="1105" spans="28:31">
      <c r="AB1105" s="231" t="s">
        <v>1494</v>
      </c>
      <c r="AC1105" s="217" t="s">
        <v>333</v>
      </c>
      <c r="AD1105" s="217" t="s">
        <v>334</v>
      </c>
      <c r="AE1105" s="217" t="s">
        <v>334</v>
      </c>
    </row>
    <row r="1106" spans="28:31">
      <c r="AB1106" s="231" t="s">
        <v>1495</v>
      </c>
      <c r="AC1106" s="217" t="s">
        <v>333</v>
      </c>
      <c r="AD1106" s="217" t="s">
        <v>334</v>
      </c>
      <c r="AE1106" s="217" t="s">
        <v>334</v>
      </c>
    </row>
    <row r="1107" spans="28:31">
      <c r="AB1107" s="231" t="s">
        <v>1496</v>
      </c>
      <c r="AC1107" s="217" t="s">
        <v>333</v>
      </c>
      <c r="AD1107" s="217" t="s">
        <v>334</v>
      </c>
      <c r="AE1107" s="217" t="s">
        <v>334</v>
      </c>
    </row>
    <row r="1108" spans="28:31">
      <c r="AB1108" s="231" t="s">
        <v>1497</v>
      </c>
      <c r="AC1108" s="217" t="s">
        <v>333</v>
      </c>
      <c r="AD1108" s="217" t="s">
        <v>334</v>
      </c>
      <c r="AE1108" s="217" t="s">
        <v>334</v>
      </c>
    </row>
    <row r="1109" spans="28:31">
      <c r="AB1109" s="231" t="s">
        <v>1498</v>
      </c>
      <c r="AC1109" s="217" t="s">
        <v>333</v>
      </c>
      <c r="AD1109" s="217" t="s">
        <v>334</v>
      </c>
      <c r="AE1109" s="217" t="s">
        <v>334</v>
      </c>
    </row>
    <row r="1110" spans="28:31">
      <c r="AB1110" s="231" t="s">
        <v>1499</v>
      </c>
      <c r="AC1110" s="217" t="s">
        <v>333</v>
      </c>
      <c r="AD1110" s="217" t="s">
        <v>334</v>
      </c>
      <c r="AE1110" s="217" t="s">
        <v>334</v>
      </c>
    </row>
    <row r="1111" spans="28:31">
      <c r="AB1111" s="231" t="s">
        <v>1500</v>
      </c>
      <c r="AC1111" s="217" t="s">
        <v>333</v>
      </c>
      <c r="AD1111" s="217" t="s">
        <v>334</v>
      </c>
      <c r="AE1111" s="217" t="s">
        <v>334</v>
      </c>
    </row>
    <row r="1112" spans="28:31">
      <c r="AB1112" s="231" t="s">
        <v>1501</v>
      </c>
      <c r="AC1112" s="217" t="s">
        <v>333</v>
      </c>
      <c r="AD1112" s="217" t="s">
        <v>334</v>
      </c>
      <c r="AE1112" s="217" t="s">
        <v>334</v>
      </c>
    </row>
    <row r="1113" spans="28:31">
      <c r="AB1113" s="231" t="s">
        <v>1502</v>
      </c>
      <c r="AC1113" s="217" t="s">
        <v>333</v>
      </c>
      <c r="AD1113" s="217" t="s">
        <v>334</v>
      </c>
      <c r="AE1113" s="217" t="s">
        <v>334</v>
      </c>
    </row>
    <row r="1114" spans="28:31">
      <c r="AB1114" s="231" t="s">
        <v>1503</v>
      </c>
      <c r="AC1114" s="217" t="s">
        <v>333</v>
      </c>
      <c r="AD1114" s="217" t="s">
        <v>334</v>
      </c>
      <c r="AE1114" s="217" t="s">
        <v>334</v>
      </c>
    </row>
    <row r="1115" spans="28:31">
      <c r="AB1115" s="231" t="s">
        <v>1504</v>
      </c>
      <c r="AC1115" s="217" t="s">
        <v>333</v>
      </c>
      <c r="AD1115" s="217" t="s">
        <v>334</v>
      </c>
      <c r="AE1115" s="217" t="s">
        <v>334</v>
      </c>
    </row>
    <row r="1116" spans="28:31">
      <c r="AB1116" s="231" t="s">
        <v>1505</v>
      </c>
      <c r="AC1116" s="217" t="s">
        <v>333</v>
      </c>
      <c r="AD1116" s="217" t="s">
        <v>334</v>
      </c>
      <c r="AE1116" s="217" t="s">
        <v>334</v>
      </c>
    </row>
    <row r="1117" spans="28:31">
      <c r="AB1117" s="231" t="s">
        <v>1506</v>
      </c>
      <c r="AC1117" s="217" t="s">
        <v>333</v>
      </c>
      <c r="AD1117" s="217" t="s">
        <v>334</v>
      </c>
      <c r="AE1117" s="217" t="s">
        <v>334</v>
      </c>
    </row>
    <row r="1118" spans="28:31">
      <c r="AB1118" s="231" t="s">
        <v>1507</v>
      </c>
      <c r="AC1118" s="217" t="s">
        <v>333</v>
      </c>
      <c r="AD1118" s="217" t="s">
        <v>334</v>
      </c>
      <c r="AE1118" s="217" t="s">
        <v>334</v>
      </c>
    </row>
    <row r="1119" spans="28:31">
      <c r="AB1119" s="231" t="s">
        <v>1508</v>
      </c>
      <c r="AC1119" s="217" t="s">
        <v>333</v>
      </c>
      <c r="AD1119" s="217" t="s">
        <v>334</v>
      </c>
      <c r="AE1119" s="217" t="s">
        <v>334</v>
      </c>
    </row>
    <row r="1120" spans="28:31">
      <c r="AB1120" s="231" t="s">
        <v>1509</v>
      </c>
      <c r="AC1120" s="217" t="s">
        <v>333</v>
      </c>
      <c r="AD1120" s="217" t="s">
        <v>334</v>
      </c>
      <c r="AE1120" s="217" t="s">
        <v>334</v>
      </c>
    </row>
    <row r="1121" spans="28:31">
      <c r="AB1121" s="231" t="s">
        <v>1510</v>
      </c>
      <c r="AC1121" s="217" t="s">
        <v>333</v>
      </c>
      <c r="AD1121" s="217" t="s">
        <v>334</v>
      </c>
      <c r="AE1121" s="217" t="s">
        <v>334</v>
      </c>
    </row>
    <row r="1122" spans="28:31">
      <c r="AB1122" s="231" t="s">
        <v>1511</v>
      </c>
      <c r="AC1122" s="217" t="s">
        <v>333</v>
      </c>
      <c r="AD1122" s="217" t="s">
        <v>334</v>
      </c>
      <c r="AE1122" s="217" t="s">
        <v>334</v>
      </c>
    </row>
    <row r="1123" spans="28:31">
      <c r="AB1123" s="231" t="s">
        <v>1512</v>
      </c>
      <c r="AC1123" s="217" t="s">
        <v>333</v>
      </c>
      <c r="AD1123" s="217" t="s">
        <v>334</v>
      </c>
      <c r="AE1123" s="217" t="s">
        <v>334</v>
      </c>
    </row>
    <row r="1124" spans="28:31">
      <c r="AB1124" s="231" t="s">
        <v>1513</v>
      </c>
      <c r="AC1124" s="217" t="s">
        <v>333</v>
      </c>
      <c r="AD1124" s="217" t="s">
        <v>334</v>
      </c>
      <c r="AE1124" s="217" t="s">
        <v>334</v>
      </c>
    </row>
    <row r="1125" spans="28:31">
      <c r="AB1125" s="231" t="s">
        <v>1514</v>
      </c>
      <c r="AC1125" s="217" t="s">
        <v>333</v>
      </c>
      <c r="AD1125" s="217" t="s">
        <v>334</v>
      </c>
      <c r="AE1125" s="217" t="s">
        <v>334</v>
      </c>
    </row>
    <row r="1126" spans="28:31">
      <c r="AB1126" s="231" t="s">
        <v>1515</v>
      </c>
      <c r="AC1126" s="217" t="s">
        <v>333</v>
      </c>
      <c r="AD1126" s="217" t="s">
        <v>334</v>
      </c>
      <c r="AE1126" s="217" t="s">
        <v>334</v>
      </c>
    </row>
    <row r="1127" spans="28:31">
      <c r="AB1127" s="231" t="s">
        <v>1516</v>
      </c>
      <c r="AC1127" s="217" t="s">
        <v>333</v>
      </c>
      <c r="AD1127" s="217" t="s">
        <v>334</v>
      </c>
      <c r="AE1127" s="217" t="s">
        <v>334</v>
      </c>
    </row>
    <row r="1128" spans="28:31">
      <c r="AB1128" s="231" t="s">
        <v>1517</v>
      </c>
      <c r="AC1128" s="217" t="s">
        <v>333</v>
      </c>
      <c r="AD1128" s="217" t="s">
        <v>334</v>
      </c>
      <c r="AE1128" s="217" t="s">
        <v>334</v>
      </c>
    </row>
    <row r="1129" spans="28:31">
      <c r="AB1129" s="231" t="s">
        <v>1518</v>
      </c>
      <c r="AC1129" s="217" t="s">
        <v>333</v>
      </c>
      <c r="AD1129" s="217" t="s">
        <v>334</v>
      </c>
      <c r="AE1129" s="217" t="s">
        <v>334</v>
      </c>
    </row>
    <row r="1130" spans="28:31">
      <c r="AB1130" s="231" t="s">
        <v>1519</v>
      </c>
      <c r="AC1130" s="217" t="s">
        <v>333</v>
      </c>
      <c r="AD1130" s="217" t="s">
        <v>334</v>
      </c>
      <c r="AE1130" s="217" t="s">
        <v>334</v>
      </c>
    </row>
    <row r="1131" spans="28:31">
      <c r="AB1131" s="231" t="s">
        <v>1520</v>
      </c>
      <c r="AC1131" s="217" t="s">
        <v>333</v>
      </c>
      <c r="AD1131" s="217" t="s">
        <v>334</v>
      </c>
      <c r="AE1131" s="217" t="s">
        <v>334</v>
      </c>
    </row>
    <row r="1132" spans="28:31">
      <c r="AB1132" s="231" t="s">
        <v>1521</v>
      </c>
      <c r="AC1132" s="217" t="s">
        <v>333</v>
      </c>
      <c r="AD1132" s="217" t="s">
        <v>334</v>
      </c>
      <c r="AE1132" s="217" t="s">
        <v>334</v>
      </c>
    </row>
    <row r="1133" spans="28:31">
      <c r="AB1133" s="231" t="s">
        <v>1522</v>
      </c>
      <c r="AC1133" s="217" t="s">
        <v>333</v>
      </c>
      <c r="AD1133" s="217" t="s">
        <v>334</v>
      </c>
      <c r="AE1133" s="217" t="s">
        <v>334</v>
      </c>
    </row>
    <row r="1134" spans="28:31">
      <c r="AB1134" s="231" t="s">
        <v>1523</v>
      </c>
      <c r="AC1134" s="217" t="s">
        <v>333</v>
      </c>
      <c r="AD1134" s="217" t="s">
        <v>334</v>
      </c>
      <c r="AE1134" s="217" t="s">
        <v>334</v>
      </c>
    </row>
    <row r="1135" spans="28:31">
      <c r="AB1135" s="231" t="s">
        <v>1524</v>
      </c>
      <c r="AC1135" s="217" t="s">
        <v>333</v>
      </c>
      <c r="AD1135" s="217" t="s">
        <v>334</v>
      </c>
      <c r="AE1135" s="217" t="s">
        <v>334</v>
      </c>
    </row>
    <row r="1136" spans="28:31">
      <c r="AB1136" s="231" t="s">
        <v>1525</v>
      </c>
      <c r="AC1136" s="217" t="s">
        <v>333</v>
      </c>
      <c r="AD1136" s="217" t="s">
        <v>334</v>
      </c>
      <c r="AE1136" s="217" t="s">
        <v>334</v>
      </c>
    </row>
    <row r="1137" spans="28:31">
      <c r="AB1137" s="231" t="s">
        <v>1526</v>
      </c>
      <c r="AC1137" s="217" t="s">
        <v>333</v>
      </c>
      <c r="AD1137" s="217" t="s">
        <v>334</v>
      </c>
      <c r="AE1137" s="217" t="s">
        <v>334</v>
      </c>
    </row>
    <row r="1138" spans="28:31">
      <c r="AB1138" s="231" t="s">
        <v>1527</v>
      </c>
      <c r="AC1138" s="217" t="s">
        <v>333</v>
      </c>
      <c r="AD1138" s="217" t="s">
        <v>334</v>
      </c>
      <c r="AE1138" s="217" t="s">
        <v>334</v>
      </c>
    </row>
    <row r="1139" spans="28:31">
      <c r="AB1139" s="231" t="s">
        <v>1528</v>
      </c>
      <c r="AC1139" s="217" t="s">
        <v>333</v>
      </c>
      <c r="AD1139" s="217" t="s">
        <v>334</v>
      </c>
      <c r="AE1139" s="217" t="s">
        <v>334</v>
      </c>
    </row>
    <row r="1140" spans="28:31">
      <c r="AB1140" s="231" t="s">
        <v>1529</v>
      </c>
      <c r="AC1140" s="217" t="s">
        <v>333</v>
      </c>
      <c r="AD1140" s="217" t="s">
        <v>334</v>
      </c>
      <c r="AE1140" s="217" t="s">
        <v>334</v>
      </c>
    </row>
    <row r="1141" spans="28:31">
      <c r="AB1141" s="231" t="s">
        <v>1530</v>
      </c>
      <c r="AC1141" s="217" t="s">
        <v>333</v>
      </c>
      <c r="AD1141" s="217" t="s">
        <v>334</v>
      </c>
      <c r="AE1141" s="217" t="s">
        <v>334</v>
      </c>
    </row>
    <row r="1142" spans="28:31">
      <c r="AB1142" s="231" t="s">
        <v>1531</v>
      </c>
      <c r="AC1142" s="217" t="s">
        <v>333</v>
      </c>
      <c r="AD1142" s="217" t="s">
        <v>334</v>
      </c>
      <c r="AE1142" s="217" t="s">
        <v>334</v>
      </c>
    </row>
    <row r="1143" spans="28:31">
      <c r="AB1143" s="231" t="s">
        <v>1532</v>
      </c>
      <c r="AC1143" s="217" t="s">
        <v>333</v>
      </c>
      <c r="AD1143" s="217" t="s">
        <v>334</v>
      </c>
      <c r="AE1143" s="217" t="s">
        <v>334</v>
      </c>
    </row>
    <row r="1144" spans="28:31">
      <c r="AB1144" s="231" t="s">
        <v>1533</v>
      </c>
      <c r="AC1144" s="217" t="s">
        <v>333</v>
      </c>
      <c r="AD1144" s="217" t="s">
        <v>334</v>
      </c>
      <c r="AE1144" s="217" t="s">
        <v>334</v>
      </c>
    </row>
    <row r="1145" spans="28:31">
      <c r="AB1145" s="231" t="s">
        <v>1534</v>
      </c>
      <c r="AC1145" s="217" t="s">
        <v>333</v>
      </c>
      <c r="AD1145" s="217" t="s">
        <v>334</v>
      </c>
      <c r="AE1145" s="217" t="s">
        <v>334</v>
      </c>
    </row>
    <row r="1146" spans="28:31">
      <c r="AB1146" s="231" t="s">
        <v>1535</v>
      </c>
      <c r="AC1146" s="217" t="s">
        <v>333</v>
      </c>
      <c r="AD1146" s="217" t="s">
        <v>334</v>
      </c>
      <c r="AE1146" s="217" t="s">
        <v>334</v>
      </c>
    </row>
    <row r="1147" spans="28:31">
      <c r="AB1147" s="231" t="s">
        <v>1536</v>
      </c>
      <c r="AC1147" s="217" t="s">
        <v>333</v>
      </c>
      <c r="AD1147" s="217" t="s">
        <v>334</v>
      </c>
      <c r="AE1147" s="217" t="s">
        <v>334</v>
      </c>
    </row>
    <row r="1148" spans="28:31">
      <c r="AB1148" s="231" t="s">
        <v>1537</v>
      </c>
      <c r="AC1148" s="217" t="s">
        <v>333</v>
      </c>
      <c r="AD1148" s="217" t="s">
        <v>334</v>
      </c>
      <c r="AE1148" s="217" t="s">
        <v>334</v>
      </c>
    </row>
    <row r="1149" spans="28:31">
      <c r="AB1149" s="231" t="s">
        <v>1538</v>
      </c>
      <c r="AC1149" s="217" t="s">
        <v>333</v>
      </c>
      <c r="AD1149" s="217" t="s">
        <v>334</v>
      </c>
      <c r="AE1149" s="217" t="s">
        <v>334</v>
      </c>
    </row>
    <row r="1150" spans="28:31">
      <c r="AB1150" s="231" t="s">
        <v>1539</v>
      </c>
      <c r="AC1150" s="217" t="s">
        <v>333</v>
      </c>
      <c r="AD1150" s="217" t="s">
        <v>334</v>
      </c>
      <c r="AE1150" s="217" t="s">
        <v>334</v>
      </c>
    </row>
    <row r="1151" spans="28:31">
      <c r="AB1151" s="231" t="s">
        <v>1540</v>
      </c>
      <c r="AC1151" s="217" t="s">
        <v>333</v>
      </c>
      <c r="AD1151" s="217" t="s">
        <v>334</v>
      </c>
      <c r="AE1151" s="217" t="s">
        <v>334</v>
      </c>
    </row>
    <row r="1152" spans="28:31">
      <c r="AB1152" s="231" t="s">
        <v>1541</v>
      </c>
      <c r="AC1152" s="217" t="s">
        <v>333</v>
      </c>
      <c r="AD1152" s="217" t="s">
        <v>334</v>
      </c>
      <c r="AE1152" s="217" t="s">
        <v>334</v>
      </c>
    </row>
    <row r="1153" spans="28:31">
      <c r="AB1153" s="231" t="s">
        <v>1542</v>
      </c>
      <c r="AC1153" s="217" t="s">
        <v>333</v>
      </c>
      <c r="AD1153" s="217" t="s">
        <v>334</v>
      </c>
      <c r="AE1153" s="217" t="s">
        <v>334</v>
      </c>
    </row>
    <row r="1154" spans="28:31">
      <c r="AB1154" s="231" t="s">
        <v>1543</v>
      </c>
      <c r="AC1154" s="217" t="s">
        <v>333</v>
      </c>
      <c r="AD1154" s="217" t="s">
        <v>334</v>
      </c>
      <c r="AE1154" s="217" t="s">
        <v>334</v>
      </c>
    </row>
    <row r="1155" spans="28:31">
      <c r="AB1155" s="231" t="s">
        <v>1544</v>
      </c>
      <c r="AC1155" s="217" t="s">
        <v>333</v>
      </c>
      <c r="AD1155" s="217" t="s">
        <v>334</v>
      </c>
      <c r="AE1155" s="217" t="s">
        <v>334</v>
      </c>
    </row>
    <row r="1156" spans="28:31">
      <c r="AB1156" s="231" t="s">
        <v>1545</v>
      </c>
      <c r="AC1156" s="217" t="s">
        <v>333</v>
      </c>
      <c r="AD1156" s="217" t="s">
        <v>334</v>
      </c>
      <c r="AE1156" s="217" t="s">
        <v>334</v>
      </c>
    </row>
    <row r="1157" spans="28:31">
      <c r="AB1157" s="231" t="s">
        <v>1546</v>
      </c>
      <c r="AC1157" s="217" t="s">
        <v>333</v>
      </c>
      <c r="AD1157" s="217" t="s">
        <v>334</v>
      </c>
      <c r="AE1157" s="217" t="s">
        <v>334</v>
      </c>
    </row>
    <row r="1158" spans="28:31">
      <c r="AB1158" s="231" t="s">
        <v>1547</v>
      </c>
      <c r="AC1158" s="217" t="s">
        <v>333</v>
      </c>
      <c r="AD1158" s="217" t="s">
        <v>334</v>
      </c>
      <c r="AE1158" s="217" t="s">
        <v>334</v>
      </c>
    </row>
    <row r="1159" spans="28:31">
      <c r="AB1159" s="231" t="s">
        <v>1548</v>
      </c>
      <c r="AC1159" s="217" t="s">
        <v>333</v>
      </c>
      <c r="AD1159" s="217" t="s">
        <v>334</v>
      </c>
      <c r="AE1159" s="217" t="s">
        <v>334</v>
      </c>
    </row>
    <row r="1160" spans="28:31">
      <c r="AB1160" s="231" t="s">
        <v>1549</v>
      </c>
      <c r="AC1160" s="217" t="s">
        <v>333</v>
      </c>
      <c r="AD1160" s="217" t="s">
        <v>334</v>
      </c>
      <c r="AE1160" s="217" t="s">
        <v>334</v>
      </c>
    </row>
    <row r="1161" spans="28:31">
      <c r="AB1161" s="231" t="s">
        <v>1550</v>
      </c>
      <c r="AC1161" s="217" t="s">
        <v>333</v>
      </c>
      <c r="AD1161" s="217" t="s">
        <v>334</v>
      </c>
      <c r="AE1161" s="217" t="s">
        <v>334</v>
      </c>
    </row>
    <row r="1162" spans="28:31">
      <c r="AB1162" s="231" t="s">
        <v>1551</v>
      </c>
      <c r="AC1162" s="217" t="s">
        <v>333</v>
      </c>
      <c r="AD1162" s="217" t="s">
        <v>334</v>
      </c>
      <c r="AE1162" s="217" t="s">
        <v>334</v>
      </c>
    </row>
    <row r="1163" spans="28:31">
      <c r="AB1163" s="231" t="s">
        <v>1552</v>
      </c>
      <c r="AC1163" s="217" t="s">
        <v>333</v>
      </c>
      <c r="AD1163" s="217" t="s">
        <v>334</v>
      </c>
      <c r="AE1163" s="217" t="s">
        <v>334</v>
      </c>
    </row>
    <row r="1164" spans="28:31">
      <c r="AB1164" s="231" t="s">
        <v>1553</v>
      </c>
      <c r="AC1164" s="217" t="s">
        <v>333</v>
      </c>
      <c r="AD1164" s="217" t="s">
        <v>334</v>
      </c>
      <c r="AE1164" s="217" t="s">
        <v>334</v>
      </c>
    </row>
    <row r="1165" spans="28:31">
      <c r="AB1165" s="231" t="s">
        <v>1554</v>
      </c>
      <c r="AC1165" s="217" t="s">
        <v>333</v>
      </c>
      <c r="AD1165" s="217" t="s">
        <v>334</v>
      </c>
      <c r="AE1165" s="217" t="s">
        <v>334</v>
      </c>
    </row>
    <row r="1166" spans="28:31">
      <c r="AB1166" s="231" t="s">
        <v>1555</v>
      </c>
      <c r="AC1166" s="217" t="s">
        <v>333</v>
      </c>
      <c r="AD1166" s="217" t="s">
        <v>334</v>
      </c>
      <c r="AE1166" s="217" t="s">
        <v>334</v>
      </c>
    </row>
    <row r="1167" spans="28:31">
      <c r="AB1167" s="231" t="s">
        <v>1556</v>
      </c>
      <c r="AC1167" s="217" t="s">
        <v>333</v>
      </c>
      <c r="AD1167" s="217" t="s">
        <v>334</v>
      </c>
      <c r="AE1167" s="217" t="s">
        <v>334</v>
      </c>
    </row>
    <row r="1168" spans="28:31">
      <c r="AB1168" s="231" t="s">
        <v>1557</v>
      </c>
      <c r="AC1168" s="217" t="s">
        <v>333</v>
      </c>
      <c r="AD1168" s="217" t="s">
        <v>334</v>
      </c>
      <c r="AE1168" s="217" t="s">
        <v>334</v>
      </c>
    </row>
    <row r="1169" spans="28:31">
      <c r="AB1169" s="231" t="s">
        <v>1558</v>
      </c>
      <c r="AC1169" s="217" t="s">
        <v>333</v>
      </c>
      <c r="AD1169" s="217" t="s">
        <v>334</v>
      </c>
      <c r="AE1169" s="217" t="s">
        <v>334</v>
      </c>
    </row>
    <row r="1170" spans="28:31">
      <c r="AB1170" s="231" t="s">
        <v>1559</v>
      </c>
      <c r="AC1170" s="217" t="s">
        <v>333</v>
      </c>
      <c r="AD1170" s="217" t="s">
        <v>334</v>
      </c>
      <c r="AE1170" s="217" t="s">
        <v>334</v>
      </c>
    </row>
    <row r="1171" spans="28:31">
      <c r="AB1171" s="231" t="s">
        <v>1560</v>
      </c>
      <c r="AC1171" s="217" t="s">
        <v>333</v>
      </c>
      <c r="AD1171" s="217" t="s">
        <v>334</v>
      </c>
      <c r="AE1171" s="217" t="s">
        <v>334</v>
      </c>
    </row>
    <row r="1172" spans="28:31">
      <c r="AB1172" s="231" t="s">
        <v>1561</v>
      </c>
      <c r="AC1172" s="217" t="s">
        <v>333</v>
      </c>
      <c r="AD1172" s="217" t="s">
        <v>334</v>
      </c>
      <c r="AE1172" s="217" t="s">
        <v>334</v>
      </c>
    </row>
    <row r="1173" spans="28:31">
      <c r="AB1173" s="231" t="s">
        <v>1562</v>
      </c>
      <c r="AC1173" s="217" t="s">
        <v>333</v>
      </c>
      <c r="AD1173" s="217" t="s">
        <v>334</v>
      </c>
      <c r="AE1173" s="217" t="s">
        <v>334</v>
      </c>
    </row>
    <row r="1174" spans="28:31">
      <c r="AB1174" s="231" t="s">
        <v>1563</v>
      </c>
      <c r="AC1174" s="217" t="s">
        <v>333</v>
      </c>
      <c r="AD1174" s="217" t="s">
        <v>334</v>
      </c>
      <c r="AE1174" s="217" t="s">
        <v>334</v>
      </c>
    </row>
    <row r="1175" spans="28:31">
      <c r="AB1175" s="231" t="s">
        <v>1564</v>
      </c>
      <c r="AC1175" s="217" t="s">
        <v>333</v>
      </c>
      <c r="AD1175" s="217" t="s">
        <v>334</v>
      </c>
      <c r="AE1175" s="217" t="s">
        <v>334</v>
      </c>
    </row>
    <row r="1176" spans="28:31">
      <c r="AB1176" s="231" t="s">
        <v>1565</v>
      </c>
      <c r="AC1176" s="217" t="s">
        <v>333</v>
      </c>
      <c r="AD1176" s="217" t="s">
        <v>334</v>
      </c>
      <c r="AE1176" s="217" t="s">
        <v>334</v>
      </c>
    </row>
    <row r="1177" spans="28:31">
      <c r="AB1177" s="231" t="s">
        <v>1566</v>
      </c>
      <c r="AC1177" s="217" t="s">
        <v>333</v>
      </c>
      <c r="AD1177" s="217" t="s">
        <v>334</v>
      </c>
      <c r="AE1177" s="217" t="s">
        <v>334</v>
      </c>
    </row>
    <row r="1178" spans="28:31">
      <c r="AB1178" s="231" t="s">
        <v>1567</v>
      </c>
      <c r="AC1178" s="217" t="s">
        <v>333</v>
      </c>
      <c r="AD1178" s="217" t="s">
        <v>334</v>
      </c>
      <c r="AE1178" s="217" t="s">
        <v>334</v>
      </c>
    </row>
    <row r="1179" spans="28:31">
      <c r="AB1179" s="231" t="s">
        <v>1568</v>
      </c>
      <c r="AC1179" s="217" t="s">
        <v>333</v>
      </c>
      <c r="AD1179" s="217" t="s">
        <v>334</v>
      </c>
      <c r="AE1179" s="217" t="s">
        <v>334</v>
      </c>
    </row>
    <row r="1180" spans="28:31">
      <c r="AB1180" s="231" t="s">
        <v>1569</v>
      </c>
      <c r="AC1180" s="217" t="s">
        <v>333</v>
      </c>
      <c r="AD1180" s="217" t="s">
        <v>334</v>
      </c>
      <c r="AE1180" s="217" t="s">
        <v>334</v>
      </c>
    </row>
    <row r="1181" spans="28:31">
      <c r="AB1181" s="231" t="s">
        <v>1570</v>
      </c>
      <c r="AC1181" s="217" t="s">
        <v>333</v>
      </c>
      <c r="AD1181" s="217" t="s">
        <v>334</v>
      </c>
      <c r="AE1181" s="217" t="s">
        <v>334</v>
      </c>
    </row>
    <row r="1182" spans="28:31">
      <c r="AB1182" s="231" t="s">
        <v>1571</v>
      </c>
      <c r="AC1182" s="217" t="s">
        <v>333</v>
      </c>
      <c r="AD1182" s="217" t="s">
        <v>334</v>
      </c>
      <c r="AE1182" s="217" t="s">
        <v>334</v>
      </c>
    </row>
    <row r="1183" spans="28:31">
      <c r="AB1183" s="231" t="s">
        <v>1572</v>
      </c>
      <c r="AC1183" s="217" t="s">
        <v>333</v>
      </c>
      <c r="AD1183" s="217" t="s">
        <v>334</v>
      </c>
      <c r="AE1183" s="217" t="s">
        <v>334</v>
      </c>
    </row>
    <row r="1184" spans="28:31">
      <c r="AB1184" s="231" t="s">
        <v>1573</v>
      </c>
      <c r="AC1184" s="217" t="s">
        <v>333</v>
      </c>
      <c r="AD1184" s="217" t="s">
        <v>334</v>
      </c>
      <c r="AE1184" s="217" t="s">
        <v>334</v>
      </c>
    </row>
    <row r="1185" spans="28:31">
      <c r="AB1185" s="231" t="s">
        <v>1574</v>
      </c>
      <c r="AC1185" s="217" t="s">
        <v>333</v>
      </c>
      <c r="AD1185" s="217" t="s">
        <v>334</v>
      </c>
      <c r="AE1185" s="217" t="s">
        <v>334</v>
      </c>
    </row>
    <row r="1186" spans="28:31">
      <c r="AB1186" s="231" t="s">
        <v>1575</v>
      </c>
      <c r="AC1186" s="217" t="s">
        <v>333</v>
      </c>
      <c r="AD1186" s="217" t="s">
        <v>334</v>
      </c>
      <c r="AE1186" s="217" t="s">
        <v>334</v>
      </c>
    </row>
    <row r="1187" spans="28:31">
      <c r="AB1187" s="231" t="s">
        <v>1576</v>
      </c>
      <c r="AC1187" s="217" t="s">
        <v>333</v>
      </c>
      <c r="AD1187" s="217" t="s">
        <v>334</v>
      </c>
      <c r="AE1187" s="217" t="s">
        <v>334</v>
      </c>
    </row>
    <row r="1188" spans="28:31">
      <c r="AB1188" s="231" t="s">
        <v>1577</v>
      </c>
      <c r="AC1188" s="217" t="s">
        <v>333</v>
      </c>
      <c r="AD1188" s="217" t="s">
        <v>334</v>
      </c>
      <c r="AE1188" s="217" t="s">
        <v>334</v>
      </c>
    </row>
    <row r="1189" spans="28:31">
      <c r="AB1189" s="231" t="s">
        <v>1578</v>
      </c>
      <c r="AC1189" s="217" t="s">
        <v>333</v>
      </c>
      <c r="AD1189" s="217" t="s">
        <v>334</v>
      </c>
      <c r="AE1189" s="217" t="s">
        <v>334</v>
      </c>
    </row>
    <row r="1190" spans="28:31">
      <c r="AB1190" s="231" t="s">
        <v>1579</v>
      </c>
      <c r="AC1190" s="217" t="s">
        <v>333</v>
      </c>
      <c r="AD1190" s="217" t="s">
        <v>334</v>
      </c>
      <c r="AE1190" s="217" t="s">
        <v>334</v>
      </c>
    </row>
    <row r="1191" spans="28:31">
      <c r="AB1191" s="231" t="s">
        <v>1580</v>
      </c>
      <c r="AC1191" s="217" t="s">
        <v>333</v>
      </c>
      <c r="AD1191" s="217" t="s">
        <v>334</v>
      </c>
      <c r="AE1191" s="217" t="s">
        <v>334</v>
      </c>
    </row>
    <row r="1192" spans="28:31">
      <c r="AB1192" s="231" t="s">
        <v>1581</v>
      </c>
      <c r="AC1192" s="217" t="s">
        <v>333</v>
      </c>
      <c r="AD1192" s="217" t="s">
        <v>334</v>
      </c>
      <c r="AE1192" s="217" t="s">
        <v>334</v>
      </c>
    </row>
    <row r="1193" spans="28:31">
      <c r="AB1193" s="231" t="s">
        <v>1582</v>
      </c>
      <c r="AC1193" s="217" t="s">
        <v>333</v>
      </c>
      <c r="AD1193" s="217" t="s">
        <v>334</v>
      </c>
      <c r="AE1193" s="217" t="s">
        <v>334</v>
      </c>
    </row>
    <row r="1194" spans="28:31">
      <c r="AB1194" s="231" t="s">
        <v>1583</v>
      </c>
      <c r="AC1194" s="217" t="s">
        <v>333</v>
      </c>
      <c r="AD1194" s="217" t="s">
        <v>334</v>
      </c>
      <c r="AE1194" s="217" t="s">
        <v>334</v>
      </c>
    </row>
    <row r="1195" spans="28:31">
      <c r="AB1195" s="231" t="s">
        <v>1584</v>
      </c>
      <c r="AC1195" s="217" t="s">
        <v>333</v>
      </c>
      <c r="AD1195" s="217" t="s">
        <v>334</v>
      </c>
      <c r="AE1195" s="217" t="s">
        <v>334</v>
      </c>
    </row>
    <row r="1196" spans="28:31">
      <c r="AB1196" s="231" t="s">
        <v>1585</v>
      </c>
      <c r="AC1196" s="217" t="s">
        <v>333</v>
      </c>
      <c r="AD1196" s="217" t="s">
        <v>334</v>
      </c>
      <c r="AE1196" s="217" t="s">
        <v>334</v>
      </c>
    </row>
    <row r="1197" spans="28:31">
      <c r="AB1197" s="231" t="s">
        <v>1586</v>
      </c>
      <c r="AC1197" s="217" t="s">
        <v>333</v>
      </c>
      <c r="AD1197" s="217" t="s">
        <v>334</v>
      </c>
      <c r="AE1197" s="217" t="s">
        <v>334</v>
      </c>
    </row>
    <row r="1198" spans="28:31">
      <c r="AB1198" s="231" t="s">
        <v>1587</v>
      </c>
      <c r="AC1198" s="217" t="s">
        <v>333</v>
      </c>
      <c r="AD1198" s="217" t="s">
        <v>334</v>
      </c>
      <c r="AE1198" s="217" t="s">
        <v>334</v>
      </c>
    </row>
    <row r="1199" spans="28:31">
      <c r="AB1199" s="231" t="s">
        <v>1588</v>
      </c>
      <c r="AC1199" s="217" t="s">
        <v>333</v>
      </c>
      <c r="AD1199" s="217" t="s">
        <v>334</v>
      </c>
      <c r="AE1199" s="217" t="s">
        <v>334</v>
      </c>
    </row>
    <row r="1200" spans="28:31">
      <c r="AB1200" s="231" t="s">
        <v>1589</v>
      </c>
      <c r="AC1200" s="217" t="s">
        <v>333</v>
      </c>
      <c r="AD1200" s="217" t="s">
        <v>334</v>
      </c>
      <c r="AE1200" s="217" t="s">
        <v>334</v>
      </c>
    </row>
    <row r="1201" spans="28:31">
      <c r="AB1201" s="231" t="s">
        <v>1590</v>
      </c>
      <c r="AC1201" s="217" t="s">
        <v>333</v>
      </c>
      <c r="AD1201" s="217" t="s">
        <v>334</v>
      </c>
      <c r="AE1201" s="217" t="s">
        <v>334</v>
      </c>
    </row>
    <row r="1202" spans="28:31">
      <c r="AB1202" s="231" t="s">
        <v>1591</v>
      </c>
      <c r="AC1202" s="217" t="s">
        <v>333</v>
      </c>
      <c r="AD1202" s="217" t="s">
        <v>334</v>
      </c>
      <c r="AE1202" s="217" t="s">
        <v>334</v>
      </c>
    </row>
    <row r="1203" spans="28:31">
      <c r="AB1203" s="231" t="s">
        <v>1592</v>
      </c>
      <c r="AC1203" s="217" t="s">
        <v>333</v>
      </c>
      <c r="AD1203" s="217" t="s">
        <v>334</v>
      </c>
      <c r="AE1203" s="217" t="s">
        <v>334</v>
      </c>
    </row>
    <row r="1204" spans="28:31">
      <c r="AB1204" s="231" t="s">
        <v>1593</v>
      </c>
      <c r="AC1204" s="217" t="s">
        <v>333</v>
      </c>
      <c r="AD1204" s="217" t="s">
        <v>334</v>
      </c>
      <c r="AE1204" s="217" t="s">
        <v>334</v>
      </c>
    </row>
    <row r="1205" spans="28:31">
      <c r="AB1205" s="231" t="s">
        <v>1594</v>
      </c>
      <c r="AC1205" s="217" t="s">
        <v>333</v>
      </c>
      <c r="AD1205" s="217" t="s">
        <v>334</v>
      </c>
      <c r="AE1205" s="217" t="s">
        <v>334</v>
      </c>
    </row>
    <row r="1206" spans="28:31">
      <c r="AB1206" s="231" t="s">
        <v>1595</v>
      </c>
      <c r="AC1206" s="217" t="s">
        <v>333</v>
      </c>
      <c r="AD1206" s="217" t="s">
        <v>334</v>
      </c>
      <c r="AE1206" s="217" t="s">
        <v>334</v>
      </c>
    </row>
    <row r="1207" spans="28:31">
      <c r="AB1207" s="231" t="s">
        <v>1596</v>
      </c>
      <c r="AC1207" s="217" t="s">
        <v>333</v>
      </c>
      <c r="AD1207" s="217" t="s">
        <v>334</v>
      </c>
      <c r="AE1207" s="217" t="s">
        <v>334</v>
      </c>
    </row>
    <row r="1208" spans="28:31">
      <c r="AB1208" s="231" t="s">
        <v>1597</v>
      </c>
      <c r="AC1208" s="217" t="s">
        <v>333</v>
      </c>
      <c r="AD1208" s="217" t="s">
        <v>334</v>
      </c>
      <c r="AE1208" s="217" t="s">
        <v>334</v>
      </c>
    </row>
    <row r="1209" spans="28:31">
      <c r="AB1209" s="231" t="s">
        <v>1598</v>
      </c>
      <c r="AC1209" s="217" t="s">
        <v>333</v>
      </c>
      <c r="AD1209" s="217" t="s">
        <v>334</v>
      </c>
      <c r="AE1209" s="217" t="s">
        <v>334</v>
      </c>
    </row>
    <row r="1210" spans="28:31">
      <c r="AB1210" s="231" t="s">
        <v>1599</v>
      </c>
      <c r="AC1210" s="217" t="s">
        <v>333</v>
      </c>
      <c r="AD1210" s="217" t="s">
        <v>334</v>
      </c>
      <c r="AE1210" s="217" t="s">
        <v>334</v>
      </c>
    </row>
    <row r="1211" spans="28:31">
      <c r="AB1211" s="231" t="s">
        <v>1600</v>
      </c>
      <c r="AC1211" s="217" t="s">
        <v>333</v>
      </c>
      <c r="AD1211" s="217" t="s">
        <v>334</v>
      </c>
      <c r="AE1211" s="217" t="s">
        <v>334</v>
      </c>
    </row>
    <row r="1212" spans="28:31">
      <c r="AB1212" s="231" t="s">
        <v>1601</v>
      </c>
      <c r="AC1212" s="217" t="s">
        <v>333</v>
      </c>
      <c r="AD1212" s="217" t="s">
        <v>334</v>
      </c>
      <c r="AE1212" s="217" t="s">
        <v>334</v>
      </c>
    </row>
    <row r="1213" spans="28:31">
      <c r="AB1213" s="231" t="s">
        <v>1602</v>
      </c>
      <c r="AC1213" s="217" t="s">
        <v>333</v>
      </c>
      <c r="AD1213" s="217" t="s">
        <v>334</v>
      </c>
      <c r="AE1213" s="217" t="s">
        <v>334</v>
      </c>
    </row>
    <row r="1214" spans="28:31">
      <c r="AB1214" s="231" t="s">
        <v>1603</v>
      </c>
      <c r="AC1214" s="217" t="s">
        <v>333</v>
      </c>
      <c r="AD1214" s="217" t="s">
        <v>334</v>
      </c>
      <c r="AE1214" s="217" t="s">
        <v>334</v>
      </c>
    </row>
    <row r="1215" spans="28:31">
      <c r="AB1215" s="231" t="s">
        <v>1604</v>
      </c>
      <c r="AC1215" s="217" t="s">
        <v>333</v>
      </c>
      <c r="AD1215" s="217" t="s">
        <v>334</v>
      </c>
      <c r="AE1215" s="217" t="s">
        <v>334</v>
      </c>
    </row>
    <row r="1216" spans="28:31">
      <c r="AB1216" s="231" t="s">
        <v>1605</v>
      </c>
      <c r="AC1216" s="217" t="s">
        <v>333</v>
      </c>
      <c r="AD1216" s="217" t="s">
        <v>334</v>
      </c>
      <c r="AE1216" s="217" t="s">
        <v>334</v>
      </c>
    </row>
    <row r="1217" spans="28:31">
      <c r="AB1217" s="231" t="s">
        <v>1606</v>
      </c>
      <c r="AC1217" s="217" t="s">
        <v>333</v>
      </c>
      <c r="AD1217" s="217" t="s">
        <v>334</v>
      </c>
      <c r="AE1217" s="217" t="s">
        <v>334</v>
      </c>
    </row>
    <row r="1218" spans="28:31">
      <c r="AB1218" s="231" t="s">
        <v>1607</v>
      </c>
      <c r="AC1218" s="217" t="s">
        <v>333</v>
      </c>
      <c r="AD1218" s="217" t="s">
        <v>334</v>
      </c>
      <c r="AE1218" s="217" t="s">
        <v>334</v>
      </c>
    </row>
    <row r="1219" spans="28:31">
      <c r="AB1219" s="231" t="s">
        <v>1608</v>
      </c>
      <c r="AC1219" s="217" t="s">
        <v>333</v>
      </c>
      <c r="AD1219" s="217" t="s">
        <v>334</v>
      </c>
      <c r="AE1219" s="217" t="s">
        <v>334</v>
      </c>
    </row>
    <row r="1220" spans="28:31">
      <c r="AB1220" s="231" t="s">
        <v>1609</v>
      </c>
      <c r="AC1220" s="217" t="s">
        <v>333</v>
      </c>
      <c r="AD1220" s="217" t="s">
        <v>334</v>
      </c>
      <c r="AE1220" s="217" t="s">
        <v>334</v>
      </c>
    </row>
    <row r="1221" spans="28:31">
      <c r="AB1221" s="231" t="s">
        <v>1610</v>
      </c>
      <c r="AC1221" s="217" t="s">
        <v>333</v>
      </c>
      <c r="AD1221" s="217" t="s">
        <v>334</v>
      </c>
      <c r="AE1221" s="217" t="s">
        <v>334</v>
      </c>
    </row>
    <row r="1222" spans="28:31">
      <c r="AB1222" s="231" t="s">
        <v>1611</v>
      </c>
      <c r="AC1222" s="217" t="s">
        <v>333</v>
      </c>
      <c r="AD1222" s="217" t="s">
        <v>334</v>
      </c>
      <c r="AE1222" s="217" t="s">
        <v>334</v>
      </c>
    </row>
    <row r="1223" spans="28:31">
      <c r="AB1223" s="231" t="s">
        <v>1612</v>
      </c>
      <c r="AC1223" s="217" t="s">
        <v>333</v>
      </c>
      <c r="AD1223" s="217" t="s">
        <v>334</v>
      </c>
      <c r="AE1223" s="217" t="s">
        <v>334</v>
      </c>
    </row>
    <row r="1224" spans="28:31">
      <c r="AB1224" s="231" t="s">
        <v>1613</v>
      </c>
      <c r="AC1224" s="217" t="s">
        <v>333</v>
      </c>
      <c r="AD1224" s="217" t="s">
        <v>334</v>
      </c>
      <c r="AE1224" s="217" t="s">
        <v>334</v>
      </c>
    </row>
    <row r="1225" spans="28:31">
      <c r="AB1225" s="231" t="s">
        <v>1614</v>
      </c>
      <c r="AC1225" s="217" t="s">
        <v>333</v>
      </c>
      <c r="AD1225" s="217" t="s">
        <v>334</v>
      </c>
      <c r="AE1225" s="217" t="s">
        <v>334</v>
      </c>
    </row>
    <row r="1226" spans="28:31">
      <c r="AB1226" s="231" t="s">
        <v>1615</v>
      </c>
      <c r="AC1226" s="217" t="s">
        <v>333</v>
      </c>
      <c r="AD1226" s="217" t="s">
        <v>334</v>
      </c>
      <c r="AE1226" s="217" t="s">
        <v>334</v>
      </c>
    </row>
    <row r="1227" spans="28:31">
      <c r="AB1227" s="231" t="s">
        <v>1616</v>
      </c>
      <c r="AC1227" s="217" t="s">
        <v>333</v>
      </c>
      <c r="AD1227" s="217" t="s">
        <v>334</v>
      </c>
      <c r="AE1227" s="217" t="s">
        <v>334</v>
      </c>
    </row>
    <row r="1228" spans="28:31">
      <c r="AB1228" s="231" t="s">
        <v>1617</v>
      </c>
      <c r="AC1228" s="217" t="s">
        <v>333</v>
      </c>
      <c r="AD1228" s="217" t="s">
        <v>334</v>
      </c>
      <c r="AE1228" s="217" t="s">
        <v>334</v>
      </c>
    </row>
    <row r="1229" spans="28:31">
      <c r="AB1229" s="231" t="s">
        <v>1618</v>
      </c>
      <c r="AC1229" s="217" t="s">
        <v>333</v>
      </c>
      <c r="AD1229" s="217" t="s">
        <v>334</v>
      </c>
      <c r="AE1229" s="217" t="s">
        <v>334</v>
      </c>
    </row>
    <row r="1230" spans="28:31">
      <c r="AB1230" s="231" t="s">
        <v>1619</v>
      </c>
      <c r="AC1230" s="217" t="s">
        <v>333</v>
      </c>
      <c r="AD1230" s="217" t="s">
        <v>334</v>
      </c>
      <c r="AE1230" s="217" t="s">
        <v>334</v>
      </c>
    </row>
    <row r="1231" spans="28:31">
      <c r="AB1231" s="231" t="s">
        <v>1620</v>
      </c>
      <c r="AC1231" s="217" t="s">
        <v>333</v>
      </c>
      <c r="AD1231" s="217" t="s">
        <v>334</v>
      </c>
      <c r="AE1231" s="217" t="s">
        <v>334</v>
      </c>
    </row>
    <row r="1232" spans="28:31">
      <c r="AB1232" s="231" t="s">
        <v>1621</v>
      </c>
      <c r="AC1232" s="217" t="s">
        <v>333</v>
      </c>
      <c r="AD1232" s="217" t="s">
        <v>334</v>
      </c>
      <c r="AE1232" s="217" t="s">
        <v>334</v>
      </c>
    </row>
    <row r="1233" spans="28:31">
      <c r="AB1233" s="231" t="s">
        <v>1622</v>
      </c>
      <c r="AC1233" s="217" t="s">
        <v>333</v>
      </c>
      <c r="AD1233" s="217" t="s">
        <v>334</v>
      </c>
      <c r="AE1233" s="217" t="s">
        <v>334</v>
      </c>
    </row>
    <row r="1234" spans="28:31">
      <c r="AB1234" s="231" t="s">
        <v>1623</v>
      </c>
      <c r="AC1234" s="217" t="s">
        <v>333</v>
      </c>
      <c r="AD1234" s="217" t="s">
        <v>334</v>
      </c>
      <c r="AE1234" s="217" t="s">
        <v>334</v>
      </c>
    </row>
    <row r="1235" spans="28:31">
      <c r="AB1235" s="231" t="s">
        <v>1624</v>
      </c>
      <c r="AC1235" s="217" t="s">
        <v>333</v>
      </c>
      <c r="AD1235" s="217" t="s">
        <v>334</v>
      </c>
      <c r="AE1235" s="217" t="s">
        <v>334</v>
      </c>
    </row>
    <row r="1236" spans="28:31">
      <c r="AB1236" s="231" t="s">
        <v>1625</v>
      </c>
      <c r="AC1236" s="217" t="s">
        <v>333</v>
      </c>
      <c r="AD1236" s="217" t="s">
        <v>334</v>
      </c>
      <c r="AE1236" s="217" t="s">
        <v>334</v>
      </c>
    </row>
    <row r="1237" spans="28:31">
      <c r="AB1237" s="231" t="s">
        <v>1626</v>
      </c>
      <c r="AC1237" s="217" t="s">
        <v>333</v>
      </c>
      <c r="AD1237" s="217" t="s">
        <v>334</v>
      </c>
      <c r="AE1237" s="217" t="s">
        <v>334</v>
      </c>
    </row>
    <row r="1238" spans="28:31">
      <c r="AB1238" s="231" t="s">
        <v>1627</v>
      </c>
      <c r="AC1238" s="217" t="s">
        <v>333</v>
      </c>
      <c r="AD1238" s="217" t="s">
        <v>334</v>
      </c>
      <c r="AE1238" s="217" t="s">
        <v>334</v>
      </c>
    </row>
    <row r="1239" spans="28:31">
      <c r="AB1239" s="231" t="s">
        <v>1628</v>
      </c>
      <c r="AC1239" s="217" t="s">
        <v>333</v>
      </c>
      <c r="AD1239" s="217" t="s">
        <v>334</v>
      </c>
      <c r="AE1239" s="217" t="s">
        <v>334</v>
      </c>
    </row>
    <row r="1240" spans="28:31">
      <c r="AB1240" s="231" t="s">
        <v>1629</v>
      </c>
      <c r="AC1240" s="217" t="s">
        <v>333</v>
      </c>
      <c r="AD1240" s="217" t="s">
        <v>334</v>
      </c>
      <c r="AE1240" s="217" t="s">
        <v>334</v>
      </c>
    </row>
    <row r="1241" spans="28:31">
      <c r="AB1241" s="231" t="s">
        <v>1630</v>
      </c>
      <c r="AC1241" s="217" t="s">
        <v>333</v>
      </c>
      <c r="AD1241" s="217" t="s">
        <v>334</v>
      </c>
      <c r="AE1241" s="217" t="s">
        <v>334</v>
      </c>
    </row>
    <row r="1242" spans="28:31">
      <c r="AB1242" s="231" t="s">
        <v>1631</v>
      </c>
      <c r="AC1242" s="217" t="s">
        <v>333</v>
      </c>
      <c r="AD1242" s="217" t="s">
        <v>334</v>
      </c>
      <c r="AE1242" s="217" t="s">
        <v>334</v>
      </c>
    </row>
    <row r="1243" spans="28:31">
      <c r="AB1243" s="231" t="s">
        <v>1632</v>
      </c>
      <c r="AC1243" s="217" t="s">
        <v>333</v>
      </c>
      <c r="AD1243" s="217" t="s">
        <v>334</v>
      </c>
      <c r="AE1243" s="217" t="s">
        <v>334</v>
      </c>
    </row>
    <row r="1244" spans="28:31">
      <c r="AB1244" s="231" t="s">
        <v>1633</v>
      </c>
      <c r="AC1244" s="217" t="s">
        <v>333</v>
      </c>
      <c r="AD1244" s="217" t="s">
        <v>334</v>
      </c>
      <c r="AE1244" s="217" t="s">
        <v>334</v>
      </c>
    </row>
    <row r="1245" spans="28:31">
      <c r="AB1245" s="231" t="s">
        <v>1634</v>
      </c>
      <c r="AC1245" s="217" t="s">
        <v>333</v>
      </c>
      <c r="AD1245" s="217" t="s">
        <v>334</v>
      </c>
      <c r="AE1245" s="217" t="s">
        <v>334</v>
      </c>
    </row>
    <row r="1246" spans="28:31">
      <c r="AB1246" s="231" t="s">
        <v>1635</v>
      </c>
      <c r="AC1246" s="217" t="s">
        <v>333</v>
      </c>
      <c r="AD1246" s="217" t="s">
        <v>334</v>
      </c>
      <c r="AE1246" s="217" t="s">
        <v>334</v>
      </c>
    </row>
    <row r="1247" spans="28:31">
      <c r="AB1247" s="231" t="s">
        <v>1636</v>
      </c>
      <c r="AC1247" s="217" t="s">
        <v>333</v>
      </c>
      <c r="AD1247" s="217" t="s">
        <v>334</v>
      </c>
      <c r="AE1247" s="217" t="s">
        <v>334</v>
      </c>
    </row>
    <row r="1248" spans="28:31">
      <c r="AB1248" s="231" t="s">
        <v>1637</v>
      </c>
      <c r="AC1248" s="217" t="s">
        <v>333</v>
      </c>
      <c r="AD1248" s="217" t="s">
        <v>334</v>
      </c>
      <c r="AE1248" s="217" t="s">
        <v>334</v>
      </c>
    </row>
    <row r="1249" spans="28:31">
      <c r="AB1249" s="231" t="s">
        <v>1638</v>
      </c>
      <c r="AC1249" s="217" t="s">
        <v>333</v>
      </c>
      <c r="AD1249" s="217" t="s">
        <v>334</v>
      </c>
      <c r="AE1249" s="217" t="s">
        <v>334</v>
      </c>
    </row>
    <row r="1250" spans="28:31">
      <c r="AB1250" s="231" t="s">
        <v>1639</v>
      </c>
      <c r="AC1250" s="217" t="s">
        <v>333</v>
      </c>
      <c r="AD1250" s="217" t="s">
        <v>334</v>
      </c>
      <c r="AE1250" s="217" t="s">
        <v>334</v>
      </c>
    </row>
    <row r="1251" spans="28:31">
      <c r="AB1251" s="231" t="s">
        <v>1640</v>
      </c>
      <c r="AC1251" s="217" t="s">
        <v>333</v>
      </c>
      <c r="AD1251" s="217" t="s">
        <v>334</v>
      </c>
      <c r="AE1251" s="217" t="s">
        <v>334</v>
      </c>
    </row>
    <row r="1252" spans="28:31">
      <c r="AB1252" s="231" t="s">
        <v>1641</v>
      </c>
      <c r="AC1252" s="217" t="s">
        <v>333</v>
      </c>
      <c r="AD1252" s="217" t="s">
        <v>334</v>
      </c>
      <c r="AE1252" s="217" t="s">
        <v>334</v>
      </c>
    </row>
    <row r="1253" spans="28:31">
      <c r="AB1253" s="231" t="s">
        <v>1642</v>
      </c>
      <c r="AC1253" s="217" t="s">
        <v>333</v>
      </c>
      <c r="AD1253" s="217" t="s">
        <v>334</v>
      </c>
      <c r="AE1253" s="217" t="s">
        <v>334</v>
      </c>
    </row>
    <row r="1254" spans="28:31">
      <c r="AB1254" s="231" t="s">
        <v>1643</v>
      </c>
      <c r="AC1254" s="217" t="s">
        <v>333</v>
      </c>
      <c r="AD1254" s="217" t="s">
        <v>334</v>
      </c>
      <c r="AE1254" s="217" t="s">
        <v>334</v>
      </c>
    </row>
    <row r="1255" spans="28:31">
      <c r="AB1255" s="231" t="s">
        <v>1644</v>
      </c>
      <c r="AC1255" s="217" t="s">
        <v>333</v>
      </c>
      <c r="AD1255" s="217" t="s">
        <v>334</v>
      </c>
      <c r="AE1255" s="217" t="s">
        <v>334</v>
      </c>
    </row>
    <row r="1256" spans="28:31">
      <c r="AB1256" s="231" t="s">
        <v>1645</v>
      </c>
      <c r="AC1256" s="217" t="s">
        <v>333</v>
      </c>
      <c r="AD1256" s="217" t="s">
        <v>334</v>
      </c>
      <c r="AE1256" s="217" t="s">
        <v>334</v>
      </c>
    </row>
    <row r="1257" spans="28:31">
      <c r="AB1257" s="231" t="s">
        <v>1646</v>
      </c>
      <c r="AC1257" s="217" t="s">
        <v>333</v>
      </c>
      <c r="AD1257" s="217" t="s">
        <v>334</v>
      </c>
      <c r="AE1257" s="217" t="s">
        <v>334</v>
      </c>
    </row>
    <row r="1258" spans="28:31">
      <c r="AB1258" s="231" t="s">
        <v>1647</v>
      </c>
      <c r="AC1258" s="217" t="s">
        <v>333</v>
      </c>
      <c r="AD1258" s="217" t="s">
        <v>334</v>
      </c>
      <c r="AE1258" s="217" t="s">
        <v>334</v>
      </c>
    </row>
    <row r="1259" spans="28:31">
      <c r="AB1259" s="231" t="s">
        <v>1648</v>
      </c>
      <c r="AC1259" s="217" t="s">
        <v>333</v>
      </c>
      <c r="AD1259" s="217" t="s">
        <v>334</v>
      </c>
      <c r="AE1259" s="217" t="s">
        <v>334</v>
      </c>
    </row>
    <row r="1260" spans="28:31">
      <c r="AB1260" s="231" t="s">
        <v>1649</v>
      </c>
      <c r="AC1260" s="217" t="s">
        <v>333</v>
      </c>
      <c r="AD1260" s="217" t="s">
        <v>334</v>
      </c>
      <c r="AE1260" s="217" t="s">
        <v>334</v>
      </c>
    </row>
    <row r="1261" spans="28:31">
      <c r="AB1261" s="231" t="s">
        <v>1650</v>
      </c>
      <c r="AC1261" s="217" t="s">
        <v>333</v>
      </c>
      <c r="AD1261" s="217" t="s">
        <v>334</v>
      </c>
      <c r="AE1261" s="217" t="s">
        <v>334</v>
      </c>
    </row>
    <row r="1262" spans="28:31">
      <c r="AB1262" s="231" t="s">
        <v>1651</v>
      </c>
      <c r="AC1262" s="217" t="s">
        <v>333</v>
      </c>
      <c r="AD1262" s="217" t="s">
        <v>334</v>
      </c>
      <c r="AE1262" s="217" t="s">
        <v>334</v>
      </c>
    </row>
    <row r="1263" spans="28:31">
      <c r="AB1263" s="231" t="s">
        <v>1652</v>
      </c>
      <c r="AC1263" s="217" t="s">
        <v>333</v>
      </c>
      <c r="AD1263" s="217" t="s">
        <v>334</v>
      </c>
      <c r="AE1263" s="217" t="s">
        <v>334</v>
      </c>
    </row>
    <row r="1264" spans="28:31">
      <c r="AB1264" s="231" t="s">
        <v>1653</v>
      </c>
      <c r="AC1264" s="217" t="s">
        <v>333</v>
      </c>
      <c r="AD1264" s="217" t="s">
        <v>334</v>
      </c>
      <c r="AE1264" s="217" t="s">
        <v>334</v>
      </c>
    </row>
    <row r="1265" spans="28:31">
      <c r="AB1265" s="231" t="s">
        <v>1654</v>
      </c>
      <c r="AC1265" s="217" t="s">
        <v>333</v>
      </c>
      <c r="AD1265" s="217" t="s">
        <v>334</v>
      </c>
      <c r="AE1265" s="217" t="s">
        <v>334</v>
      </c>
    </row>
    <row r="1266" spans="28:31">
      <c r="AB1266" s="231" t="s">
        <v>1655</v>
      </c>
      <c r="AC1266" s="217" t="s">
        <v>333</v>
      </c>
      <c r="AD1266" s="217" t="s">
        <v>334</v>
      </c>
      <c r="AE1266" s="217" t="s">
        <v>334</v>
      </c>
    </row>
    <row r="1267" spans="28:31">
      <c r="AB1267" s="231" t="s">
        <v>1656</v>
      </c>
      <c r="AC1267" s="217" t="s">
        <v>333</v>
      </c>
      <c r="AD1267" s="217" t="s">
        <v>334</v>
      </c>
      <c r="AE1267" s="217" t="s">
        <v>334</v>
      </c>
    </row>
    <row r="1268" spans="28:31">
      <c r="AB1268" s="231" t="s">
        <v>1657</v>
      </c>
      <c r="AC1268" s="217" t="s">
        <v>333</v>
      </c>
      <c r="AD1268" s="217" t="s">
        <v>334</v>
      </c>
      <c r="AE1268" s="217" t="s">
        <v>334</v>
      </c>
    </row>
    <row r="1269" spans="28:31">
      <c r="AB1269" s="231" t="s">
        <v>1658</v>
      </c>
      <c r="AC1269" s="217" t="s">
        <v>333</v>
      </c>
      <c r="AD1269" s="217" t="s">
        <v>334</v>
      </c>
      <c r="AE1269" s="217" t="s">
        <v>334</v>
      </c>
    </row>
    <row r="1270" spans="28:31">
      <c r="AB1270" s="231" t="s">
        <v>1659</v>
      </c>
      <c r="AC1270" s="217" t="s">
        <v>333</v>
      </c>
      <c r="AD1270" s="217" t="s">
        <v>334</v>
      </c>
      <c r="AE1270" s="217" t="s">
        <v>334</v>
      </c>
    </row>
    <row r="1271" spans="28:31">
      <c r="AB1271" s="231" t="s">
        <v>1660</v>
      </c>
      <c r="AC1271" s="217" t="s">
        <v>333</v>
      </c>
      <c r="AD1271" s="217" t="s">
        <v>334</v>
      </c>
      <c r="AE1271" s="217" t="s">
        <v>334</v>
      </c>
    </row>
    <row r="1272" spans="28:31">
      <c r="AB1272" s="231" t="s">
        <v>1661</v>
      </c>
      <c r="AC1272" s="217" t="s">
        <v>333</v>
      </c>
      <c r="AD1272" s="217" t="s">
        <v>334</v>
      </c>
      <c r="AE1272" s="217" t="s">
        <v>334</v>
      </c>
    </row>
    <row r="1273" spans="28:31">
      <c r="AB1273" s="231" t="s">
        <v>1662</v>
      </c>
      <c r="AC1273" s="217" t="s">
        <v>333</v>
      </c>
      <c r="AD1273" s="217" t="s">
        <v>334</v>
      </c>
      <c r="AE1273" s="217" t="s">
        <v>334</v>
      </c>
    </row>
    <row r="1274" spans="28:31">
      <c r="AB1274" s="231" t="s">
        <v>1663</v>
      </c>
      <c r="AC1274" s="217" t="s">
        <v>333</v>
      </c>
      <c r="AD1274" s="217" t="s">
        <v>334</v>
      </c>
      <c r="AE1274" s="217" t="s">
        <v>334</v>
      </c>
    </row>
    <row r="1275" spans="28:31">
      <c r="AB1275" s="231" t="s">
        <v>1664</v>
      </c>
      <c r="AC1275" s="217" t="s">
        <v>333</v>
      </c>
      <c r="AD1275" s="217" t="s">
        <v>334</v>
      </c>
      <c r="AE1275" s="217" t="s">
        <v>334</v>
      </c>
    </row>
    <row r="1276" spans="28:31">
      <c r="AB1276" s="231" t="s">
        <v>1665</v>
      </c>
      <c r="AC1276" s="217" t="s">
        <v>333</v>
      </c>
      <c r="AD1276" s="217" t="s">
        <v>334</v>
      </c>
      <c r="AE1276" s="217" t="s">
        <v>334</v>
      </c>
    </row>
    <row r="1277" spans="28:31">
      <c r="AB1277" s="231" t="s">
        <v>1666</v>
      </c>
      <c r="AC1277" s="217" t="s">
        <v>333</v>
      </c>
      <c r="AD1277" s="217" t="s">
        <v>334</v>
      </c>
      <c r="AE1277" s="217" t="s">
        <v>334</v>
      </c>
    </row>
    <row r="1278" spans="28:31">
      <c r="AB1278" s="231" t="s">
        <v>1667</v>
      </c>
      <c r="AC1278" s="217" t="s">
        <v>333</v>
      </c>
      <c r="AD1278" s="217" t="s">
        <v>334</v>
      </c>
      <c r="AE1278" s="217" t="s">
        <v>334</v>
      </c>
    </row>
    <row r="1279" spans="28:31">
      <c r="AB1279" s="231" t="s">
        <v>1668</v>
      </c>
      <c r="AC1279" s="217" t="s">
        <v>333</v>
      </c>
      <c r="AD1279" s="217" t="s">
        <v>334</v>
      </c>
      <c r="AE1279" s="217" t="s">
        <v>334</v>
      </c>
    </row>
    <row r="1280" spans="28:31">
      <c r="AB1280" s="231" t="s">
        <v>1669</v>
      </c>
      <c r="AC1280" s="217" t="s">
        <v>333</v>
      </c>
      <c r="AD1280" s="217" t="s">
        <v>334</v>
      </c>
      <c r="AE1280" s="217" t="s">
        <v>334</v>
      </c>
    </row>
    <row r="1281" spans="28:31">
      <c r="AB1281" s="231" t="s">
        <v>1670</v>
      </c>
      <c r="AC1281" s="217" t="s">
        <v>333</v>
      </c>
      <c r="AD1281" s="217" t="s">
        <v>334</v>
      </c>
      <c r="AE1281" s="217" t="s">
        <v>334</v>
      </c>
    </row>
    <row r="1282" spans="28:31">
      <c r="AB1282" s="231" t="s">
        <v>1671</v>
      </c>
      <c r="AC1282" s="217" t="s">
        <v>333</v>
      </c>
      <c r="AD1282" s="217" t="s">
        <v>334</v>
      </c>
      <c r="AE1282" s="217" t="s">
        <v>334</v>
      </c>
    </row>
    <row r="1283" spans="28:31">
      <c r="AB1283" s="231" t="s">
        <v>1672</v>
      </c>
      <c r="AC1283" s="217" t="s">
        <v>333</v>
      </c>
      <c r="AD1283" s="217" t="s">
        <v>334</v>
      </c>
      <c r="AE1283" s="217" t="s">
        <v>334</v>
      </c>
    </row>
    <row r="1284" spans="28:31">
      <c r="AB1284" s="231" t="s">
        <v>1673</v>
      </c>
      <c r="AC1284" s="217" t="s">
        <v>333</v>
      </c>
      <c r="AD1284" s="217" t="s">
        <v>334</v>
      </c>
      <c r="AE1284" s="217" t="s">
        <v>334</v>
      </c>
    </row>
    <row r="1285" spans="28:31">
      <c r="AB1285" s="231" t="s">
        <v>1674</v>
      </c>
      <c r="AC1285" s="217" t="s">
        <v>333</v>
      </c>
      <c r="AD1285" s="217" t="s">
        <v>334</v>
      </c>
      <c r="AE1285" s="217" t="s">
        <v>334</v>
      </c>
    </row>
    <row r="1286" spans="28:31">
      <c r="AB1286" s="231" t="s">
        <v>1675</v>
      </c>
      <c r="AC1286" s="217" t="s">
        <v>333</v>
      </c>
      <c r="AD1286" s="217" t="s">
        <v>334</v>
      </c>
      <c r="AE1286" s="217" t="s">
        <v>334</v>
      </c>
    </row>
    <row r="1287" spans="28:31">
      <c r="AB1287" s="231" t="s">
        <v>1676</v>
      </c>
      <c r="AC1287" s="217" t="s">
        <v>333</v>
      </c>
      <c r="AD1287" s="217" t="s">
        <v>334</v>
      </c>
      <c r="AE1287" s="217" t="s">
        <v>334</v>
      </c>
    </row>
    <row r="1288" spans="28:31">
      <c r="AB1288" s="231" t="s">
        <v>1677</v>
      </c>
      <c r="AC1288" s="217" t="s">
        <v>333</v>
      </c>
      <c r="AD1288" s="217" t="s">
        <v>334</v>
      </c>
      <c r="AE1288" s="217" t="s">
        <v>334</v>
      </c>
    </row>
    <row r="1289" spans="28:31">
      <c r="AB1289" s="231" t="s">
        <v>1678</v>
      </c>
      <c r="AC1289" s="217" t="s">
        <v>333</v>
      </c>
      <c r="AD1289" s="217" t="s">
        <v>334</v>
      </c>
      <c r="AE1289" s="217" t="s">
        <v>334</v>
      </c>
    </row>
    <row r="1290" spans="28:31">
      <c r="AB1290" s="231" t="s">
        <v>1679</v>
      </c>
      <c r="AC1290" s="217" t="s">
        <v>333</v>
      </c>
      <c r="AD1290" s="217" t="s">
        <v>334</v>
      </c>
      <c r="AE1290" s="217" t="s">
        <v>334</v>
      </c>
    </row>
    <row r="1291" spans="28:31">
      <c r="AB1291" s="231" t="s">
        <v>1680</v>
      </c>
      <c r="AC1291" s="217" t="s">
        <v>333</v>
      </c>
      <c r="AD1291" s="217" t="s">
        <v>334</v>
      </c>
      <c r="AE1291" s="217" t="s">
        <v>334</v>
      </c>
    </row>
    <row r="1292" spans="28:31">
      <c r="AB1292" s="231" t="s">
        <v>1681</v>
      </c>
      <c r="AC1292" s="217" t="s">
        <v>333</v>
      </c>
      <c r="AD1292" s="217" t="s">
        <v>334</v>
      </c>
      <c r="AE1292" s="217" t="s">
        <v>334</v>
      </c>
    </row>
    <row r="1293" spans="28:31">
      <c r="AB1293" s="231" t="s">
        <v>1682</v>
      </c>
      <c r="AC1293" s="217" t="s">
        <v>333</v>
      </c>
      <c r="AD1293" s="217" t="s">
        <v>334</v>
      </c>
      <c r="AE1293" s="217" t="s">
        <v>334</v>
      </c>
    </row>
    <row r="1294" spans="28:31">
      <c r="AB1294" s="231" t="s">
        <v>1683</v>
      </c>
      <c r="AC1294" s="217" t="s">
        <v>333</v>
      </c>
      <c r="AD1294" s="217" t="s">
        <v>334</v>
      </c>
      <c r="AE1294" s="217" t="s">
        <v>334</v>
      </c>
    </row>
    <row r="1295" spans="28:31">
      <c r="AB1295" s="231" t="s">
        <v>1684</v>
      </c>
      <c r="AC1295" s="217" t="s">
        <v>333</v>
      </c>
      <c r="AD1295" s="217" t="s">
        <v>334</v>
      </c>
      <c r="AE1295" s="217" t="s">
        <v>334</v>
      </c>
    </row>
    <row r="1296" spans="28:31">
      <c r="AB1296" s="231" t="s">
        <v>1685</v>
      </c>
      <c r="AC1296" s="217" t="s">
        <v>333</v>
      </c>
      <c r="AD1296" s="217" t="s">
        <v>334</v>
      </c>
      <c r="AE1296" s="217" t="s">
        <v>334</v>
      </c>
    </row>
    <row r="1297" spans="28:31">
      <c r="AB1297" s="231" t="s">
        <v>1686</v>
      </c>
      <c r="AC1297" s="217" t="s">
        <v>333</v>
      </c>
      <c r="AD1297" s="217" t="s">
        <v>334</v>
      </c>
      <c r="AE1297" s="217" t="s">
        <v>334</v>
      </c>
    </row>
    <row r="1298" spans="28:31">
      <c r="AB1298" s="231" t="s">
        <v>1687</v>
      </c>
      <c r="AC1298" s="217" t="s">
        <v>333</v>
      </c>
      <c r="AD1298" s="217" t="s">
        <v>334</v>
      </c>
      <c r="AE1298" s="217" t="s">
        <v>334</v>
      </c>
    </row>
    <row r="1299" spans="28:31">
      <c r="AB1299" s="231" t="s">
        <v>1688</v>
      </c>
      <c r="AC1299" s="217" t="s">
        <v>333</v>
      </c>
      <c r="AD1299" s="217" t="s">
        <v>334</v>
      </c>
      <c r="AE1299" s="217" t="s">
        <v>334</v>
      </c>
    </row>
    <row r="1300" spans="28:31">
      <c r="AB1300" s="231" t="s">
        <v>1689</v>
      </c>
      <c r="AC1300" s="217" t="s">
        <v>333</v>
      </c>
      <c r="AD1300" s="217" t="s">
        <v>334</v>
      </c>
      <c r="AE1300" s="217" t="s">
        <v>334</v>
      </c>
    </row>
    <row r="1301" spans="28:31">
      <c r="AB1301" s="231" t="s">
        <v>1690</v>
      </c>
      <c r="AC1301" s="217" t="s">
        <v>333</v>
      </c>
      <c r="AD1301" s="217" t="s">
        <v>334</v>
      </c>
      <c r="AE1301" s="217" t="s">
        <v>334</v>
      </c>
    </row>
    <row r="1302" spans="28:31">
      <c r="AB1302" s="231" t="s">
        <v>1691</v>
      </c>
      <c r="AC1302" s="217" t="s">
        <v>333</v>
      </c>
      <c r="AD1302" s="217" t="s">
        <v>334</v>
      </c>
      <c r="AE1302" s="217" t="s">
        <v>334</v>
      </c>
    </row>
    <row r="1303" spans="28:31">
      <c r="AB1303" s="231" t="s">
        <v>1692</v>
      </c>
      <c r="AC1303" s="217" t="s">
        <v>333</v>
      </c>
      <c r="AD1303" s="217" t="s">
        <v>334</v>
      </c>
      <c r="AE1303" s="217" t="s">
        <v>334</v>
      </c>
    </row>
    <row r="1304" spans="28:31">
      <c r="AB1304" s="231" t="s">
        <v>1693</v>
      </c>
      <c r="AC1304" s="217" t="s">
        <v>333</v>
      </c>
      <c r="AD1304" s="217" t="s">
        <v>334</v>
      </c>
      <c r="AE1304" s="217" t="s">
        <v>334</v>
      </c>
    </row>
    <row r="1305" spans="28:31">
      <c r="AB1305" s="231" t="s">
        <v>1694</v>
      </c>
      <c r="AC1305" s="217" t="s">
        <v>333</v>
      </c>
      <c r="AD1305" s="217" t="s">
        <v>334</v>
      </c>
      <c r="AE1305" s="217" t="s">
        <v>334</v>
      </c>
    </row>
    <row r="1306" spans="28:31">
      <c r="AB1306" s="231" t="s">
        <v>1695</v>
      </c>
      <c r="AC1306" s="217" t="s">
        <v>333</v>
      </c>
      <c r="AD1306" s="217" t="s">
        <v>334</v>
      </c>
      <c r="AE1306" s="217" t="s">
        <v>334</v>
      </c>
    </row>
    <row r="1307" spans="28:31">
      <c r="AB1307" s="231" t="s">
        <v>1696</v>
      </c>
      <c r="AC1307" s="217" t="s">
        <v>333</v>
      </c>
      <c r="AD1307" s="217" t="s">
        <v>334</v>
      </c>
      <c r="AE1307" s="217" t="s">
        <v>334</v>
      </c>
    </row>
    <row r="1308" spans="28:31">
      <c r="AB1308" s="231" t="s">
        <v>1697</v>
      </c>
      <c r="AC1308" s="217" t="s">
        <v>333</v>
      </c>
      <c r="AD1308" s="217" t="s">
        <v>334</v>
      </c>
      <c r="AE1308" s="217" t="s">
        <v>334</v>
      </c>
    </row>
    <row r="1309" spans="28:31">
      <c r="AB1309" s="231" t="s">
        <v>1698</v>
      </c>
      <c r="AC1309" s="217" t="s">
        <v>333</v>
      </c>
      <c r="AD1309" s="217" t="s">
        <v>334</v>
      </c>
      <c r="AE1309" s="217" t="s">
        <v>334</v>
      </c>
    </row>
    <row r="1310" spans="28:31">
      <c r="AB1310" s="231" t="s">
        <v>1699</v>
      </c>
      <c r="AC1310" s="217" t="s">
        <v>333</v>
      </c>
      <c r="AD1310" s="217" t="s">
        <v>334</v>
      </c>
      <c r="AE1310" s="217" t="s">
        <v>334</v>
      </c>
    </row>
    <row r="1311" spans="28:31">
      <c r="AB1311" s="231" t="s">
        <v>1700</v>
      </c>
      <c r="AC1311" s="217" t="s">
        <v>333</v>
      </c>
      <c r="AD1311" s="217" t="s">
        <v>334</v>
      </c>
      <c r="AE1311" s="217" t="s">
        <v>334</v>
      </c>
    </row>
    <row r="1312" spans="28:31">
      <c r="AB1312" s="231" t="s">
        <v>1701</v>
      </c>
      <c r="AC1312" s="217" t="s">
        <v>333</v>
      </c>
      <c r="AD1312" s="217" t="s">
        <v>334</v>
      </c>
      <c r="AE1312" s="217" t="s">
        <v>334</v>
      </c>
    </row>
    <row r="1313" spans="28:31">
      <c r="AB1313" s="231" t="s">
        <v>1702</v>
      </c>
      <c r="AC1313" s="217" t="s">
        <v>333</v>
      </c>
      <c r="AD1313" s="217" t="s">
        <v>334</v>
      </c>
      <c r="AE1313" s="217" t="s">
        <v>334</v>
      </c>
    </row>
    <row r="1314" spans="28:31">
      <c r="AB1314" s="231" t="s">
        <v>1703</v>
      </c>
      <c r="AC1314" s="217" t="s">
        <v>333</v>
      </c>
      <c r="AD1314" s="217" t="s">
        <v>334</v>
      </c>
      <c r="AE1314" s="217" t="s">
        <v>334</v>
      </c>
    </row>
    <row r="1315" spans="28:31">
      <c r="AB1315" s="231" t="s">
        <v>1704</v>
      </c>
      <c r="AC1315" s="217" t="s">
        <v>333</v>
      </c>
      <c r="AD1315" s="217" t="s">
        <v>334</v>
      </c>
      <c r="AE1315" s="217" t="s">
        <v>334</v>
      </c>
    </row>
    <row r="1316" spans="28:31">
      <c r="AB1316" s="231" t="s">
        <v>1705</v>
      </c>
      <c r="AC1316" s="217" t="s">
        <v>333</v>
      </c>
      <c r="AD1316" s="217" t="s">
        <v>334</v>
      </c>
      <c r="AE1316" s="217" t="s">
        <v>334</v>
      </c>
    </row>
    <row r="1317" spans="28:31">
      <c r="AB1317" s="231" t="s">
        <v>1706</v>
      </c>
      <c r="AC1317" s="217" t="s">
        <v>333</v>
      </c>
      <c r="AD1317" s="217" t="s">
        <v>334</v>
      </c>
      <c r="AE1317" s="217" t="s">
        <v>334</v>
      </c>
    </row>
    <row r="1318" spans="28:31">
      <c r="AB1318" s="231" t="s">
        <v>1707</v>
      </c>
      <c r="AC1318" s="217" t="s">
        <v>333</v>
      </c>
      <c r="AD1318" s="217" t="s">
        <v>334</v>
      </c>
      <c r="AE1318" s="217" t="s">
        <v>334</v>
      </c>
    </row>
    <row r="1319" spans="28:31">
      <c r="AB1319" s="231" t="s">
        <v>1708</v>
      </c>
      <c r="AC1319" s="217" t="s">
        <v>333</v>
      </c>
      <c r="AD1319" s="217" t="s">
        <v>334</v>
      </c>
      <c r="AE1319" s="217" t="s">
        <v>334</v>
      </c>
    </row>
    <row r="1320" spans="28:31">
      <c r="AB1320" s="231" t="s">
        <v>1709</v>
      </c>
      <c r="AC1320" s="217" t="s">
        <v>333</v>
      </c>
      <c r="AD1320" s="217" t="s">
        <v>334</v>
      </c>
      <c r="AE1320" s="217" t="s">
        <v>334</v>
      </c>
    </row>
    <row r="1321" spans="28:31">
      <c r="AB1321" s="231" t="s">
        <v>1710</v>
      </c>
      <c r="AC1321" s="217" t="s">
        <v>333</v>
      </c>
      <c r="AD1321" s="217" t="s">
        <v>334</v>
      </c>
      <c r="AE1321" s="217" t="s">
        <v>334</v>
      </c>
    </row>
    <row r="1322" spans="28:31">
      <c r="AB1322" s="231" t="s">
        <v>1711</v>
      </c>
      <c r="AC1322" s="217" t="s">
        <v>333</v>
      </c>
      <c r="AD1322" s="217" t="s">
        <v>334</v>
      </c>
      <c r="AE1322" s="217" t="s">
        <v>334</v>
      </c>
    </row>
    <row r="1323" spans="28:31">
      <c r="AB1323" s="231" t="s">
        <v>1712</v>
      </c>
      <c r="AC1323" s="217" t="s">
        <v>333</v>
      </c>
      <c r="AD1323" s="217" t="s">
        <v>334</v>
      </c>
      <c r="AE1323" s="217" t="s">
        <v>334</v>
      </c>
    </row>
    <row r="1324" spans="28:31">
      <c r="AB1324" s="231" t="s">
        <v>1713</v>
      </c>
      <c r="AC1324" s="217" t="s">
        <v>333</v>
      </c>
      <c r="AD1324" s="217" t="s">
        <v>334</v>
      </c>
      <c r="AE1324" s="217" t="s">
        <v>334</v>
      </c>
    </row>
    <row r="1325" spans="28:31">
      <c r="AB1325" s="231" t="s">
        <v>1714</v>
      </c>
      <c r="AC1325" s="217" t="s">
        <v>333</v>
      </c>
      <c r="AD1325" s="217" t="s">
        <v>334</v>
      </c>
      <c r="AE1325" s="217" t="s">
        <v>334</v>
      </c>
    </row>
    <row r="1326" spans="28:31">
      <c r="AB1326" s="231" t="s">
        <v>1715</v>
      </c>
      <c r="AC1326" s="217" t="s">
        <v>333</v>
      </c>
      <c r="AD1326" s="217" t="s">
        <v>334</v>
      </c>
      <c r="AE1326" s="217" t="s">
        <v>334</v>
      </c>
    </row>
    <row r="1327" spans="28:31">
      <c r="AB1327" s="231" t="s">
        <v>1716</v>
      </c>
      <c r="AC1327" s="217" t="s">
        <v>333</v>
      </c>
      <c r="AD1327" s="217" t="s">
        <v>334</v>
      </c>
      <c r="AE1327" s="217" t="s">
        <v>334</v>
      </c>
    </row>
    <row r="1328" spans="28:31">
      <c r="AB1328" s="231" t="s">
        <v>1717</v>
      </c>
      <c r="AC1328" s="217" t="s">
        <v>333</v>
      </c>
      <c r="AD1328" s="217" t="s">
        <v>334</v>
      </c>
      <c r="AE1328" s="217" t="s">
        <v>334</v>
      </c>
    </row>
    <row r="1329" spans="28:31">
      <c r="AB1329" s="231" t="s">
        <v>1718</v>
      </c>
      <c r="AC1329" s="217" t="s">
        <v>333</v>
      </c>
      <c r="AD1329" s="217" t="s">
        <v>334</v>
      </c>
      <c r="AE1329" s="217" t="s">
        <v>334</v>
      </c>
    </row>
    <row r="1330" spans="28:31">
      <c r="AB1330" s="231" t="s">
        <v>1719</v>
      </c>
      <c r="AC1330" s="217" t="s">
        <v>333</v>
      </c>
      <c r="AD1330" s="217" t="s">
        <v>334</v>
      </c>
      <c r="AE1330" s="217" t="s">
        <v>334</v>
      </c>
    </row>
    <row r="1331" spans="28:31">
      <c r="AB1331" s="231" t="s">
        <v>1720</v>
      </c>
      <c r="AC1331" s="217" t="s">
        <v>333</v>
      </c>
      <c r="AD1331" s="217" t="s">
        <v>334</v>
      </c>
      <c r="AE1331" s="217" t="s">
        <v>334</v>
      </c>
    </row>
    <row r="1332" spans="28:31">
      <c r="AB1332" s="231" t="s">
        <v>1721</v>
      </c>
      <c r="AC1332" s="217" t="s">
        <v>333</v>
      </c>
      <c r="AD1332" s="217" t="s">
        <v>334</v>
      </c>
      <c r="AE1332" s="217" t="s">
        <v>334</v>
      </c>
    </row>
    <row r="1333" spans="28:31">
      <c r="AB1333" s="231" t="s">
        <v>1722</v>
      </c>
      <c r="AC1333" s="217" t="s">
        <v>333</v>
      </c>
      <c r="AD1333" s="217" t="s">
        <v>334</v>
      </c>
      <c r="AE1333" s="217" t="s">
        <v>334</v>
      </c>
    </row>
    <row r="1334" spans="28:31">
      <c r="AB1334" s="231" t="s">
        <v>1723</v>
      </c>
      <c r="AC1334" s="217" t="s">
        <v>333</v>
      </c>
      <c r="AD1334" s="217" t="s">
        <v>334</v>
      </c>
      <c r="AE1334" s="217" t="s">
        <v>334</v>
      </c>
    </row>
    <row r="1335" spans="28:31">
      <c r="AB1335" s="231" t="s">
        <v>1724</v>
      </c>
      <c r="AC1335" s="217" t="s">
        <v>333</v>
      </c>
      <c r="AD1335" s="217" t="s">
        <v>334</v>
      </c>
      <c r="AE1335" s="217" t="s">
        <v>334</v>
      </c>
    </row>
    <row r="1336" spans="28:31">
      <c r="AB1336" s="231" t="s">
        <v>1725</v>
      </c>
      <c r="AC1336" s="217" t="s">
        <v>333</v>
      </c>
      <c r="AD1336" s="217" t="s">
        <v>334</v>
      </c>
      <c r="AE1336" s="217" t="s">
        <v>334</v>
      </c>
    </row>
    <row r="1337" spans="28:31">
      <c r="AB1337" s="231" t="s">
        <v>1726</v>
      </c>
      <c r="AC1337" s="217" t="s">
        <v>333</v>
      </c>
      <c r="AD1337" s="217" t="s">
        <v>334</v>
      </c>
      <c r="AE1337" s="217" t="s">
        <v>334</v>
      </c>
    </row>
    <row r="1338" spans="28:31">
      <c r="AB1338" s="231" t="s">
        <v>1727</v>
      </c>
      <c r="AC1338" s="217" t="s">
        <v>333</v>
      </c>
      <c r="AD1338" s="217" t="s">
        <v>334</v>
      </c>
      <c r="AE1338" s="217" t="s">
        <v>334</v>
      </c>
    </row>
    <row r="1339" spans="28:31">
      <c r="AB1339" s="231" t="s">
        <v>1728</v>
      </c>
      <c r="AC1339" s="217" t="s">
        <v>333</v>
      </c>
      <c r="AD1339" s="217" t="s">
        <v>334</v>
      </c>
      <c r="AE1339" s="217" t="s">
        <v>334</v>
      </c>
    </row>
    <row r="1340" spans="28:31">
      <c r="AB1340" s="231" t="s">
        <v>1729</v>
      </c>
      <c r="AC1340" s="217" t="s">
        <v>333</v>
      </c>
      <c r="AD1340" s="217" t="s">
        <v>334</v>
      </c>
      <c r="AE1340" s="217" t="s">
        <v>334</v>
      </c>
    </row>
    <row r="1341" spans="28:31">
      <c r="AB1341" s="231" t="s">
        <v>1730</v>
      </c>
      <c r="AC1341" s="217" t="s">
        <v>333</v>
      </c>
      <c r="AD1341" s="217" t="s">
        <v>334</v>
      </c>
      <c r="AE1341" s="217" t="s">
        <v>334</v>
      </c>
    </row>
    <row r="1342" spans="28:31">
      <c r="AB1342" s="231" t="s">
        <v>1731</v>
      </c>
      <c r="AC1342" s="217" t="s">
        <v>333</v>
      </c>
      <c r="AD1342" s="217" t="s">
        <v>334</v>
      </c>
      <c r="AE1342" s="217" t="s">
        <v>334</v>
      </c>
    </row>
    <row r="1343" spans="28:31">
      <c r="AB1343" s="231" t="s">
        <v>1732</v>
      </c>
      <c r="AC1343" s="217" t="s">
        <v>333</v>
      </c>
      <c r="AD1343" s="217" t="s">
        <v>334</v>
      </c>
      <c r="AE1343" s="217" t="s">
        <v>334</v>
      </c>
    </row>
    <row r="1344" spans="28:31">
      <c r="AB1344" s="231" t="s">
        <v>1733</v>
      </c>
      <c r="AC1344" s="217" t="s">
        <v>333</v>
      </c>
      <c r="AD1344" s="217" t="s">
        <v>334</v>
      </c>
      <c r="AE1344" s="217" t="s">
        <v>334</v>
      </c>
    </row>
    <row r="1345" spans="28:31">
      <c r="AB1345" s="231" t="s">
        <v>1734</v>
      </c>
      <c r="AC1345" s="217" t="s">
        <v>333</v>
      </c>
      <c r="AD1345" s="217" t="s">
        <v>334</v>
      </c>
      <c r="AE1345" s="217" t="s">
        <v>334</v>
      </c>
    </row>
    <row r="1346" spans="28:31">
      <c r="AB1346" s="231" t="s">
        <v>1735</v>
      </c>
      <c r="AC1346" s="217" t="s">
        <v>333</v>
      </c>
      <c r="AD1346" s="217" t="s">
        <v>334</v>
      </c>
      <c r="AE1346" s="217" t="s">
        <v>334</v>
      </c>
    </row>
    <row r="1347" spans="28:31">
      <c r="AB1347" s="231" t="s">
        <v>1736</v>
      </c>
      <c r="AC1347" s="217" t="s">
        <v>333</v>
      </c>
      <c r="AD1347" s="217" t="s">
        <v>334</v>
      </c>
      <c r="AE1347" s="217" t="s">
        <v>334</v>
      </c>
    </row>
    <row r="1348" spans="28:31">
      <c r="AB1348" s="231" t="s">
        <v>1737</v>
      </c>
      <c r="AC1348" s="217" t="s">
        <v>333</v>
      </c>
      <c r="AD1348" s="217" t="s">
        <v>334</v>
      </c>
      <c r="AE1348" s="217" t="s">
        <v>334</v>
      </c>
    </row>
    <row r="1349" spans="28:31">
      <c r="AB1349" s="231" t="s">
        <v>1738</v>
      </c>
      <c r="AC1349" s="217" t="s">
        <v>333</v>
      </c>
      <c r="AD1349" s="217" t="s">
        <v>334</v>
      </c>
      <c r="AE1349" s="217" t="s">
        <v>334</v>
      </c>
    </row>
    <row r="1350" spans="28:31">
      <c r="AB1350" s="231" t="s">
        <v>1739</v>
      </c>
      <c r="AC1350" s="217" t="s">
        <v>333</v>
      </c>
      <c r="AD1350" s="217" t="s">
        <v>334</v>
      </c>
      <c r="AE1350" s="217" t="s">
        <v>334</v>
      </c>
    </row>
    <row r="1351" spans="28:31">
      <c r="AB1351" s="231" t="s">
        <v>1740</v>
      </c>
      <c r="AC1351" s="217" t="s">
        <v>333</v>
      </c>
      <c r="AD1351" s="217" t="s">
        <v>334</v>
      </c>
      <c r="AE1351" s="217" t="s">
        <v>334</v>
      </c>
    </row>
    <row r="1352" spans="28:31">
      <c r="AB1352" s="231" t="s">
        <v>1741</v>
      </c>
      <c r="AC1352" s="217" t="s">
        <v>333</v>
      </c>
      <c r="AD1352" s="217" t="s">
        <v>334</v>
      </c>
      <c r="AE1352" s="217" t="s">
        <v>334</v>
      </c>
    </row>
    <row r="1353" spans="28:31">
      <c r="AB1353" s="231" t="s">
        <v>1742</v>
      </c>
      <c r="AC1353" s="217" t="s">
        <v>333</v>
      </c>
      <c r="AD1353" s="217" t="s">
        <v>334</v>
      </c>
      <c r="AE1353" s="217" t="s">
        <v>334</v>
      </c>
    </row>
    <row r="1354" spans="28:31">
      <c r="AB1354" s="231" t="s">
        <v>1743</v>
      </c>
      <c r="AC1354" s="217" t="s">
        <v>333</v>
      </c>
      <c r="AD1354" s="217" t="s">
        <v>334</v>
      </c>
      <c r="AE1354" s="217" t="s">
        <v>334</v>
      </c>
    </row>
    <row r="1355" spans="28:31">
      <c r="AB1355" s="231" t="s">
        <v>1744</v>
      </c>
      <c r="AC1355" s="217" t="s">
        <v>333</v>
      </c>
      <c r="AD1355" s="217" t="s">
        <v>334</v>
      </c>
      <c r="AE1355" s="217" t="s">
        <v>334</v>
      </c>
    </row>
    <row r="1356" spans="28:31">
      <c r="AB1356" s="231" t="s">
        <v>1745</v>
      </c>
      <c r="AC1356" s="217" t="s">
        <v>333</v>
      </c>
      <c r="AD1356" s="217" t="s">
        <v>334</v>
      </c>
      <c r="AE1356" s="217" t="s">
        <v>334</v>
      </c>
    </row>
    <row r="1357" spans="28:31">
      <c r="AB1357" s="231" t="s">
        <v>1746</v>
      </c>
      <c r="AC1357" s="217" t="s">
        <v>333</v>
      </c>
      <c r="AD1357" s="217" t="s">
        <v>334</v>
      </c>
      <c r="AE1357" s="217" t="s">
        <v>334</v>
      </c>
    </row>
    <row r="1358" spans="28:31">
      <c r="AB1358" s="231" t="s">
        <v>1747</v>
      </c>
      <c r="AC1358" s="217" t="s">
        <v>333</v>
      </c>
      <c r="AD1358" s="217" t="s">
        <v>334</v>
      </c>
      <c r="AE1358" s="217" t="s">
        <v>334</v>
      </c>
    </row>
    <row r="1359" spans="28:31">
      <c r="AB1359" s="231" t="s">
        <v>1748</v>
      </c>
      <c r="AC1359" s="217" t="s">
        <v>333</v>
      </c>
      <c r="AD1359" s="217" t="s">
        <v>334</v>
      </c>
      <c r="AE1359" s="217" t="s">
        <v>334</v>
      </c>
    </row>
    <row r="1360" spans="28:31">
      <c r="AB1360" s="231" t="s">
        <v>1749</v>
      </c>
      <c r="AC1360" s="217" t="s">
        <v>333</v>
      </c>
      <c r="AD1360" s="217" t="s">
        <v>334</v>
      </c>
      <c r="AE1360" s="217" t="s">
        <v>334</v>
      </c>
    </row>
    <row r="1361" spans="28:31">
      <c r="AB1361" s="231" t="s">
        <v>1750</v>
      </c>
      <c r="AC1361" s="217" t="s">
        <v>333</v>
      </c>
      <c r="AD1361" s="217" t="s">
        <v>334</v>
      </c>
      <c r="AE1361" s="217" t="s">
        <v>334</v>
      </c>
    </row>
    <row r="1362" spans="28:31">
      <c r="AB1362" s="231" t="s">
        <v>1751</v>
      </c>
      <c r="AC1362" s="217" t="s">
        <v>333</v>
      </c>
      <c r="AD1362" s="217" t="s">
        <v>334</v>
      </c>
      <c r="AE1362" s="217" t="s">
        <v>334</v>
      </c>
    </row>
    <row r="1363" spans="28:31">
      <c r="AB1363" s="231" t="s">
        <v>1752</v>
      </c>
      <c r="AC1363" s="217" t="s">
        <v>333</v>
      </c>
      <c r="AD1363" s="217" t="s">
        <v>334</v>
      </c>
      <c r="AE1363" s="217" t="s">
        <v>334</v>
      </c>
    </row>
    <row r="1364" spans="28:31">
      <c r="AB1364" s="231" t="s">
        <v>1753</v>
      </c>
      <c r="AC1364" s="217" t="s">
        <v>333</v>
      </c>
      <c r="AD1364" s="217" t="s">
        <v>334</v>
      </c>
      <c r="AE1364" s="217" t="s">
        <v>334</v>
      </c>
    </row>
    <row r="1365" spans="28:31">
      <c r="AB1365" s="231" t="s">
        <v>1754</v>
      </c>
      <c r="AC1365" s="217" t="s">
        <v>333</v>
      </c>
      <c r="AD1365" s="217" t="s">
        <v>334</v>
      </c>
      <c r="AE1365" s="217" t="s">
        <v>334</v>
      </c>
    </row>
    <row r="1366" spans="28:31">
      <c r="AB1366" s="231" t="s">
        <v>1755</v>
      </c>
      <c r="AC1366" s="217" t="s">
        <v>333</v>
      </c>
      <c r="AD1366" s="217" t="s">
        <v>334</v>
      </c>
      <c r="AE1366" s="217" t="s">
        <v>334</v>
      </c>
    </row>
    <row r="1367" spans="28:31">
      <c r="AB1367" s="231" t="s">
        <v>1756</v>
      </c>
      <c r="AC1367" s="217" t="s">
        <v>333</v>
      </c>
      <c r="AD1367" s="217" t="s">
        <v>334</v>
      </c>
      <c r="AE1367" s="217" t="s">
        <v>334</v>
      </c>
    </row>
    <row r="1368" spans="28:31">
      <c r="AB1368" s="231" t="s">
        <v>1757</v>
      </c>
      <c r="AC1368" s="217" t="s">
        <v>333</v>
      </c>
      <c r="AD1368" s="217" t="s">
        <v>334</v>
      </c>
      <c r="AE1368" s="217" t="s">
        <v>334</v>
      </c>
    </row>
    <row r="1369" spans="28:31">
      <c r="AB1369" s="231" t="s">
        <v>1758</v>
      </c>
      <c r="AC1369" s="217" t="s">
        <v>333</v>
      </c>
      <c r="AD1369" s="217" t="s">
        <v>334</v>
      </c>
      <c r="AE1369" s="217" t="s">
        <v>334</v>
      </c>
    </row>
    <row r="1370" spans="28:31">
      <c r="AB1370" s="231" t="s">
        <v>1759</v>
      </c>
      <c r="AC1370" s="217" t="s">
        <v>333</v>
      </c>
      <c r="AD1370" s="217" t="s">
        <v>334</v>
      </c>
      <c r="AE1370" s="217" t="s">
        <v>334</v>
      </c>
    </row>
    <row r="1371" spans="28:31">
      <c r="AB1371" s="231" t="s">
        <v>1760</v>
      </c>
      <c r="AC1371" s="217" t="s">
        <v>333</v>
      </c>
      <c r="AD1371" s="217" t="s">
        <v>334</v>
      </c>
      <c r="AE1371" s="217" t="s">
        <v>334</v>
      </c>
    </row>
    <row r="1372" spans="28:31">
      <c r="AB1372" s="231" t="s">
        <v>1761</v>
      </c>
      <c r="AC1372" s="217" t="s">
        <v>333</v>
      </c>
      <c r="AD1372" s="217" t="s">
        <v>334</v>
      </c>
      <c r="AE1372" s="217" t="s">
        <v>334</v>
      </c>
    </row>
    <row r="1373" spans="28:31">
      <c r="AB1373" s="231" t="s">
        <v>1762</v>
      </c>
      <c r="AC1373" s="217" t="s">
        <v>333</v>
      </c>
      <c r="AD1373" s="217" t="s">
        <v>334</v>
      </c>
      <c r="AE1373" s="217" t="s">
        <v>334</v>
      </c>
    </row>
    <row r="1374" spans="28:31">
      <c r="AB1374" s="231" t="s">
        <v>1763</v>
      </c>
      <c r="AC1374" s="217" t="s">
        <v>333</v>
      </c>
      <c r="AD1374" s="217" t="s">
        <v>334</v>
      </c>
      <c r="AE1374" s="217" t="s">
        <v>334</v>
      </c>
    </row>
    <row r="1375" spans="28:31">
      <c r="AB1375" s="231" t="s">
        <v>1764</v>
      </c>
      <c r="AC1375" s="217" t="s">
        <v>333</v>
      </c>
      <c r="AD1375" s="217" t="s">
        <v>334</v>
      </c>
      <c r="AE1375" s="217" t="s">
        <v>334</v>
      </c>
    </row>
    <row r="1376" spans="28:31">
      <c r="AB1376" s="231" t="s">
        <v>1765</v>
      </c>
      <c r="AC1376" s="217" t="s">
        <v>333</v>
      </c>
      <c r="AD1376" s="217" t="s">
        <v>334</v>
      </c>
      <c r="AE1376" s="217" t="s">
        <v>334</v>
      </c>
    </row>
    <row r="1377" spans="28:31">
      <c r="AB1377" s="231" t="s">
        <v>1766</v>
      </c>
      <c r="AC1377" s="217" t="s">
        <v>333</v>
      </c>
      <c r="AD1377" s="217" t="s">
        <v>334</v>
      </c>
      <c r="AE1377" s="217" t="s">
        <v>334</v>
      </c>
    </row>
    <row r="1378" spans="28:31">
      <c r="AB1378" s="231" t="s">
        <v>1767</v>
      </c>
      <c r="AC1378" s="217" t="s">
        <v>333</v>
      </c>
      <c r="AD1378" s="217" t="s">
        <v>334</v>
      </c>
      <c r="AE1378" s="217" t="s">
        <v>334</v>
      </c>
    </row>
    <row r="1379" spans="28:31">
      <c r="AB1379" s="231" t="s">
        <v>1768</v>
      </c>
      <c r="AC1379" s="217" t="s">
        <v>333</v>
      </c>
      <c r="AD1379" s="217" t="s">
        <v>334</v>
      </c>
      <c r="AE1379" s="217" t="s">
        <v>334</v>
      </c>
    </row>
    <row r="1380" spans="28:31">
      <c r="AB1380" s="231" t="s">
        <v>1769</v>
      </c>
      <c r="AC1380" s="217" t="s">
        <v>333</v>
      </c>
      <c r="AD1380" s="217" t="s">
        <v>334</v>
      </c>
      <c r="AE1380" s="217" t="s">
        <v>334</v>
      </c>
    </row>
    <row r="1381" spans="28:31">
      <c r="AB1381" s="231" t="s">
        <v>1770</v>
      </c>
      <c r="AC1381" s="217" t="s">
        <v>333</v>
      </c>
      <c r="AD1381" s="217" t="s">
        <v>334</v>
      </c>
      <c r="AE1381" s="217" t="s">
        <v>334</v>
      </c>
    </row>
    <row r="1382" spans="28:31">
      <c r="AB1382" s="231" t="s">
        <v>1771</v>
      </c>
      <c r="AC1382" s="217" t="s">
        <v>333</v>
      </c>
      <c r="AD1382" s="217" t="s">
        <v>334</v>
      </c>
      <c r="AE1382" s="217" t="s">
        <v>334</v>
      </c>
    </row>
    <row r="1383" spans="28:31">
      <c r="AB1383" s="231" t="s">
        <v>1772</v>
      </c>
      <c r="AC1383" s="217" t="s">
        <v>333</v>
      </c>
      <c r="AD1383" s="217" t="s">
        <v>334</v>
      </c>
      <c r="AE1383" s="217" t="s">
        <v>334</v>
      </c>
    </row>
    <row r="1384" spans="28:31">
      <c r="AB1384" s="231" t="s">
        <v>1773</v>
      </c>
      <c r="AC1384" s="217" t="s">
        <v>333</v>
      </c>
      <c r="AD1384" s="217" t="s">
        <v>334</v>
      </c>
      <c r="AE1384" s="217" t="s">
        <v>334</v>
      </c>
    </row>
    <row r="1385" spans="28:31">
      <c r="AB1385" s="231" t="s">
        <v>1774</v>
      </c>
      <c r="AC1385" s="217" t="s">
        <v>333</v>
      </c>
      <c r="AD1385" s="217" t="s">
        <v>334</v>
      </c>
      <c r="AE1385" s="217" t="s">
        <v>334</v>
      </c>
    </row>
    <row r="1386" spans="28:31">
      <c r="AB1386" s="231" t="s">
        <v>1775</v>
      </c>
      <c r="AC1386" s="217" t="s">
        <v>333</v>
      </c>
      <c r="AD1386" s="217" t="s">
        <v>334</v>
      </c>
      <c r="AE1386" s="217" t="s">
        <v>334</v>
      </c>
    </row>
    <row r="1387" spans="28:31">
      <c r="AB1387" s="231" t="s">
        <v>1776</v>
      </c>
      <c r="AC1387" s="217" t="s">
        <v>333</v>
      </c>
      <c r="AD1387" s="217" t="s">
        <v>334</v>
      </c>
      <c r="AE1387" s="217" t="s">
        <v>334</v>
      </c>
    </row>
    <row r="1388" spans="28:31">
      <c r="AB1388" s="231" t="s">
        <v>1777</v>
      </c>
      <c r="AC1388" s="217" t="s">
        <v>333</v>
      </c>
      <c r="AD1388" s="217" t="s">
        <v>334</v>
      </c>
      <c r="AE1388" s="217" t="s">
        <v>334</v>
      </c>
    </row>
    <row r="1389" spans="28:31">
      <c r="AB1389" s="231" t="s">
        <v>1778</v>
      </c>
      <c r="AC1389" s="217" t="s">
        <v>333</v>
      </c>
      <c r="AD1389" s="217" t="s">
        <v>334</v>
      </c>
      <c r="AE1389" s="217" t="s">
        <v>334</v>
      </c>
    </row>
    <row r="1390" spans="28:31">
      <c r="AB1390" s="231" t="s">
        <v>1779</v>
      </c>
      <c r="AC1390" s="217" t="s">
        <v>333</v>
      </c>
      <c r="AD1390" s="217" t="s">
        <v>334</v>
      </c>
      <c r="AE1390" s="217" t="s">
        <v>334</v>
      </c>
    </row>
    <row r="1391" spans="28:31">
      <c r="AB1391" s="231" t="s">
        <v>1780</v>
      </c>
      <c r="AC1391" s="217" t="s">
        <v>333</v>
      </c>
      <c r="AD1391" s="217" t="s">
        <v>334</v>
      </c>
      <c r="AE1391" s="217" t="s">
        <v>334</v>
      </c>
    </row>
    <row r="1392" spans="28:31">
      <c r="AB1392" s="231" t="s">
        <v>1781</v>
      </c>
      <c r="AC1392" s="217" t="s">
        <v>333</v>
      </c>
      <c r="AD1392" s="217" t="s">
        <v>334</v>
      </c>
      <c r="AE1392" s="217" t="s">
        <v>334</v>
      </c>
    </row>
    <row r="1393" spans="28:31">
      <c r="AB1393" s="231" t="s">
        <v>1782</v>
      </c>
      <c r="AC1393" s="217" t="s">
        <v>333</v>
      </c>
      <c r="AD1393" s="217" t="s">
        <v>334</v>
      </c>
      <c r="AE1393" s="217" t="s">
        <v>334</v>
      </c>
    </row>
    <row r="1394" spans="28:31">
      <c r="AB1394" s="231" t="s">
        <v>1783</v>
      </c>
      <c r="AC1394" s="217" t="s">
        <v>333</v>
      </c>
      <c r="AD1394" s="217" t="s">
        <v>334</v>
      </c>
      <c r="AE1394" s="217" t="s">
        <v>334</v>
      </c>
    </row>
    <row r="1395" spans="28:31">
      <c r="AB1395" s="231" t="s">
        <v>1784</v>
      </c>
      <c r="AC1395" s="217" t="s">
        <v>333</v>
      </c>
      <c r="AD1395" s="217" t="s">
        <v>334</v>
      </c>
      <c r="AE1395" s="217" t="s">
        <v>334</v>
      </c>
    </row>
    <row r="1396" spans="28:31">
      <c r="AB1396" s="231" t="s">
        <v>1785</v>
      </c>
      <c r="AC1396" s="217" t="s">
        <v>333</v>
      </c>
      <c r="AD1396" s="217" t="s">
        <v>334</v>
      </c>
      <c r="AE1396" s="217" t="s">
        <v>334</v>
      </c>
    </row>
    <row r="1397" spans="28:31">
      <c r="AB1397" s="231" t="s">
        <v>1786</v>
      </c>
      <c r="AC1397" s="217" t="s">
        <v>333</v>
      </c>
      <c r="AD1397" s="217" t="s">
        <v>334</v>
      </c>
      <c r="AE1397" s="217" t="s">
        <v>334</v>
      </c>
    </row>
    <row r="1398" spans="28:31">
      <c r="AB1398" s="231" t="s">
        <v>1787</v>
      </c>
      <c r="AC1398" s="217" t="s">
        <v>333</v>
      </c>
      <c r="AD1398" s="217" t="s">
        <v>334</v>
      </c>
      <c r="AE1398" s="217" t="s">
        <v>334</v>
      </c>
    </row>
    <row r="1399" spans="28:31">
      <c r="AB1399" s="231" t="s">
        <v>1788</v>
      </c>
      <c r="AC1399" s="217" t="s">
        <v>333</v>
      </c>
      <c r="AD1399" s="217" t="s">
        <v>334</v>
      </c>
      <c r="AE1399" s="217" t="s">
        <v>334</v>
      </c>
    </row>
    <row r="1400" spans="28:31">
      <c r="AB1400" s="231" t="s">
        <v>1789</v>
      </c>
      <c r="AC1400" s="217" t="s">
        <v>333</v>
      </c>
      <c r="AD1400" s="217" t="s">
        <v>334</v>
      </c>
      <c r="AE1400" s="217" t="s">
        <v>334</v>
      </c>
    </row>
    <row r="1401" spans="28:31">
      <c r="AB1401" s="231" t="s">
        <v>1790</v>
      </c>
      <c r="AC1401" s="217" t="s">
        <v>333</v>
      </c>
      <c r="AD1401" s="217" t="s">
        <v>334</v>
      </c>
      <c r="AE1401" s="217" t="s">
        <v>334</v>
      </c>
    </row>
    <row r="1402" spans="28:31">
      <c r="AB1402" s="231" t="s">
        <v>1791</v>
      </c>
      <c r="AC1402" s="217" t="s">
        <v>333</v>
      </c>
      <c r="AD1402" s="217" t="s">
        <v>334</v>
      </c>
      <c r="AE1402" s="217" t="s">
        <v>334</v>
      </c>
    </row>
    <row r="1403" spans="28:31">
      <c r="AB1403" s="231" t="s">
        <v>1792</v>
      </c>
      <c r="AC1403" s="217" t="s">
        <v>333</v>
      </c>
      <c r="AD1403" s="217" t="s">
        <v>334</v>
      </c>
      <c r="AE1403" s="217" t="s">
        <v>334</v>
      </c>
    </row>
    <row r="1404" spans="28:31">
      <c r="AB1404" s="231" t="s">
        <v>1793</v>
      </c>
      <c r="AC1404" s="217" t="s">
        <v>333</v>
      </c>
      <c r="AD1404" s="217" t="s">
        <v>334</v>
      </c>
      <c r="AE1404" s="217" t="s">
        <v>334</v>
      </c>
    </row>
    <row r="1405" spans="28:31">
      <c r="AB1405" s="231" t="s">
        <v>1794</v>
      </c>
      <c r="AC1405" s="217" t="s">
        <v>333</v>
      </c>
      <c r="AD1405" s="217" t="s">
        <v>334</v>
      </c>
      <c r="AE1405" s="217" t="s">
        <v>334</v>
      </c>
    </row>
    <row r="1406" spans="28:31">
      <c r="AB1406" s="231" t="s">
        <v>1795</v>
      </c>
      <c r="AC1406" s="217" t="s">
        <v>333</v>
      </c>
      <c r="AD1406" s="217" t="s">
        <v>334</v>
      </c>
      <c r="AE1406" s="217" t="s">
        <v>334</v>
      </c>
    </row>
    <row r="1407" spans="28:31">
      <c r="AB1407" s="231" t="s">
        <v>1796</v>
      </c>
      <c r="AC1407" s="217" t="s">
        <v>333</v>
      </c>
      <c r="AD1407" s="217" t="s">
        <v>334</v>
      </c>
      <c r="AE1407" s="217" t="s">
        <v>334</v>
      </c>
    </row>
    <row r="1408" spans="28:31">
      <c r="AB1408" s="231" t="s">
        <v>1797</v>
      </c>
      <c r="AC1408" s="217" t="s">
        <v>333</v>
      </c>
      <c r="AD1408" s="217" t="s">
        <v>334</v>
      </c>
      <c r="AE1408" s="217" t="s">
        <v>334</v>
      </c>
    </row>
    <row r="1409" spans="28:31">
      <c r="AB1409" s="231" t="s">
        <v>1798</v>
      </c>
      <c r="AC1409" s="217" t="s">
        <v>333</v>
      </c>
      <c r="AD1409" s="217" t="s">
        <v>334</v>
      </c>
      <c r="AE1409" s="217" t="s">
        <v>334</v>
      </c>
    </row>
    <row r="1410" spans="28:31">
      <c r="AB1410" s="231" t="s">
        <v>1799</v>
      </c>
      <c r="AC1410" s="217" t="s">
        <v>333</v>
      </c>
      <c r="AD1410" s="217" t="s">
        <v>334</v>
      </c>
      <c r="AE1410" s="217" t="s">
        <v>334</v>
      </c>
    </row>
    <row r="1411" spans="28:31">
      <c r="AB1411" s="231" t="s">
        <v>1800</v>
      </c>
      <c r="AC1411" s="217" t="s">
        <v>333</v>
      </c>
      <c r="AD1411" s="217" t="s">
        <v>334</v>
      </c>
      <c r="AE1411" s="217" t="s">
        <v>334</v>
      </c>
    </row>
    <row r="1412" spans="28:31">
      <c r="AB1412" s="231" t="s">
        <v>1801</v>
      </c>
      <c r="AC1412" s="217" t="s">
        <v>333</v>
      </c>
      <c r="AD1412" s="217" t="s">
        <v>334</v>
      </c>
      <c r="AE1412" s="217" t="s">
        <v>334</v>
      </c>
    </row>
    <row r="1413" spans="28:31">
      <c r="AB1413" s="231" t="s">
        <v>1802</v>
      </c>
      <c r="AC1413" s="217" t="s">
        <v>333</v>
      </c>
      <c r="AD1413" s="217" t="s">
        <v>334</v>
      </c>
      <c r="AE1413" s="217" t="s">
        <v>334</v>
      </c>
    </row>
    <row r="1414" spans="28:31">
      <c r="AB1414" s="231" t="s">
        <v>1803</v>
      </c>
      <c r="AC1414" s="217" t="s">
        <v>333</v>
      </c>
      <c r="AD1414" s="217" t="s">
        <v>334</v>
      </c>
      <c r="AE1414" s="217" t="s">
        <v>334</v>
      </c>
    </row>
    <row r="1415" spans="28:31">
      <c r="AB1415" s="231" t="s">
        <v>1804</v>
      </c>
      <c r="AC1415" s="217" t="s">
        <v>333</v>
      </c>
      <c r="AD1415" s="217" t="s">
        <v>334</v>
      </c>
      <c r="AE1415" s="217" t="s">
        <v>334</v>
      </c>
    </row>
    <row r="1416" spans="28:31">
      <c r="AB1416" s="231" t="s">
        <v>1805</v>
      </c>
      <c r="AC1416" s="217" t="s">
        <v>333</v>
      </c>
      <c r="AD1416" s="217" t="s">
        <v>334</v>
      </c>
      <c r="AE1416" s="217" t="s">
        <v>334</v>
      </c>
    </row>
    <row r="1417" spans="28:31">
      <c r="AB1417" s="231" t="s">
        <v>1806</v>
      </c>
      <c r="AC1417" s="217" t="s">
        <v>333</v>
      </c>
      <c r="AD1417" s="217" t="s">
        <v>334</v>
      </c>
      <c r="AE1417" s="217" t="s">
        <v>334</v>
      </c>
    </row>
    <row r="1418" spans="28:31">
      <c r="AB1418" s="231" t="s">
        <v>1807</v>
      </c>
      <c r="AC1418" s="217" t="s">
        <v>333</v>
      </c>
      <c r="AD1418" s="217" t="s">
        <v>334</v>
      </c>
      <c r="AE1418" s="217" t="s">
        <v>334</v>
      </c>
    </row>
    <row r="1419" spans="28:31">
      <c r="AB1419" s="231" t="s">
        <v>1808</v>
      </c>
      <c r="AC1419" s="217" t="s">
        <v>333</v>
      </c>
      <c r="AD1419" s="217" t="s">
        <v>334</v>
      </c>
      <c r="AE1419" s="217" t="s">
        <v>334</v>
      </c>
    </row>
    <row r="1420" spans="28:31">
      <c r="AB1420" s="231" t="s">
        <v>1809</v>
      </c>
      <c r="AC1420" s="217" t="s">
        <v>333</v>
      </c>
      <c r="AD1420" s="217" t="s">
        <v>334</v>
      </c>
      <c r="AE1420" s="217" t="s">
        <v>334</v>
      </c>
    </row>
    <row r="1421" spans="28:31">
      <c r="AB1421" s="231" t="s">
        <v>1810</v>
      </c>
      <c r="AC1421" s="217" t="s">
        <v>333</v>
      </c>
      <c r="AD1421" s="217" t="s">
        <v>334</v>
      </c>
      <c r="AE1421" s="217" t="s">
        <v>334</v>
      </c>
    </row>
    <row r="1422" spans="28:31">
      <c r="AB1422" s="231" t="s">
        <v>1811</v>
      </c>
      <c r="AC1422" s="217" t="s">
        <v>333</v>
      </c>
      <c r="AD1422" s="217" t="s">
        <v>334</v>
      </c>
      <c r="AE1422" s="217" t="s">
        <v>334</v>
      </c>
    </row>
    <row r="1423" spans="28:31">
      <c r="AB1423" s="231" t="s">
        <v>1812</v>
      </c>
      <c r="AC1423" s="217" t="s">
        <v>333</v>
      </c>
      <c r="AD1423" s="217" t="s">
        <v>334</v>
      </c>
      <c r="AE1423" s="217" t="s">
        <v>334</v>
      </c>
    </row>
    <row r="1424" spans="28:31">
      <c r="AB1424" s="231" t="s">
        <v>1813</v>
      </c>
      <c r="AC1424" s="217" t="s">
        <v>333</v>
      </c>
      <c r="AD1424" s="217" t="s">
        <v>334</v>
      </c>
      <c r="AE1424" s="217" t="s">
        <v>334</v>
      </c>
    </row>
    <row r="1425" spans="28:31">
      <c r="AB1425" s="231" t="s">
        <v>1814</v>
      </c>
      <c r="AC1425" s="217" t="s">
        <v>333</v>
      </c>
      <c r="AD1425" s="217" t="s">
        <v>334</v>
      </c>
      <c r="AE1425" s="217" t="s">
        <v>334</v>
      </c>
    </row>
    <row r="1426" spans="28:31">
      <c r="AB1426" s="231" t="s">
        <v>1815</v>
      </c>
      <c r="AC1426" s="217" t="s">
        <v>333</v>
      </c>
      <c r="AD1426" s="217" t="s">
        <v>334</v>
      </c>
      <c r="AE1426" s="217" t="s">
        <v>334</v>
      </c>
    </row>
    <row r="1427" spans="28:31">
      <c r="AB1427" s="231" t="s">
        <v>1816</v>
      </c>
      <c r="AC1427" s="217" t="s">
        <v>333</v>
      </c>
      <c r="AD1427" s="217" t="s">
        <v>334</v>
      </c>
      <c r="AE1427" s="217" t="s">
        <v>334</v>
      </c>
    </row>
    <row r="1428" spans="28:31">
      <c r="AB1428" s="231" t="s">
        <v>1817</v>
      </c>
      <c r="AC1428" s="217" t="s">
        <v>333</v>
      </c>
      <c r="AD1428" s="217" t="s">
        <v>334</v>
      </c>
      <c r="AE1428" s="217" t="s">
        <v>334</v>
      </c>
    </row>
    <row r="1429" spans="28:31">
      <c r="AB1429" s="231" t="s">
        <v>1818</v>
      </c>
      <c r="AC1429" s="217" t="s">
        <v>333</v>
      </c>
      <c r="AD1429" s="217" t="s">
        <v>334</v>
      </c>
      <c r="AE1429" s="217" t="s">
        <v>334</v>
      </c>
    </row>
    <row r="1430" spans="28:31">
      <c r="AB1430" s="231" t="s">
        <v>1819</v>
      </c>
      <c r="AC1430" s="217" t="s">
        <v>333</v>
      </c>
      <c r="AD1430" s="217" t="s">
        <v>334</v>
      </c>
      <c r="AE1430" s="217" t="s">
        <v>334</v>
      </c>
    </row>
    <row r="1431" spans="28:31">
      <c r="AB1431" s="231" t="s">
        <v>1820</v>
      </c>
      <c r="AC1431" s="217" t="s">
        <v>333</v>
      </c>
      <c r="AD1431" s="217" t="s">
        <v>334</v>
      </c>
      <c r="AE1431" s="217" t="s">
        <v>334</v>
      </c>
    </row>
    <row r="1432" spans="28:31">
      <c r="AB1432" s="231" t="s">
        <v>1821</v>
      </c>
      <c r="AC1432" s="217" t="s">
        <v>333</v>
      </c>
      <c r="AD1432" s="217" t="s">
        <v>334</v>
      </c>
      <c r="AE1432" s="217" t="s">
        <v>334</v>
      </c>
    </row>
    <row r="1433" spans="28:31">
      <c r="AB1433" s="231" t="s">
        <v>1822</v>
      </c>
      <c r="AC1433" s="217" t="s">
        <v>333</v>
      </c>
      <c r="AD1433" s="217" t="s">
        <v>334</v>
      </c>
      <c r="AE1433" s="217" t="s">
        <v>334</v>
      </c>
    </row>
    <row r="1434" spans="28:31">
      <c r="AB1434" s="231" t="s">
        <v>1823</v>
      </c>
      <c r="AC1434" s="217" t="s">
        <v>333</v>
      </c>
      <c r="AD1434" s="217" t="s">
        <v>334</v>
      </c>
      <c r="AE1434" s="217" t="s">
        <v>334</v>
      </c>
    </row>
    <row r="1435" spans="28:31">
      <c r="AB1435" s="231" t="s">
        <v>1824</v>
      </c>
      <c r="AC1435" s="217" t="s">
        <v>333</v>
      </c>
      <c r="AD1435" s="217" t="s">
        <v>334</v>
      </c>
      <c r="AE1435" s="217" t="s">
        <v>334</v>
      </c>
    </row>
    <row r="1436" spans="28:31">
      <c r="AB1436" s="231" t="s">
        <v>1825</v>
      </c>
      <c r="AC1436" s="217" t="s">
        <v>333</v>
      </c>
      <c r="AD1436" s="217" t="s">
        <v>334</v>
      </c>
      <c r="AE1436" s="217" t="s">
        <v>334</v>
      </c>
    </row>
    <row r="1437" spans="28:31">
      <c r="AB1437" s="231" t="s">
        <v>1826</v>
      </c>
      <c r="AC1437" s="217" t="s">
        <v>333</v>
      </c>
      <c r="AD1437" s="217" t="s">
        <v>334</v>
      </c>
      <c r="AE1437" s="217" t="s">
        <v>334</v>
      </c>
    </row>
    <row r="1438" spans="28:31">
      <c r="AB1438" s="231" t="s">
        <v>1827</v>
      </c>
      <c r="AC1438" s="217" t="s">
        <v>333</v>
      </c>
      <c r="AD1438" s="217" t="s">
        <v>334</v>
      </c>
      <c r="AE1438" s="217" t="s">
        <v>334</v>
      </c>
    </row>
    <row r="1439" spans="28:31">
      <c r="AB1439" s="231" t="s">
        <v>1828</v>
      </c>
      <c r="AC1439" s="217" t="s">
        <v>333</v>
      </c>
      <c r="AD1439" s="217" t="s">
        <v>334</v>
      </c>
      <c r="AE1439" s="217" t="s">
        <v>334</v>
      </c>
    </row>
    <row r="1440" spans="28:31">
      <c r="AB1440" s="231" t="s">
        <v>1829</v>
      </c>
      <c r="AC1440" s="217" t="s">
        <v>333</v>
      </c>
      <c r="AD1440" s="217" t="s">
        <v>334</v>
      </c>
      <c r="AE1440" s="217" t="s">
        <v>334</v>
      </c>
    </row>
    <row r="1441" spans="28:31">
      <c r="AB1441" s="231" t="s">
        <v>1830</v>
      </c>
      <c r="AC1441" s="217" t="s">
        <v>333</v>
      </c>
      <c r="AD1441" s="217" t="s">
        <v>334</v>
      </c>
      <c r="AE1441" s="217" t="s">
        <v>334</v>
      </c>
    </row>
    <row r="1442" spans="28:31">
      <c r="AB1442" s="231" t="s">
        <v>1831</v>
      </c>
      <c r="AC1442" s="217" t="s">
        <v>333</v>
      </c>
      <c r="AD1442" s="217" t="s">
        <v>334</v>
      </c>
      <c r="AE1442" s="217" t="s">
        <v>334</v>
      </c>
    </row>
    <row r="1443" spans="28:31">
      <c r="AB1443" s="231" t="s">
        <v>1832</v>
      </c>
      <c r="AC1443" s="217" t="s">
        <v>333</v>
      </c>
      <c r="AD1443" s="217" t="s">
        <v>334</v>
      </c>
      <c r="AE1443" s="217" t="s">
        <v>334</v>
      </c>
    </row>
    <row r="1444" spans="28:31">
      <c r="AB1444" s="231" t="s">
        <v>1833</v>
      </c>
      <c r="AC1444" s="217" t="s">
        <v>333</v>
      </c>
      <c r="AD1444" s="217" t="s">
        <v>334</v>
      </c>
      <c r="AE1444" s="217" t="s">
        <v>334</v>
      </c>
    </row>
    <row r="1445" spans="28:31">
      <c r="AB1445" s="231" t="s">
        <v>1834</v>
      </c>
      <c r="AC1445" s="217" t="s">
        <v>333</v>
      </c>
      <c r="AD1445" s="217" t="s">
        <v>334</v>
      </c>
      <c r="AE1445" s="217" t="s">
        <v>334</v>
      </c>
    </row>
    <row r="1446" spans="28:31">
      <c r="AB1446" s="231" t="s">
        <v>1835</v>
      </c>
      <c r="AC1446" s="217" t="s">
        <v>333</v>
      </c>
      <c r="AD1446" s="217" t="s">
        <v>334</v>
      </c>
      <c r="AE1446" s="217" t="s">
        <v>334</v>
      </c>
    </row>
    <row r="1447" spans="28:31">
      <c r="AB1447" s="231" t="s">
        <v>1836</v>
      </c>
      <c r="AC1447" s="217" t="s">
        <v>333</v>
      </c>
      <c r="AD1447" s="217" t="s">
        <v>334</v>
      </c>
      <c r="AE1447" s="217" t="s">
        <v>334</v>
      </c>
    </row>
    <row r="1448" spans="28:31">
      <c r="AB1448" s="231" t="s">
        <v>1837</v>
      </c>
      <c r="AC1448" s="217" t="s">
        <v>333</v>
      </c>
      <c r="AD1448" s="217" t="s">
        <v>334</v>
      </c>
      <c r="AE1448" s="217" t="s">
        <v>334</v>
      </c>
    </row>
    <row r="1449" spans="28:31">
      <c r="AB1449" s="231" t="s">
        <v>1838</v>
      </c>
      <c r="AC1449" s="217" t="s">
        <v>333</v>
      </c>
      <c r="AD1449" s="217" t="s">
        <v>334</v>
      </c>
      <c r="AE1449" s="217" t="s">
        <v>334</v>
      </c>
    </row>
    <row r="1450" spans="28:31">
      <c r="AB1450" s="231" t="s">
        <v>1839</v>
      </c>
      <c r="AC1450" s="217" t="s">
        <v>333</v>
      </c>
      <c r="AD1450" s="217" t="s">
        <v>334</v>
      </c>
      <c r="AE1450" s="217" t="s">
        <v>334</v>
      </c>
    </row>
    <row r="1451" spans="28:31">
      <c r="AB1451" s="231" t="s">
        <v>1840</v>
      </c>
      <c r="AC1451" s="217" t="s">
        <v>333</v>
      </c>
      <c r="AD1451" s="217" t="s">
        <v>334</v>
      </c>
      <c r="AE1451" s="217" t="s">
        <v>334</v>
      </c>
    </row>
    <row r="1452" spans="28:31">
      <c r="AB1452" s="231" t="s">
        <v>1841</v>
      </c>
      <c r="AC1452" s="217" t="s">
        <v>333</v>
      </c>
      <c r="AD1452" s="217" t="s">
        <v>334</v>
      </c>
      <c r="AE1452" s="217" t="s">
        <v>334</v>
      </c>
    </row>
    <row r="1453" spans="28:31">
      <c r="AB1453" s="231" t="s">
        <v>1842</v>
      </c>
      <c r="AC1453" s="217" t="s">
        <v>333</v>
      </c>
      <c r="AD1453" s="217" t="s">
        <v>334</v>
      </c>
      <c r="AE1453" s="217" t="s">
        <v>334</v>
      </c>
    </row>
    <row r="1454" spans="28:31">
      <c r="AB1454" s="231" t="s">
        <v>1843</v>
      </c>
      <c r="AC1454" s="217" t="s">
        <v>333</v>
      </c>
      <c r="AD1454" s="217" t="s">
        <v>334</v>
      </c>
      <c r="AE1454" s="217" t="s">
        <v>334</v>
      </c>
    </row>
    <row r="1455" spans="28:31">
      <c r="AB1455" s="231" t="s">
        <v>1844</v>
      </c>
      <c r="AC1455" s="217" t="s">
        <v>333</v>
      </c>
      <c r="AD1455" s="217" t="s">
        <v>334</v>
      </c>
      <c r="AE1455" s="217" t="s">
        <v>334</v>
      </c>
    </row>
    <row r="1456" spans="28:31">
      <c r="AB1456" s="231" t="s">
        <v>1845</v>
      </c>
      <c r="AC1456" s="217" t="s">
        <v>333</v>
      </c>
      <c r="AD1456" s="217" t="s">
        <v>334</v>
      </c>
      <c r="AE1456" s="217" t="s">
        <v>334</v>
      </c>
    </row>
    <row r="1457" spans="28:31">
      <c r="AB1457" s="231" t="s">
        <v>1846</v>
      </c>
      <c r="AC1457" s="217" t="s">
        <v>333</v>
      </c>
      <c r="AD1457" s="217" t="s">
        <v>334</v>
      </c>
      <c r="AE1457" s="217" t="s">
        <v>334</v>
      </c>
    </row>
    <row r="1458" spans="28:31">
      <c r="AB1458" s="231" t="s">
        <v>1847</v>
      </c>
      <c r="AC1458" s="217" t="s">
        <v>333</v>
      </c>
      <c r="AD1458" s="217" t="s">
        <v>334</v>
      </c>
      <c r="AE1458" s="217" t="s">
        <v>334</v>
      </c>
    </row>
    <row r="1459" spans="28:31">
      <c r="AB1459" s="231" t="s">
        <v>1848</v>
      </c>
      <c r="AC1459" s="217" t="s">
        <v>333</v>
      </c>
      <c r="AD1459" s="217" t="s">
        <v>334</v>
      </c>
      <c r="AE1459" s="217" t="s">
        <v>334</v>
      </c>
    </row>
    <row r="1460" spans="28:31">
      <c r="AB1460" s="231" t="s">
        <v>1849</v>
      </c>
      <c r="AC1460" s="217" t="s">
        <v>333</v>
      </c>
      <c r="AD1460" s="217" t="s">
        <v>334</v>
      </c>
      <c r="AE1460" s="217" t="s">
        <v>334</v>
      </c>
    </row>
    <row r="1461" spans="28:31">
      <c r="AB1461" s="231" t="s">
        <v>1850</v>
      </c>
      <c r="AC1461" s="217" t="s">
        <v>333</v>
      </c>
      <c r="AD1461" s="217" t="s">
        <v>334</v>
      </c>
      <c r="AE1461" s="217" t="s">
        <v>334</v>
      </c>
    </row>
    <row r="1462" spans="28:31">
      <c r="AB1462" s="231" t="s">
        <v>1851</v>
      </c>
      <c r="AC1462" s="217" t="s">
        <v>333</v>
      </c>
      <c r="AD1462" s="217" t="s">
        <v>334</v>
      </c>
      <c r="AE1462" s="217" t="s">
        <v>334</v>
      </c>
    </row>
    <row r="1463" spans="28:31">
      <c r="AB1463" s="231" t="s">
        <v>1852</v>
      </c>
      <c r="AC1463" s="217" t="s">
        <v>333</v>
      </c>
      <c r="AD1463" s="217" t="s">
        <v>334</v>
      </c>
      <c r="AE1463" s="217" t="s">
        <v>334</v>
      </c>
    </row>
    <row r="1464" spans="28:31">
      <c r="AB1464" s="231" t="s">
        <v>1853</v>
      </c>
      <c r="AC1464" s="217" t="s">
        <v>333</v>
      </c>
      <c r="AD1464" s="217" t="s">
        <v>334</v>
      </c>
      <c r="AE1464" s="217" t="s">
        <v>334</v>
      </c>
    </row>
    <row r="1465" spans="28:31">
      <c r="AB1465" s="231" t="s">
        <v>1854</v>
      </c>
      <c r="AC1465" s="217" t="s">
        <v>333</v>
      </c>
      <c r="AD1465" s="217" t="s">
        <v>334</v>
      </c>
      <c r="AE1465" s="217" t="s">
        <v>334</v>
      </c>
    </row>
    <row r="1466" spans="28:31">
      <c r="AB1466" s="231" t="s">
        <v>1855</v>
      </c>
      <c r="AC1466" s="217" t="s">
        <v>333</v>
      </c>
      <c r="AD1466" s="217" t="s">
        <v>334</v>
      </c>
      <c r="AE1466" s="217" t="s">
        <v>334</v>
      </c>
    </row>
    <row r="1467" spans="28:31">
      <c r="AB1467" s="231" t="s">
        <v>1856</v>
      </c>
      <c r="AC1467" s="217" t="s">
        <v>333</v>
      </c>
      <c r="AD1467" s="217" t="s">
        <v>334</v>
      </c>
      <c r="AE1467" s="217" t="s">
        <v>334</v>
      </c>
    </row>
    <row r="1468" spans="28:31">
      <c r="AB1468" s="231" t="s">
        <v>1857</v>
      </c>
      <c r="AC1468" s="217" t="s">
        <v>333</v>
      </c>
      <c r="AD1468" s="217" t="s">
        <v>334</v>
      </c>
      <c r="AE1468" s="217" t="s">
        <v>334</v>
      </c>
    </row>
    <row r="1469" spans="28:31">
      <c r="AB1469" s="231" t="s">
        <v>1858</v>
      </c>
      <c r="AC1469" s="217" t="s">
        <v>333</v>
      </c>
      <c r="AD1469" s="217" t="s">
        <v>334</v>
      </c>
      <c r="AE1469" s="217" t="s">
        <v>334</v>
      </c>
    </row>
    <row r="1470" spans="28:31">
      <c r="AB1470" s="231" t="s">
        <v>1859</v>
      </c>
      <c r="AC1470" s="217" t="s">
        <v>333</v>
      </c>
      <c r="AD1470" s="217" t="s">
        <v>334</v>
      </c>
      <c r="AE1470" s="217" t="s">
        <v>334</v>
      </c>
    </row>
    <row r="1471" spans="28:31">
      <c r="AB1471" s="231" t="s">
        <v>1860</v>
      </c>
      <c r="AC1471" s="217" t="s">
        <v>333</v>
      </c>
      <c r="AD1471" s="217" t="s">
        <v>334</v>
      </c>
      <c r="AE1471" s="217" t="s">
        <v>334</v>
      </c>
    </row>
    <row r="1472" spans="28:31">
      <c r="AB1472" s="231" t="s">
        <v>1861</v>
      </c>
      <c r="AC1472" s="217" t="s">
        <v>333</v>
      </c>
      <c r="AD1472" s="217" t="s">
        <v>334</v>
      </c>
      <c r="AE1472" s="217" t="s">
        <v>334</v>
      </c>
    </row>
    <row r="1473" spans="28:31">
      <c r="AB1473" s="231" t="s">
        <v>1862</v>
      </c>
      <c r="AC1473" s="217" t="s">
        <v>333</v>
      </c>
      <c r="AD1473" s="217" t="s">
        <v>334</v>
      </c>
      <c r="AE1473" s="217" t="s">
        <v>334</v>
      </c>
    </row>
    <row r="1474" spans="28:31">
      <c r="AB1474" s="231" t="s">
        <v>1863</v>
      </c>
      <c r="AC1474" s="217" t="s">
        <v>333</v>
      </c>
      <c r="AD1474" s="217" t="s">
        <v>334</v>
      </c>
      <c r="AE1474" s="217" t="s">
        <v>334</v>
      </c>
    </row>
    <row r="1475" spans="28:31">
      <c r="AB1475" s="231" t="s">
        <v>1864</v>
      </c>
      <c r="AC1475" s="217" t="s">
        <v>333</v>
      </c>
      <c r="AD1475" s="217" t="s">
        <v>334</v>
      </c>
      <c r="AE1475" s="217" t="s">
        <v>334</v>
      </c>
    </row>
    <row r="1476" spans="28:31">
      <c r="AB1476" s="231" t="s">
        <v>1865</v>
      </c>
      <c r="AC1476" s="217" t="s">
        <v>333</v>
      </c>
      <c r="AD1476" s="217" t="s">
        <v>334</v>
      </c>
      <c r="AE1476" s="217" t="s">
        <v>334</v>
      </c>
    </row>
    <row r="1477" spans="28:31">
      <c r="AB1477" s="231" t="s">
        <v>1866</v>
      </c>
      <c r="AC1477" s="217" t="s">
        <v>333</v>
      </c>
      <c r="AD1477" s="217" t="s">
        <v>334</v>
      </c>
      <c r="AE1477" s="217" t="s">
        <v>334</v>
      </c>
    </row>
    <row r="1478" spans="28:31">
      <c r="AB1478" s="231" t="s">
        <v>1867</v>
      </c>
      <c r="AC1478" s="217" t="s">
        <v>333</v>
      </c>
      <c r="AD1478" s="217" t="s">
        <v>334</v>
      </c>
      <c r="AE1478" s="217" t="s">
        <v>334</v>
      </c>
    </row>
    <row r="1479" spans="28:31">
      <c r="AB1479" s="231" t="s">
        <v>1868</v>
      </c>
      <c r="AC1479" s="217" t="s">
        <v>333</v>
      </c>
      <c r="AD1479" s="217" t="s">
        <v>334</v>
      </c>
      <c r="AE1479" s="217" t="s">
        <v>334</v>
      </c>
    </row>
    <row r="1480" spans="28:31">
      <c r="AB1480" s="231" t="s">
        <v>1869</v>
      </c>
      <c r="AC1480" s="217" t="s">
        <v>333</v>
      </c>
      <c r="AD1480" s="217" t="s">
        <v>334</v>
      </c>
      <c r="AE1480" s="217" t="s">
        <v>334</v>
      </c>
    </row>
    <row r="1481" spans="28:31">
      <c r="AB1481" s="231" t="s">
        <v>1870</v>
      </c>
      <c r="AC1481" s="217" t="s">
        <v>333</v>
      </c>
      <c r="AD1481" s="217" t="s">
        <v>334</v>
      </c>
      <c r="AE1481" s="217" t="s">
        <v>334</v>
      </c>
    </row>
    <row r="1482" spans="28:31">
      <c r="AB1482" s="231" t="s">
        <v>1871</v>
      </c>
      <c r="AC1482" s="217" t="s">
        <v>333</v>
      </c>
      <c r="AD1482" s="217" t="s">
        <v>334</v>
      </c>
      <c r="AE1482" s="217" t="s">
        <v>334</v>
      </c>
    </row>
    <row r="1483" spans="28:31">
      <c r="AB1483" s="231" t="s">
        <v>1872</v>
      </c>
      <c r="AC1483" s="217" t="s">
        <v>333</v>
      </c>
      <c r="AD1483" s="217" t="s">
        <v>334</v>
      </c>
      <c r="AE1483" s="217" t="s">
        <v>334</v>
      </c>
    </row>
    <row r="1484" spans="28:31">
      <c r="AB1484" s="231" t="s">
        <v>1873</v>
      </c>
      <c r="AC1484" s="217" t="s">
        <v>333</v>
      </c>
      <c r="AD1484" s="217" t="s">
        <v>334</v>
      </c>
      <c r="AE1484" s="217" t="s">
        <v>334</v>
      </c>
    </row>
    <row r="1485" spans="28:31">
      <c r="AB1485" s="231" t="s">
        <v>1874</v>
      </c>
      <c r="AC1485" s="217" t="s">
        <v>333</v>
      </c>
      <c r="AD1485" s="217" t="s">
        <v>334</v>
      </c>
      <c r="AE1485" s="217" t="s">
        <v>334</v>
      </c>
    </row>
    <row r="1486" spans="28:31">
      <c r="AB1486" s="231" t="s">
        <v>1875</v>
      </c>
      <c r="AC1486" s="217" t="s">
        <v>333</v>
      </c>
      <c r="AD1486" s="217" t="s">
        <v>334</v>
      </c>
      <c r="AE1486" s="217" t="s">
        <v>334</v>
      </c>
    </row>
    <row r="1487" spans="28:31">
      <c r="AB1487" s="231" t="s">
        <v>1876</v>
      </c>
      <c r="AC1487" s="217" t="s">
        <v>333</v>
      </c>
      <c r="AD1487" s="217" t="s">
        <v>334</v>
      </c>
      <c r="AE1487" s="217" t="s">
        <v>334</v>
      </c>
    </row>
    <row r="1488" spans="28:31">
      <c r="AB1488" s="231" t="s">
        <v>1877</v>
      </c>
      <c r="AC1488" s="217" t="s">
        <v>333</v>
      </c>
      <c r="AD1488" s="217" t="s">
        <v>334</v>
      </c>
      <c r="AE1488" s="217" t="s">
        <v>334</v>
      </c>
    </row>
    <row r="1489" spans="28:31">
      <c r="AB1489" s="231" t="s">
        <v>1878</v>
      </c>
      <c r="AC1489" s="217" t="s">
        <v>333</v>
      </c>
      <c r="AD1489" s="217" t="s">
        <v>334</v>
      </c>
      <c r="AE1489" s="217" t="s">
        <v>334</v>
      </c>
    </row>
    <row r="1490" spans="28:31">
      <c r="AB1490" s="231" t="s">
        <v>1879</v>
      </c>
      <c r="AC1490" s="217" t="s">
        <v>333</v>
      </c>
      <c r="AD1490" s="217" t="s">
        <v>334</v>
      </c>
      <c r="AE1490" s="217" t="s">
        <v>334</v>
      </c>
    </row>
    <row r="1491" spans="28:31">
      <c r="AB1491" s="231" t="s">
        <v>1880</v>
      </c>
      <c r="AC1491" s="217" t="s">
        <v>333</v>
      </c>
      <c r="AD1491" s="217" t="s">
        <v>334</v>
      </c>
      <c r="AE1491" s="217" t="s">
        <v>334</v>
      </c>
    </row>
    <row r="1492" spans="28:31">
      <c r="AB1492" s="231" t="s">
        <v>1881</v>
      </c>
      <c r="AC1492" s="217" t="s">
        <v>333</v>
      </c>
      <c r="AD1492" s="217" t="s">
        <v>334</v>
      </c>
      <c r="AE1492" s="217" t="s">
        <v>334</v>
      </c>
    </row>
    <row r="1493" spans="28:31">
      <c r="AB1493" s="231" t="s">
        <v>1882</v>
      </c>
      <c r="AC1493" s="217" t="s">
        <v>333</v>
      </c>
      <c r="AD1493" s="217" t="s">
        <v>334</v>
      </c>
      <c r="AE1493" s="217" t="s">
        <v>334</v>
      </c>
    </row>
    <row r="1494" spans="28:31">
      <c r="AB1494" s="231" t="s">
        <v>1883</v>
      </c>
      <c r="AC1494" s="217" t="s">
        <v>333</v>
      </c>
      <c r="AD1494" s="217" t="s">
        <v>334</v>
      </c>
      <c r="AE1494" s="217" t="s">
        <v>334</v>
      </c>
    </row>
    <row r="1495" spans="28:31">
      <c r="AB1495" s="231" t="s">
        <v>1884</v>
      </c>
      <c r="AC1495" s="217" t="s">
        <v>333</v>
      </c>
      <c r="AD1495" s="217" t="s">
        <v>334</v>
      </c>
      <c r="AE1495" s="217" t="s">
        <v>334</v>
      </c>
    </row>
    <row r="1496" spans="28:31">
      <c r="AB1496" s="231" t="s">
        <v>1885</v>
      </c>
      <c r="AC1496" s="217" t="s">
        <v>333</v>
      </c>
      <c r="AD1496" s="217" t="s">
        <v>334</v>
      </c>
      <c r="AE1496" s="217" t="s">
        <v>334</v>
      </c>
    </row>
    <row r="1497" spans="28:31">
      <c r="AB1497" s="231" t="s">
        <v>1886</v>
      </c>
      <c r="AC1497" s="217" t="s">
        <v>333</v>
      </c>
      <c r="AD1497" s="217" t="s">
        <v>334</v>
      </c>
      <c r="AE1497" s="217" t="s">
        <v>334</v>
      </c>
    </row>
    <row r="1498" spans="28:31">
      <c r="AB1498" s="231" t="s">
        <v>1887</v>
      </c>
      <c r="AC1498" s="217" t="s">
        <v>333</v>
      </c>
      <c r="AD1498" s="217" t="s">
        <v>334</v>
      </c>
      <c r="AE1498" s="217" t="s">
        <v>334</v>
      </c>
    </row>
    <row r="1499" spans="28:31">
      <c r="AB1499" s="231" t="s">
        <v>1888</v>
      </c>
      <c r="AC1499" s="217" t="s">
        <v>333</v>
      </c>
      <c r="AD1499" s="217" t="s">
        <v>334</v>
      </c>
      <c r="AE1499" s="217" t="s">
        <v>334</v>
      </c>
    </row>
    <row r="1500" spans="28:31">
      <c r="AB1500" s="231" t="s">
        <v>1889</v>
      </c>
      <c r="AC1500" s="217" t="s">
        <v>333</v>
      </c>
      <c r="AD1500" s="217" t="s">
        <v>334</v>
      </c>
      <c r="AE1500" s="217" t="s">
        <v>334</v>
      </c>
    </row>
    <row r="1501" spans="28:31">
      <c r="AB1501" s="231" t="s">
        <v>1890</v>
      </c>
      <c r="AC1501" s="217" t="s">
        <v>333</v>
      </c>
      <c r="AD1501" s="217" t="s">
        <v>334</v>
      </c>
      <c r="AE1501" s="217" t="s">
        <v>334</v>
      </c>
    </row>
    <row r="1502" spans="28:31">
      <c r="AB1502" s="231" t="s">
        <v>1891</v>
      </c>
      <c r="AC1502" s="217" t="s">
        <v>333</v>
      </c>
      <c r="AD1502" s="217" t="s">
        <v>334</v>
      </c>
      <c r="AE1502" s="217" t="s">
        <v>334</v>
      </c>
    </row>
    <row r="1503" spans="28:31">
      <c r="AB1503" s="231" t="s">
        <v>1892</v>
      </c>
      <c r="AC1503" s="217" t="s">
        <v>333</v>
      </c>
      <c r="AD1503" s="217" t="s">
        <v>334</v>
      </c>
      <c r="AE1503" s="217" t="s">
        <v>334</v>
      </c>
    </row>
    <row r="1504" spans="28:31">
      <c r="AB1504" s="231" t="s">
        <v>1893</v>
      </c>
      <c r="AC1504" s="217" t="s">
        <v>333</v>
      </c>
      <c r="AD1504" s="217" t="s">
        <v>334</v>
      </c>
      <c r="AE1504" s="217" t="s">
        <v>334</v>
      </c>
    </row>
    <row r="1505" spans="28:31">
      <c r="AB1505" s="231" t="s">
        <v>1894</v>
      </c>
      <c r="AC1505" s="217" t="s">
        <v>333</v>
      </c>
      <c r="AD1505" s="217" t="s">
        <v>334</v>
      </c>
      <c r="AE1505" s="217" t="s">
        <v>334</v>
      </c>
    </row>
    <row r="1506" spans="28:31">
      <c r="AB1506" s="231" t="s">
        <v>1895</v>
      </c>
      <c r="AC1506" s="217" t="s">
        <v>333</v>
      </c>
      <c r="AD1506" s="217" t="s">
        <v>334</v>
      </c>
      <c r="AE1506" s="217" t="s">
        <v>334</v>
      </c>
    </row>
    <row r="1507" spans="28:31">
      <c r="AB1507" s="231" t="s">
        <v>1896</v>
      </c>
      <c r="AC1507" s="217" t="s">
        <v>333</v>
      </c>
      <c r="AD1507" s="217" t="s">
        <v>334</v>
      </c>
      <c r="AE1507" s="217" t="s">
        <v>334</v>
      </c>
    </row>
    <row r="1508" spans="28:31">
      <c r="AB1508" s="231" t="s">
        <v>1897</v>
      </c>
      <c r="AC1508" s="217" t="s">
        <v>333</v>
      </c>
      <c r="AD1508" s="217" t="s">
        <v>334</v>
      </c>
      <c r="AE1508" s="217" t="s">
        <v>334</v>
      </c>
    </row>
    <row r="1509" spans="28:31">
      <c r="AB1509" s="231" t="s">
        <v>1898</v>
      </c>
      <c r="AC1509" s="217" t="s">
        <v>333</v>
      </c>
      <c r="AD1509" s="217" t="s">
        <v>334</v>
      </c>
      <c r="AE1509" s="217" t="s">
        <v>334</v>
      </c>
    </row>
    <row r="1510" spans="28:31">
      <c r="AB1510" s="231" t="s">
        <v>1899</v>
      </c>
      <c r="AC1510" s="217" t="s">
        <v>333</v>
      </c>
      <c r="AD1510" s="217" t="s">
        <v>334</v>
      </c>
      <c r="AE1510" s="217" t="s">
        <v>334</v>
      </c>
    </row>
    <row r="1511" spans="28:31">
      <c r="AB1511" s="231" t="s">
        <v>1900</v>
      </c>
      <c r="AC1511" s="217" t="s">
        <v>333</v>
      </c>
      <c r="AD1511" s="217" t="s">
        <v>334</v>
      </c>
      <c r="AE1511" s="217" t="s">
        <v>334</v>
      </c>
    </row>
    <row r="1512" spans="28:31">
      <c r="AB1512" s="231" t="s">
        <v>1901</v>
      </c>
      <c r="AC1512" s="217" t="s">
        <v>333</v>
      </c>
      <c r="AD1512" s="217" t="s">
        <v>334</v>
      </c>
      <c r="AE1512" s="217" t="s">
        <v>334</v>
      </c>
    </row>
    <row r="1513" spans="28:31">
      <c r="AB1513" s="231" t="s">
        <v>1902</v>
      </c>
      <c r="AC1513" s="217" t="s">
        <v>333</v>
      </c>
      <c r="AD1513" s="217" t="s">
        <v>334</v>
      </c>
      <c r="AE1513" s="217" t="s">
        <v>334</v>
      </c>
    </row>
    <row r="1514" spans="28:31">
      <c r="AB1514" s="231" t="s">
        <v>1903</v>
      </c>
      <c r="AC1514" s="217" t="s">
        <v>333</v>
      </c>
      <c r="AD1514" s="217" t="s">
        <v>334</v>
      </c>
      <c r="AE1514" s="217" t="s">
        <v>334</v>
      </c>
    </row>
    <row r="1515" spans="28:31">
      <c r="AB1515" s="231" t="s">
        <v>1904</v>
      </c>
      <c r="AC1515" s="217" t="s">
        <v>333</v>
      </c>
      <c r="AD1515" s="217" t="s">
        <v>334</v>
      </c>
      <c r="AE1515" s="217" t="s">
        <v>334</v>
      </c>
    </row>
    <row r="1516" spans="28:31">
      <c r="AB1516" s="231" t="s">
        <v>1905</v>
      </c>
      <c r="AC1516" s="217" t="s">
        <v>333</v>
      </c>
      <c r="AD1516" s="217" t="s">
        <v>334</v>
      </c>
      <c r="AE1516" s="217" t="s">
        <v>334</v>
      </c>
    </row>
    <row r="1517" spans="28:31">
      <c r="AB1517" s="231" t="s">
        <v>1906</v>
      </c>
      <c r="AC1517" s="217" t="s">
        <v>333</v>
      </c>
      <c r="AD1517" s="217" t="s">
        <v>334</v>
      </c>
      <c r="AE1517" s="217" t="s">
        <v>334</v>
      </c>
    </row>
    <row r="1518" spans="28:31">
      <c r="AB1518" s="231" t="s">
        <v>1907</v>
      </c>
      <c r="AC1518" s="217" t="s">
        <v>333</v>
      </c>
      <c r="AD1518" s="217" t="s">
        <v>334</v>
      </c>
      <c r="AE1518" s="217" t="s">
        <v>334</v>
      </c>
    </row>
    <row r="1519" spans="28:31">
      <c r="AB1519" s="231" t="s">
        <v>1908</v>
      </c>
      <c r="AC1519" s="217" t="s">
        <v>333</v>
      </c>
      <c r="AD1519" s="217" t="s">
        <v>334</v>
      </c>
      <c r="AE1519" s="217" t="s">
        <v>334</v>
      </c>
    </row>
    <row r="1520" spans="28:31">
      <c r="AB1520" s="231" t="s">
        <v>1909</v>
      </c>
      <c r="AC1520" s="217" t="s">
        <v>333</v>
      </c>
      <c r="AD1520" s="217" t="s">
        <v>334</v>
      </c>
      <c r="AE1520" s="217" t="s">
        <v>334</v>
      </c>
    </row>
    <row r="1521" spans="28:31">
      <c r="AB1521" s="231" t="s">
        <v>1910</v>
      </c>
      <c r="AC1521" s="217" t="s">
        <v>333</v>
      </c>
      <c r="AD1521" s="217" t="s">
        <v>334</v>
      </c>
      <c r="AE1521" s="217" t="s">
        <v>334</v>
      </c>
    </row>
    <row r="1522" spans="28:31">
      <c r="AB1522" s="231" t="s">
        <v>1911</v>
      </c>
      <c r="AC1522" s="217" t="s">
        <v>333</v>
      </c>
      <c r="AD1522" s="217" t="s">
        <v>334</v>
      </c>
      <c r="AE1522" s="217" t="s">
        <v>334</v>
      </c>
    </row>
    <row r="1523" spans="28:31">
      <c r="AB1523" s="231" t="s">
        <v>1912</v>
      </c>
      <c r="AC1523" s="217" t="s">
        <v>333</v>
      </c>
      <c r="AD1523" s="217" t="s">
        <v>334</v>
      </c>
      <c r="AE1523" s="217" t="s">
        <v>334</v>
      </c>
    </row>
    <row r="1524" spans="28:31">
      <c r="AB1524" s="231" t="s">
        <v>1913</v>
      </c>
      <c r="AC1524" s="217" t="s">
        <v>333</v>
      </c>
      <c r="AD1524" s="217" t="s">
        <v>334</v>
      </c>
      <c r="AE1524" s="217" t="s">
        <v>334</v>
      </c>
    </row>
    <row r="1525" spans="28:31">
      <c r="AB1525" s="231" t="s">
        <v>1914</v>
      </c>
      <c r="AC1525" s="217" t="s">
        <v>333</v>
      </c>
      <c r="AD1525" s="217" t="s">
        <v>334</v>
      </c>
      <c r="AE1525" s="217" t="s">
        <v>334</v>
      </c>
    </row>
    <row r="1526" spans="28:31">
      <c r="AB1526" s="231" t="s">
        <v>1915</v>
      </c>
      <c r="AC1526" s="217" t="s">
        <v>333</v>
      </c>
      <c r="AD1526" s="217" t="s">
        <v>334</v>
      </c>
      <c r="AE1526" s="217" t="s">
        <v>334</v>
      </c>
    </row>
    <row r="1527" spans="28:31">
      <c r="AB1527" s="231" t="s">
        <v>1916</v>
      </c>
      <c r="AC1527" s="217" t="s">
        <v>333</v>
      </c>
      <c r="AD1527" s="217" t="s">
        <v>334</v>
      </c>
      <c r="AE1527" s="217" t="s">
        <v>334</v>
      </c>
    </row>
    <row r="1528" spans="28:31">
      <c r="AB1528" s="231" t="s">
        <v>1917</v>
      </c>
      <c r="AC1528" s="217" t="s">
        <v>333</v>
      </c>
      <c r="AD1528" s="217" t="s">
        <v>334</v>
      </c>
      <c r="AE1528" s="217" t="s">
        <v>334</v>
      </c>
    </row>
    <row r="1529" spans="28:31">
      <c r="AB1529" s="231" t="s">
        <v>1918</v>
      </c>
      <c r="AC1529" s="217" t="s">
        <v>333</v>
      </c>
      <c r="AD1529" s="217" t="s">
        <v>334</v>
      </c>
      <c r="AE1529" s="217" t="s">
        <v>334</v>
      </c>
    </row>
    <row r="1530" spans="28:31">
      <c r="AB1530" s="231" t="s">
        <v>1919</v>
      </c>
      <c r="AC1530" s="217" t="s">
        <v>333</v>
      </c>
      <c r="AD1530" s="217" t="s">
        <v>334</v>
      </c>
      <c r="AE1530" s="217" t="s">
        <v>334</v>
      </c>
    </row>
    <row r="1531" spans="28:31">
      <c r="AB1531" s="231" t="s">
        <v>1920</v>
      </c>
      <c r="AC1531" s="217" t="s">
        <v>333</v>
      </c>
      <c r="AD1531" s="217" t="s">
        <v>334</v>
      </c>
      <c r="AE1531" s="217" t="s">
        <v>334</v>
      </c>
    </row>
    <row r="1532" spans="28:31">
      <c r="AB1532" s="231" t="s">
        <v>1921</v>
      </c>
      <c r="AC1532" s="217" t="s">
        <v>333</v>
      </c>
      <c r="AD1532" s="217" t="s">
        <v>334</v>
      </c>
      <c r="AE1532" s="217" t="s">
        <v>334</v>
      </c>
    </row>
    <row r="1533" spans="28:31">
      <c r="AB1533" s="231" t="s">
        <v>1922</v>
      </c>
      <c r="AC1533" s="217" t="s">
        <v>333</v>
      </c>
      <c r="AD1533" s="217" t="s">
        <v>334</v>
      </c>
      <c r="AE1533" s="217" t="s">
        <v>334</v>
      </c>
    </row>
    <row r="1534" spans="28:31">
      <c r="AB1534" s="231" t="s">
        <v>1923</v>
      </c>
      <c r="AC1534" s="217" t="s">
        <v>333</v>
      </c>
      <c r="AD1534" s="217" t="s">
        <v>334</v>
      </c>
      <c r="AE1534" s="217" t="s">
        <v>334</v>
      </c>
    </row>
    <row r="1535" spans="28:31">
      <c r="AB1535" s="231" t="s">
        <v>1924</v>
      </c>
      <c r="AC1535" s="217" t="s">
        <v>333</v>
      </c>
      <c r="AD1535" s="217" t="s">
        <v>334</v>
      </c>
      <c r="AE1535" s="217" t="s">
        <v>334</v>
      </c>
    </row>
    <row r="1536" spans="28:31">
      <c r="AB1536" s="231" t="s">
        <v>1925</v>
      </c>
      <c r="AC1536" s="217" t="s">
        <v>333</v>
      </c>
      <c r="AD1536" s="217" t="s">
        <v>334</v>
      </c>
      <c r="AE1536" s="217" t="s">
        <v>334</v>
      </c>
    </row>
    <row r="1537" spans="28:31">
      <c r="AB1537" s="231" t="s">
        <v>1926</v>
      </c>
      <c r="AC1537" s="217" t="s">
        <v>333</v>
      </c>
      <c r="AD1537" s="217" t="s">
        <v>334</v>
      </c>
      <c r="AE1537" s="217" t="s">
        <v>334</v>
      </c>
    </row>
    <row r="1538" spans="28:31">
      <c r="AB1538" s="231" t="s">
        <v>1927</v>
      </c>
      <c r="AC1538" s="217" t="s">
        <v>333</v>
      </c>
      <c r="AD1538" s="217" t="s">
        <v>334</v>
      </c>
      <c r="AE1538" s="217" t="s">
        <v>334</v>
      </c>
    </row>
    <row r="1539" spans="28:31">
      <c r="AB1539" s="231" t="s">
        <v>1928</v>
      </c>
      <c r="AC1539" s="217" t="s">
        <v>333</v>
      </c>
      <c r="AD1539" s="217" t="s">
        <v>334</v>
      </c>
      <c r="AE1539" s="217" t="s">
        <v>334</v>
      </c>
    </row>
    <row r="1540" spans="28:31">
      <c r="AB1540" s="231" t="s">
        <v>1929</v>
      </c>
      <c r="AC1540" s="217" t="s">
        <v>333</v>
      </c>
      <c r="AD1540" s="217" t="s">
        <v>334</v>
      </c>
      <c r="AE1540" s="217" t="s">
        <v>334</v>
      </c>
    </row>
    <row r="1541" spans="28:31">
      <c r="AB1541" s="231" t="s">
        <v>1930</v>
      </c>
      <c r="AC1541" s="217" t="s">
        <v>333</v>
      </c>
      <c r="AD1541" s="217" t="s">
        <v>334</v>
      </c>
      <c r="AE1541" s="217" t="s">
        <v>334</v>
      </c>
    </row>
    <row r="1542" spans="28:31">
      <c r="AB1542" s="231" t="s">
        <v>1931</v>
      </c>
      <c r="AC1542" s="217" t="s">
        <v>333</v>
      </c>
      <c r="AD1542" s="217" t="s">
        <v>334</v>
      </c>
      <c r="AE1542" s="217" t="s">
        <v>334</v>
      </c>
    </row>
    <row r="1543" spans="28:31">
      <c r="AB1543" s="231" t="s">
        <v>1932</v>
      </c>
      <c r="AC1543" s="217" t="s">
        <v>333</v>
      </c>
      <c r="AD1543" s="217" t="s">
        <v>334</v>
      </c>
      <c r="AE1543" s="217" t="s">
        <v>334</v>
      </c>
    </row>
    <row r="1544" spans="28:31">
      <c r="AB1544" s="231" t="s">
        <v>1933</v>
      </c>
      <c r="AC1544" s="217" t="s">
        <v>333</v>
      </c>
      <c r="AD1544" s="217" t="s">
        <v>334</v>
      </c>
      <c r="AE1544" s="217" t="s">
        <v>334</v>
      </c>
    </row>
    <row r="1545" spans="28:31">
      <c r="AB1545" s="231" t="s">
        <v>1934</v>
      </c>
      <c r="AC1545" s="217" t="s">
        <v>333</v>
      </c>
      <c r="AD1545" s="217" t="s">
        <v>334</v>
      </c>
      <c r="AE1545" s="217" t="s">
        <v>334</v>
      </c>
    </row>
    <row r="1546" spans="28:31">
      <c r="AB1546" s="231" t="s">
        <v>1935</v>
      </c>
      <c r="AC1546" s="217" t="s">
        <v>333</v>
      </c>
      <c r="AD1546" s="217" t="s">
        <v>334</v>
      </c>
      <c r="AE1546" s="217" t="s">
        <v>334</v>
      </c>
    </row>
    <row r="1547" spans="28:31">
      <c r="AB1547" s="231" t="s">
        <v>1936</v>
      </c>
      <c r="AC1547" s="217" t="s">
        <v>333</v>
      </c>
      <c r="AD1547" s="217" t="s">
        <v>334</v>
      </c>
      <c r="AE1547" s="217" t="s">
        <v>334</v>
      </c>
    </row>
    <row r="1548" spans="28:31">
      <c r="AB1548" s="231" t="s">
        <v>1937</v>
      </c>
      <c r="AC1548" s="217" t="s">
        <v>333</v>
      </c>
      <c r="AD1548" s="217" t="s">
        <v>334</v>
      </c>
      <c r="AE1548" s="217" t="s">
        <v>334</v>
      </c>
    </row>
    <row r="1549" spans="28:31">
      <c r="AB1549" s="231" t="s">
        <v>1938</v>
      </c>
      <c r="AC1549" s="217" t="s">
        <v>333</v>
      </c>
      <c r="AD1549" s="217" t="s">
        <v>334</v>
      </c>
      <c r="AE1549" s="217" t="s">
        <v>334</v>
      </c>
    </row>
    <row r="1550" spans="28:31">
      <c r="AB1550" s="231" t="s">
        <v>1939</v>
      </c>
      <c r="AC1550" s="217" t="s">
        <v>333</v>
      </c>
      <c r="AD1550" s="217" t="s">
        <v>334</v>
      </c>
      <c r="AE1550" s="217" t="s">
        <v>334</v>
      </c>
    </row>
    <row r="1551" spans="28:31">
      <c r="AB1551" s="231" t="s">
        <v>1940</v>
      </c>
      <c r="AC1551" s="217" t="s">
        <v>333</v>
      </c>
      <c r="AD1551" s="217" t="s">
        <v>334</v>
      </c>
      <c r="AE1551" s="217" t="s">
        <v>334</v>
      </c>
    </row>
    <row r="1552" spans="28:31">
      <c r="AB1552" s="231" t="s">
        <v>1941</v>
      </c>
      <c r="AC1552" s="217" t="s">
        <v>333</v>
      </c>
      <c r="AD1552" s="217" t="s">
        <v>334</v>
      </c>
      <c r="AE1552" s="217" t="s">
        <v>334</v>
      </c>
    </row>
    <row r="1553" spans="28:31">
      <c r="AB1553" s="231" t="s">
        <v>1942</v>
      </c>
      <c r="AC1553" s="217" t="s">
        <v>333</v>
      </c>
      <c r="AD1553" s="217" t="s">
        <v>334</v>
      </c>
      <c r="AE1553" s="217" t="s">
        <v>334</v>
      </c>
    </row>
    <row r="1554" spans="28:31">
      <c r="AB1554" s="231" t="s">
        <v>1943</v>
      </c>
      <c r="AC1554" s="217" t="s">
        <v>333</v>
      </c>
      <c r="AD1554" s="217" t="s">
        <v>334</v>
      </c>
      <c r="AE1554" s="217" t="s">
        <v>334</v>
      </c>
    </row>
    <row r="1555" spans="28:31">
      <c r="AB1555" s="231" t="s">
        <v>1944</v>
      </c>
      <c r="AC1555" s="217" t="s">
        <v>333</v>
      </c>
      <c r="AD1555" s="217" t="s">
        <v>334</v>
      </c>
      <c r="AE1555" s="217" t="s">
        <v>334</v>
      </c>
    </row>
    <row r="1556" spans="28:31">
      <c r="AB1556" s="231" t="s">
        <v>1945</v>
      </c>
      <c r="AC1556" s="217" t="s">
        <v>333</v>
      </c>
      <c r="AD1556" s="217" t="s">
        <v>334</v>
      </c>
      <c r="AE1556" s="217" t="s">
        <v>334</v>
      </c>
    </row>
    <row r="1557" spans="28:31">
      <c r="AB1557" s="231" t="s">
        <v>1946</v>
      </c>
      <c r="AC1557" s="217" t="s">
        <v>333</v>
      </c>
      <c r="AD1557" s="217" t="s">
        <v>334</v>
      </c>
      <c r="AE1557" s="217" t="s">
        <v>334</v>
      </c>
    </row>
    <row r="1558" spans="28:31">
      <c r="AB1558" s="231" t="s">
        <v>1947</v>
      </c>
      <c r="AC1558" s="217" t="s">
        <v>333</v>
      </c>
      <c r="AD1558" s="217" t="s">
        <v>334</v>
      </c>
      <c r="AE1558" s="217" t="s">
        <v>334</v>
      </c>
    </row>
    <row r="1559" spans="28:31">
      <c r="AB1559" s="231" t="s">
        <v>1948</v>
      </c>
      <c r="AC1559" s="217" t="s">
        <v>333</v>
      </c>
      <c r="AD1559" s="217" t="s">
        <v>334</v>
      </c>
      <c r="AE1559" s="217" t="s">
        <v>334</v>
      </c>
    </row>
    <row r="1560" spans="28:31">
      <c r="AB1560" s="231" t="s">
        <v>1949</v>
      </c>
      <c r="AC1560" s="217" t="s">
        <v>333</v>
      </c>
      <c r="AD1560" s="217" t="s">
        <v>334</v>
      </c>
      <c r="AE1560" s="217" t="s">
        <v>334</v>
      </c>
    </row>
    <row r="1561" spans="28:31">
      <c r="AB1561" s="231" t="s">
        <v>1950</v>
      </c>
      <c r="AC1561" s="217" t="s">
        <v>333</v>
      </c>
      <c r="AD1561" s="217" t="s">
        <v>334</v>
      </c>
      <c r="AE1561" s="217" t="s">
        <v>334</v>
      </c>
    </row>
    <row r="1562" spans="28:31">
      <c r="AB1562" s="231" t="s">
        <v>1951</v>
      </c>
      <c r="AC1562" s="217" t="s">
        <v>333</v>
      </c>
      <c r="AD1562" s="217" t="s">
        <v>334</v>
      </c>
      <c r="AE1562" s="217" t="s">
        <v>334</v>
      </c>
    </row>
    <row r="1563" spans="28:31">
      <c r="AB1563" s="231" t="s">
        <v>1952</v>
      </c>
      <c r="AC1563" s="217" t="s">
        <v>333</v>
      </c>
      <c r="AD1563" s="217" t="s">
        <v>334</v>
      </c>
      <c r="AE1563" s="217" t="s">
        <v>334</v>
      </c>
    </row>
    <row r="1564" spans="28:31">
      <c r="AB1564" s="231" t="s">
        <v>1953</v>
      </c>
      <c r="AC1564" s="217" t="s">
        <v>333</v>
      </c>
      <c r="AD1564" s="217" t="s">
        <v>334</v>
      </c>
      <c r="AE1564" s="217" t="s">
        <v>334</v>
      </c>
    </row>
    <row r="1565" spans="28:31">
      <c r="AB1565" s="231" t="s">
        <v>1954</v>
      </c>
      <c r="AC1565" s="217" t="s">
        <v>333</v>
      </c>
      <c r="AD1565" s="217" t="s">
        <v>334</v>
      </c>
      <c r="AE1565" s="217" t="s">
        <v>334</v>
      </c>
    </row>
    <row r="1566" spans="28:31">
      <c r="AB1566" s="231" t="s">
        <v>1955</v>
      </c>
      <c r="AC1566" s="217" t="s">
        <v>333</v>
      </c>
      <c r="AD1566" s="217" t="s">
        <v>334</v>
      </c>
      <c r="AE1566" s="217" t="s">
        <v>334</v>
      </c>
    </row>
    <row r="1567" spans="28:31">
      <c r="AB1567" s="231" t="s">
        <v>1956</v>
      </c>
      <c r="AC1567" s="217" t="s">
        <v>333</v>
      </c>
      <c r="AD1567" s="217" t="s">
        <v>334</v>
      </c>
      <c r="AE1567" s="217" t="s">
        <v>334</v>
      </c>
    </row>
    <row r="1568" spans="28:31">
      <c r="AB1568" s="231" t="s">
        <v>1957</v>
      </c>
      <c r="AC1568" s="217" t="s">
        <v>333</v>
      </c>
      <c r="AD1568" s="217" t="s">
        <v>334</v>
      </c>
      <c r="AE1568" s="217" t="s">
        <v>334</v>
      </c>
    </row>
    <row r="1569" spans="28:31">
      <c r="AB1569" s="231" t="s">
        <v>1958</v>
      </c>
      <c r="AC1569" s="217" t="s">
        <v>333</v>
      </c>
      <c r="AD1569" s="217" t="s">
        <v>334</v>
      </c>
      <c r="AE1569" s="217" t="s">
        <v>334</v>
      </c>
    </row>
    <row r="1570" spans="28:31">
      <c r="AB1570" s="231" t="s">
        <v>1959</v>
      </c>
      <c r="AC1570" s="217" t="s">
        <v>333</v>
      </c>
      <c r="AD1570" s="217" t="s">
        <v>334</v>
      </c>
      <c r="AE1570" s="217" t="s">
        <v>334</v>
      </c>
    </row>
    <row r="1571" spans="28:31">
      <c r="AB1571" s="231" t="s">
        <v>1960</v>
      </c>
      <c r="AC1571" s="217" t="s">
        <v>333</v>
      </c>
      <c r="AD1571" s="217" t="s">
        <v>334</v>
      </c>
      <c r="AE1571" s="217" t="s">
        <v>334</v>
      </c>
    </row>
    <row r="1572" spans="28:31">
      <c r="AB1572" s="231" t="s">
        <v>1961</v>
      </c>
      <c r="AC1572" s="217" t="s">
        <v>333</v>
      </c>
      <c r="AD1572" s="217" t="s">
        <v>334</v>
      </c>
      <c r="AE1572" s="217" t="s">
        <v>334</v>
      </c>
    </row>
    <row r="1573" spans="28:31">
      <c r="AB1573" s="231" t="s">
        <v>1962</v>
      </c>
      <c r="AC1573" s="217" t="s">
        <v>333</v>
      </c>
      <c r="AD1573" s="217" t="s">
        <v>334</v>
      </c>
      <c r="AE1573" s="217" t="s">
        <v>334</v>
      </c>
    </row>
    <row r="1574" spans="28:31">
      <c r="AB1574" s="231" t="s">
        <v>1963</v>
      </c>
      <c r="AC1574" s="217" t="s">
        <v>333</v>
      </c>
      <c r="AD1574" s="217" t="s">
        <v>334</v>
      </c>
      <c r="AE1574" s="217" t="s">
        <v>334</v>
      </c>
    </row>
    <row r="1575" spans="28:31">
      <c r="AB1575" s="231" t="s">
        <v>1964</v>
      </c>
      <c r="AC1575" s="217" t="s">
        <v>333</v>
      </c>
      <c r="AD1575" s="217" t="s">
        <v>334</v>
      </c>
      <c r="AE1575" s="217" t="s">
        <v>334</v>
      </c>
    </row>
    <row r="1576" spans="28:31">
      <c r="AB1576" s="231" t="s">
        <v>1965</v>
      </c>
      <c r="AC1576" s="217" t="s">
        <v>333</v>
      </c>
      <c r="AD1576" s="217" t="s">
        <v>334</v>
      </c>
      <c r="AE1576" s="217" t="s">
        <v>334</v>
      </c>
    </row>
    <row r="1577" spans="28:31">
      <c r="AB1577" s="231" t="s">
        <v>1966</v>
      </c>
      <c r="AC1577" s="217" t="s">
        <v>333</v>
      </c>
      <c r="AD1577" s="217" t="s">
        <v>334</v>
      </c>
      <c r="AE1577" s="217" t="s">
        <v>334</v>
      </c>
    </row>
    <row r="1578" spans="28:31">
      <c r="AB1578" s="231" t="s">
        <v>1967</v>
      </c>
      <c r="AC1578" s="217" t="s">
        <v>333</v>
      </c>
      <c r="AD1578" s="217" t="s">
        <v>334</v>
      </c>
      <c r="AE1578" s="217" t="s">
        <v>334</v>
      </c>
    </row>
    <row r="1579" spans="28:31">
      <c r="AB1579" s="231" t="s">
        <v>1968</v>
      </c>
      <c r="AC1579" s="217" t="s">
        <v>333</v>
      </c>
      <c r="AD1579" s="217" t="s">
        <v>334</v>
      </c>
      <c r="AE1579" s="217" t="s">
        <v>334</v>
      </c>
    </row>
    <row r="1580" spans="28:31">
      <c r="AB1580" s="231" t="s">
        <v>1969</v>
      </c>
      <c r="AC1580" s="217" t="s">
        <v>333</v>
      </c>
      <c r="AD1580" s="217" t="s">
        <v>334</v>
      </c>
      <c r="AE1580" s="217" t="s">
        <v>334</v>
      </c>
    </row>
    <row r="1581" spans="28:31">
      <c r="AB1581" s="231" t="s">
        <v>1970</v>
      </c>
      <c r="AC1581" s="217" t="s">
        <v>333</v>
      </c>
      <c r="AD1581" s="217" t="s">
        <v>334</v>
      </c>
      <c r="AE1581" s="217" t="s">
        <v>334</v>
      </c>
    </row>
    <row r="1582" spans="28:31">
      <c r="AB1582" s="231" t="s">
        <v>1971</v>
      </c>
      <c r="AC1582" s="217" t="s">
        <v>333</v>
      </c>
      <c r="AD1582" s="217" t="s">
        <v>334</v>
      </c>
      <c r="AE1582" s="217" t="s">
        <v>334</v>
      </c>
    </row>
    <row r="1583" spans="28:31">
      <c r="AB1583" s="231" t="s">
        <v>1972</v>
      </c>
      <c r="AC1583" s="217" t="s">
        <v>333</v>
      </c>
      <c r="AD1583" s="217" t="s">
        <v>334</v>
      </c>
      <c r="AE1583" s="217" t="s">
        <v>334</v>
      </c>
    </row>
    <row r="1584" spans="28:31">
      <c r="AB1584" s="231" t="s">
        <v>1973</v>
      </c>
      <c r="AC1584" s="217" t="s">
        <v>333</v>
      </c>
      <c r="AD1584" s="217" t="s">
        <v>334</v>
      </c>
      <c r="AE1584" s="217" t="s">
        <v>334</v>
      </c>
    </row>
    <row r="1585" spans="28:31">
      <c r="AB1585" s="231" t="s">
        <v>1974</v>
      </c>
      <c r="AC1585" s="217" t="s">
        <v>333</v>
      </c>
      <c r="AD1585" s="217" t="s">
        <v>334</v>
      </c>
      <c r="AE1585" s="217" t="s">
        <v>334</v>
      </c>
    </row>
    <row r="1586" spans="28:31">
      <c r="AB1586" s="231" t="s">
        <v>1975</v>
      </c>
      <c r="AC1586" s="217" t="s">
        <v>333</v>
      </c>
      <c r="AD1586" s="217" t="s">
        <v>334</v>
      </c>
      <c r="AE1586" s="217" t="s">
        <v>334</v>
      </c>
    </row>
    <row r="1587" spans="28:31">
      <c r="AB1587" s="231" t="s">
        <v>1976</v>
      </c>
      <c r="AC1587" s="217" t="s">
        <v>333</v>
      </c>
      <c r="AD1587" s="217" t="s">
        <v>334</v>
      </c>
      <c r="AE1587" s="217" t="s">
        <v>334</v>
      </c>
    </row>
    <row r="1588" spans="28:31">
      <c r="AB1588" s="231" t="s">
        <v>1977</v>
      </c>
      <c r="AC1588" s="217" t="s">
        <v>333</v>
      </c>
      <c r="AD1588" s="217" t="s">
        <v>334</v>
      </c>
      <c r="AE1588" s="217" t="s">
        <v>334</v>
      </c>
    </row>
    <row r="1589" spans="28:31">
      <c r="AB1589" s="231" t="s">
        <v>1978</v>
      </c>
      <c r="AC1589" s="217" t="s">
        <v>333</v>
      </c>
      <c r="AD1589" s="217" t="s">
        <v>334</v>
      </c>
      <c r="AE1589" s="217" t="s">
        <v>334</v>
      </c>
    </row>
    <row r="1590" spans="28:31">
      <c r="AB1590" s="231" t="s">
        <v>1979</v>
      </c>
      <c r="AC1590" s="217" t="s">
        <v>333</v>
      </c>
      <c r="AD1590" s="217" t="s">
        <v>334</v>
      </c>
      <c r="AE1590" s="217" t="s">
        <v>334</v>
      </c>
    </row>
    <row r="1591" spans="28:31">
      <c r="AB1591" s="231" t="s">
        <v>1980</v>
      </c>
      <c r="AC1591" s="217" t="s">
        <v>333</v>
      </c>
      <c r="AD1591" s="217" t="s">
        <v>334</v>
      </c>
      <c r="AE1591" s="217" t="s">
        <v>334</v>
      </c>
    </row>
    <row r="1592" spans="28:31">
      <c r="AB1592" s="231" t="s">
        <v>1981</v>
      </c>
      <c r="AC1592" s="217" t="s">
        <v>333</v>
      </c>
      <c r="AD1592" s="217" t="s">
        <v>334</v>
      </c>
      <c r="AE1592" s="217" t="s">
        <v>334</v>
      </c>
    </row>
    <row r="1593" spans="28:31">
      <c r="AB1593" s="231" t="s">
        <v>1982</v>
      </c>
      <c r="AC1593" s="217" t="s">
        <v>333</v>
      </c>
      <c r="AD1593" s="217" t="s">
        <v>334</v>
      </c>
      <c r="AE1593" s="217" t="s">
        <v>334</v>
      </c>
    </row>
    <row r="1594" spans="28:31">
      <c r="AB1594" s="231" t="s">
        <v>1983</v>
      </c>
      <c r="AC1594" s="217" t="s">
        <v>333</v>
      </c>
      <c r="AD1594" s="217" t="s">
        <v>334</v>
      </c>
      <c r="AE1594" s="217" t="s">
        <v>334</v>
      </c>
    </row>
    <row r="1595" spans="28:31">
      <c r="AB1595" s="231" t="s">
        <v>1984</v>
      </c>
      <c r="AC1595" s="217" t="s">
        <v>333</v>
      </c>
      <c r="AD1595" s="217" t="s">
        <v>334</v>
      </c>
      <c r="AE1595" s="217" t="s">
        <v>334</v>
      </c>
    </row>
    <row r="1596" spans="28:31">
      <c r="AB1596" s="231" t="s">
        <v>1985</v>
      </c>
      <c r="AC1596" s="217" t="s">
        <v>333</v>
      </c>
      <c r="AD1596" s="217" t="s">
        <v>334</v>
      </c>
      <c r="AE1596" s="217" t="s">
        <v>334</v>
      </c>
    </row>
    <row r="1597" spans="28:31">
      <c r="AB1597" s="231" t="s">
        <v>1986</v>
      </c>
      <c r="AC1597" s="217" t="s">
        <v>333</v>
      </c>
      <c r="AD1597" s="217" t="s">
        <v>334</v>
      </c>
      <c r="AE1597" s="217" t="s">
        <v>334</v>
      </c>
    </row>
    <row r="1598" spans="28:31">
      <c r="AB1598" s="231" t="s">
        <v>1987</v>
      </c>
      <c r="AC1598" s="217" t="s">
        <v>333</v>
      </c>
      <c r="AD1598" s="217" t="s">
        <v>334</v>
      </c>
      <c r="AE1598" s="217" t="s">
        <v>334</v>
      </c>
    </row>
    <row r="1599" spans="28:31">
      <c r="AB1599" s="231" t="s">
        <v>1988</v>
      </c>
      <c r="AC1599" s="217" t="s">
        <v>333</v>
      </c>
      <c r="AD1599" s="217" t="s">
        <v>334</v>
      </c>
      <c r="AE1599" s="217" t="s">
        <v>334</v>
      </c>
    </row>
    <row r="1600" spans="28:31">
      <c r="AB1600" s="231" t="s">
        <v>1989</v>
      </c>
      <c r="AC1600" s="217" t="s">
        <v>333</v>
      </c>
      <c r="AD1600" s="217" t="s">
        <v>334</v>
      </c>
      <c r="AE1600" s="217" t="s">
        <v>334</v>
      </c>
    </row>
    <row r="1601" spans="28:31">
      <c r="AB1601" s="231" t="s">
        <v>1990</v>
      </c>
      <c r="AC1601" s="217" t="s">
        <v>333</v>
      </c>
      <c r="AD1601" s="217" t="s">
        <v>334</v>
      </c>
      <c r="AE1601" s="217" t="s">
        <v>334</v>
      </c>
    </row>
    <row r="1602" spans="28:31">
      <c r="AB1602" s="231" t="s">
        <v>1991</v>
      </c>
      <c r="AC1602" s="217" t="s">
        <v>333</v>
      </c>
      <c r="AD1602" s="217" t="s">
        <v>334</v>
      </c>
      <c r="AE1602" s="217" t="s">
        <v>334</v>
      </c>
    </row>
    <row r="1603" spans="28:31">
      <c r="AB1603" s="231" t="s">
        <v>1992</v>
      </c>
      <c r="AC1603" s="217" t="s">
        <v>333</v>
      </c>
      <c r="AD1603" s="217" t="s">
        <v>334</v>
      </c>
      <c r="AE1603" s="217" t="s">
        <v>334</v>
      </c>
    </row>
    <row r="1604" spans="28:31">
      <c r="AB1604" s="231" t="s">
        <v>1993</v>
      </c>
      <c r="AC1604" s="217" t="s">
        <v>333</v>
      </c>
      <c r="AD1604" s="217" t="s">
        <v>334</v>
      </c>
      <c r="AE1604" s="217" t="s">
        <v>334</v>
      </c>
    </row>
    <row r="1605" spans="28:31">
      <c r="AB1605" s="231" t="s">
        <v>1994</v>
      </c>
      <c r="AC1605" s="217" t="s">
        <v>333</v>
      </c>
      <c r="AD1605" s="217" t="s">
        <v>334</v>
      </c>
      <c r="AE1605" s="217" t="s">
        <v>334</v>
      </c>
    </row>
    <row r="1606" spans="28:31">
      <c r="AB1606" s="231" t="s">
        <v>1995</v>
      </c>
      <c r="AC1606" s="217" t="s">
        <v>333</v>
      </c>
      <c r="AD1606" s="217" t="s">
        <v>334</v>
      </c>
      <c r="AE1606" s="217" t="s">
        <v>334</v>
      </c>
    </row>
    <row r="1607" spans="28:31">
      <c r="AB1607" s="231" t="s">
        <v>1996</v>
      </c>
      <c r="AC1607" s="217" t="s">
        <v>333</v>
      </c>
      <c r="AD1607" s="217" t="s">
        <v>334</v>
      </c>
      <c r="AE1607" s="217" t="s">
        <v>334</v>
      </c>
    </row>
    <row r="1608" spans="28:31">
      <c r="AB1608" s="231" t="s">
        <v>1997</v>
      </c>
      <c r="AC1608" s="217" t="s">
        <v>333</v>
      </c>
      <c r="AD1608" s="217" t="s">
        <v>334</v>
      </c>
      <c r="AE1608" s="217" t="s">
        <v>334</v>
      </c>
    </row>
    <row r="1609" spans="28:31">
      <c r="AB1609" s="231" t="s">
        <v>1998</v>
      </c>
      <c r="AC1609" s="217" t="s">
        <v>333</v>
      </c>
      <c r="AD1609" s="217" t="s">
        <v>334</v>
      </c>
      <c r="AE1609" s="217" t="s">
        <v>334</v>
      </c>
    </row>
    <row r="1610" spans="28:31">
      <c r="AB1610" s="231" t="s">
        <v>1999</v>
      </c>
      <c r="AC1610" s="217" t="s">
        <v>333</v>
      </c>
      <c r="AD1610" s="217" t="s">
        <v>334</v>
      </c>
      <c r="AE1610" s="217" t="s">
        <v>334</v>
      </c>
    </row>
    <row r="1611" spans="28:31">
      <c r="AB1611" s="231" t="s">
        <v>2000</v>
      </c>
      <c r="AC1611" s="217" t="s">
        <v>333</v>
      </c>
      <c r="AD1611" s="217" t="s">
        <v>334</v>
      </c>
      <c r="AE1611" s="217" t="s">
        <v>334</v>
      </c>
    </row>
    <row r="1612" spans="28:31">
      <c r="AB1612" s="231" t="s">
        <v>2001</v>
      </c>
      <c r="AC1612" s="217" t="s">
        <v>333</v>
      </c>
      <c r="AD1612" s="217" t="s">
        <v>334</v>
      </c>
      <c r="AE1612" s="217" t="s">
        <v>334</v>
      </c>
    </row>
    <row r="1613" spans="28:31">
      <c r="AB1613" s="231" t="s">
        <v>2002</v>
      </c>
      <c r="AC1613" s="217" t="s">
        <v>333</v>
      </c>
      <c r="AD1613" s="217" t="s">
        <v>334</v>
      </c>
      <c r="AE1613" s="217" t="s">
        <v>334</v>
      </c>
    </row>
    <row r="1614" spans="28:31">
      <c r="AB1614" s="231" t="s">
        <v>2003</v>
      </c>
      <c r="AC1614" s="217" t="s">
        <v>333</v>
      </c>
      <c r="AD1614" s="217" t="s">
        <v>334</v>
      </c>
      <c r="AE1614" s="217" t="s">
        <v>334</v>
      </c>
    </row>
    <row r="1615" spans="28:31">
      <c r="AB1615" s="231" t="s">
        <v>2004</v>
      </c>
      <c r="AC1615" s="217" t="s">
        <v>333</v>
      </c>
      <c r="AD1615" s="217" t="s">
        <v>334</v>
      </c>
      <c r="AE1615" s="217" t="s">
        <v>334</v>
      </c>
    </row>
    <row r="1616" spans="28:31">
      <c r="AB1616" s="231" t="s">
        <v>2005</v>
      </c>
      <c r="AC1616" s="217" t="s">
        <v>333</v>
      </c>
      <c r="AD1616" s="217" t="s">
        <v>334</v>
      </c>
      <c r="AE1616" s="217" t="s">
        <v>334</v>
      </c>
    </row>
    <row r="1617" spans="28:31">
      <c r="AB1617" s="231" t="s">
        <v>2006</v>
      </c>
      <c r="AC1617" s="217" t="s">
        <v>333</v>
      </c>
      <c r="AD1617" s="217" t="s">
        <v>334</v>
      </c>
      <c r="AE1617" s="217" t="s">
        <v>334</v>
      </c>
    </row>
    <row r="1618" spans="28:31">
      <c r="AB1618" s="231" t="s">
        <v>2007</v>
      </c>
      <c r="AC1618" s="217" t="s">
        <v>333</v>
      </c>
      <c r="AD1618" s="217" t="s">
        <v>334</v>
      </c>
      <c r="AE1618" s="217" t="s">
        <v>334</v>
      </c>
    </row>
    <row r="1619" spans="28:31">
      <c r="AB1619" s="231" t="s">
        <v>2008</v>
      </c>
      <c r="AC1619" s="217" t="s">
        <v>333</v>
      </c>
      <c r="AD1619" s="217" t="s">
        <v>334</v>
      </c>
      <c r="AE1619" s="217" t="s">
        <v>334</v>
      </c>
    </row>
    <row r="1620" spans="28:31">
      <c r="AB1620" s="231" t="s">
        <v>2009</v>
      </c>
      <c r="AC1620" s="217" t="s">
        <v>333</v>
      </c>
      <c r="AD1620" s="217" t="s">
        <v>334</v>
      </c>
      <c r="AE1620" s="217" t="s">
        <v>334</v>
      </c>
    </row>
    <row r="1621" spans="28:31">
      <c r="AB1621" s="231" t="s">
        <v>2010</v>
      </c>
      <c r="AC1621" s="217" t="s">
        <v>333</v>
      </c>
      <c r="AD1621" s="217" t="s">
        <v>334</v>
      </c>
      <c r="AE1621" s="217" t="s">
        <v>334</v>
      </c>
    </row>
    <row r="1622" spans="28:31">
      <c r="AB1622" s="231" t="s">
        <v>2011</v>
      </c>
      <c r="AC1622" s="217" t="s">
        <v>333</v>
      </c>
      <c r="AD1622" s="217" t="s">
        <v>334</v>
      </c>
      <c r="AE1622" s="217" t="s">
        <v>334</v>
      </c>
    </row>
    <row r="1623" spans="28:31">
      <c r="AB1623" s="231" t="s">
        <v>2012</v>
      </c>
      <c r="AC1623" s="217" t="s">
        <v>333</v>
      </c>
      <c r="AD1623" s="217" t="s">
        <v>334</v>
      </c>
      <c r="AE1623" s="217" t="s">
        <v>334</v>
      </c>
    </row>
    <row r="1624" spans="28:31">
      <c r="AB1624" s="231" t="s">
        <v>2013</v>
      </c>
      <c r="AC1624" s="217" t="s">
        <v>333</v>
      </c>
      <c r="AD1624" s="217" t="s">
        <v>334</v>
      </c>
      <c r="AE1624" s="217" t="s">
        <v>334</v>
      </c>
    </row>
    <row r="1625" spans="28:31">
      <c r="AB1625" s="231" t="s">
        <v>2014</v>
      </c>
      <c r="AC1625" s="217" t="s">
        <v>333</v>
      </c>
      <c r="AD1625" s="217" t="s">
        <v>334</v>
      </c>
      <c r="AE1625" s="217" t="s">
        <v>334</v>
      </c>
    </row>
    <row r="1626" spans="28:31">
      <c r="AB1626" s="231" t="s">
        <v>2015</v>
      </c>
      <c r="AC1626" s="217" t="s">
        <v>333</v>
      </c>
      <c r="AD1626" s="217" t="s">
        <v>334</v>
      </c>
      <c r="AE1626" s="217" t="s">
        <v>334</v>
      </c>
    </row>
    <row r="1627" spans="28:31">
      <c r="AB1627" s="231" t="s">
        <v>2016</v>
      </c>
      <c r="AC1627" s="217" t="s">
        <v>333</v>
      </c>
      <c r="AD1627" s="217" t="s">
        <v>334</v>
      </c>
      <c r="AE1627" s="217" t="s">
        <v>334</v>
      </c>
    </row>
    <row r="1628" spans="28:31">
      <c r="AB1628" s="231" t="s">
        <v>2017</v>
      </c>
      <c r="AC1628" s="217" t="s">
        <v>333</v>
      </c>
      <c r="AD1628" s="217" t="s">
        <v>334</v>
      </c>
      <c r="AE1628" s="217" t="s">
        <v>334</v>
      </c>
    </row>
    <row r="1629" spans="28:31">
      <c r="AB1629" s="231" t="s">
        <v>2018</v>
      </c>
      <c r="AC1629" s="217" t="s">
        <v>333</v>
      </c>
      <c r="AD1629" s="217" t="s">
        <v>334</v>
      </c>
      <c r="AE1629" s="217" t="s">
        <v>334</v>
      </c>
    </row>
    <row r="1630" spans="28:31">
      <c r="AB1630" s="231" t="s">
        <v>2019</v>
      </c>
      <c r="AC1630" s="217" t="s">
        <v>333</v>
      </c>
      <c r="AD1630" s="217" t="s">
        <v>334</v>
      </c>
      <c r="AE1630" s="217" t="s">
        <v>334</v>
      </c>
    </row>
    <row r="1631" spans="28:31">
      <c r="AB1631" s="231" t="s">
        <v>2020</v>
      </c>
      <c r="AC1631" s="217" t="s">
        <v>333</v>
      </c>
      <c r="AD1631" s="217" t="s">
        <v>334</v>
      </c>
      <c r="AE1631" s="217" t="s">
        <v>334</v>
      </c>
    </row>
    <row r="1632" spans="28:31">
      <c r="AB1632" s="231" t="s">
        <v>2021</v>
      </c>
      <c r="AC1632" s="217" t="s">
        <v>333</v>
      </c>
      <c r="AD1632" s="217" t="s">
        <v>334</v>
      </c>
      <c r="AE1632" s="217" t="s">
        <v>334</v>
      </c>
    </row>
    <row r="1633" spans="28:31">
      <c r="AB1633" s="231" t="s">
        <v>2022</v>
      </c>
      <c r="AC1633" s="217" t="s">
        <v>333</v>
      </c>
      <c r="AD1633" s="217" t="s">
        <v>334</v>
      </c>
      <c r="AE1633" s="217" t="s">
        <v>334</v>
      </c>
    </row>
    <row r="1634" spans="28:31">
      <c r="AB1634" s="231" t="s">
        <v>2023</v>
      </c>
      <c r="AC1634" s="217" t="s">
        <v>333</v>
      </c>
      <c r="AD1634" s="217" t="s">
        <v>334</v>
      </c>
      <c r="AE1634" s="217" t="s">
        <v>334</v>
      </c>
    </row>
    <row r="1635" spans="28:31">
      <c r="AB1635" s="231" t="s">
        <v>2024</v>
      </c>
      <c r="AC1635" s="217" t="s">
        <v>333</v>
      </c>
      <c r="AD1635" s="217" t="s">
        <v>334</v>
      </c>
      <c r="AE1635" s="217" t="s">
        <v>334</v>
      </c>
    </row>
    <row r="1636" spans="28:31">
      <c r="AB1636" s="231" t="s">
        <v>2025</v>
      </c>
      <c r="AC1636" s="217" t="s">
        <v>333</v>
      </c>
      <c r="AD1636" s="217" t="s">
        <v>334</v>
      </c>
      <c r="AE1636" s="217" t="s">
        <v>334</v>
      </c>
    </row>
    <row r="1637" spans="28:31">
      <c r="AB1637" s="231" t="s">
        <v>2026</v>
      </c>
      <c r="AC1637" s="217" t="s">
        <v>333</v>
      </c>
      <c r="AD1637" s="217" t="s">
        <v>334</v>
      </c>
      <c r="AE1637" s="217" t="s">
        <v>334</v>
      </c>
    </row>
    <row r="1638" spans="28:31">
      <c r="AB1638" s="231" t="s">
        <v>2027</v>
      </c>
      <c r="AC1638" s="217" t="s">
        <v>333</v>
      </c>
      <c r="AD1638" s="217" t="s">
        <v>334</v>
      </c>
      <c r="AE1638" s="217" t="s">
        <v>334</v>
      </c>
    </row>
    <row r="1639" spans="28:31">
      <c r="AB1639" s="231" t="s">
        <v>2028</v>
      </c>
      <c r="AC1639" s="217" t="s">
        <v>333</v>
      </c>
      <c r="AD1639" s="217" t="s">
        <v>334</v>
      </c>
      <c r="AE1639" s="217" t="s">
        <v>334</v>
      </c>
    </row>
    <row r="1640" spans="28:31">
      <c r="AB1640" s="231" t="s">
        <v>2029</v>
      </c>
      <c r="AC1640" s="217" t="s">
        <v>333</v>
      </c>
      <c r="AD1640" s="217" t="s">
        <v>334</v>
      </c>
      <c r="AE1640" s="217" t="s">
        <v>334</v>
      </c>
    </row>
    <row r="1641" spans="28:31">
      <c r="AB1641" s="231" t="s">
        <v>2030</v>
      </c>
      <c r="AC1641" s="217" t="s">
        <v>333</v>
      </c>
      <c r="AD1641" s="217" t="s">
        <v>334</v>
      </c>
      <c r="AE1641" s="217" t="s">
        <v>334</v>
      </c>
    </row>
    <row r="1642" spans="28:31">
      <c r="AB1642" s="231" t="s">
        <v>2031</v>
      </c>
      <c r="AC1642" s="217" t="s">
        <v>333</v>
      </c>
      <c r="AD1642" s="217" t="s">
        <v>334</v>
      </c>
      <c r="AE1642" s="217" t="s">
        <v>334</v>
      </c>
    </row>
    <row r="1643" spans="28:31">
      <c r="AB1643" s="231" t="s">
        <v>2032</v>
      </c>
      <c r="AC1643" s="217" t="s">
        <v>333</v>
      </c>
      <c r="AD1643" s="217" t="s">
        <v>334</v>
      </c>
      <c r="AE1643" s="217" t="s">
        <v>334</v>
      </c>
    </row>
    <row r="1644" spans="28:31">
      <c r="AB1644" s="231" t="s">
        <v>2033</v>
      </c>
      <c r="AC1644" s="217" t="s">
        <v>333</v>
      </c>
      <c r="AD1644" s="217" t="s">
        <v>334</v>
      </c>
      <c r="AE1644" s="217" t="s">
        <v>334</v>
      </c>
    </row>
    <row r="1645" spans="28:31">
      <c r="AB1645" s="231" t="s">
        <v>2034</v>
      </c>
      <c r="AC1645" s="217" t="s">
        <v>333</v>
      </c>
      <c r="AD1645" s="217" t="s">
        <v>334</v>
      </c>
      <c r="AE1645" s="217" t="s">
        <v>334</v>
      </c>
    </row>
    <row r="1646" spans="28:31">
      <c r="AB1646" s="231" t="s">
        <v>2035</v>
      </c>
      <c r="AC1646" s="217" t="s">
        <v>333</v>
      </c>
      <c r="AD1646" s="217" t="s">
        <v>334</v>
      </c>
      <c r="AE1646" s="217" t="s">
        <v>334</v>
      </c>
    </row>
    <row r="1647" spans="28:31">
      <c r="AB1647" s="231" t="s">
        <v>2036</v>
      </c>
      <c r="AC1647" s="217" t="s">
        <v>333</v>
      </c>
      <c r="AD1647" s="217" t="s">
        <v>334</v>
      </c>
      <c r="AE1647" s="217" t="s">
        <v>334</v>
      </c>
    </row>
    <row r="1648" spans="28:31">
      <c r="AB1648" s="231" t="s">
        <v>2037</v>
      </c>
      <c r="AC1648" s="217" t="s">
        <v>333</v>
      </c>
      <c r="AD1648" s="217" t="s">
        <v>334</v>
      </c>
      <c r="AE1648" s="217" t="s">
        <v>334</v>
      </c>
    </row>
    <row r="1649" spans="28:31">
      <c r="AB1649" s="231" t="s">
        <v>2038</v>
      </c>
      <c r="AC1649" s="217" t="s">
        <v>333</v>
      </c>
      <c r="AD1649" s="217" t="s">
        <v>334</v>
      </c>
      <c r="AE1649" s="217" t="s">
        <v>334</v>
      </c>
    </row>
    <row r="1650" spans="28:31">
      <c r="AB1650" s="231" t="s">
        <v>2039</v>
      </c>
      <c r="AC1650" s="217" t="s">
        <v>333</v>
      </c>
      <c r="AD1650" s="217" t="s">
        <v>334</v>
      </c>
      <c r="AE1650" s="217" t="s">
        <v>334</v>
      </c>
    </row>
    <row r="1651" spans="28:31">
      <c r="AB1651" s="231" t="s">
        <v>2040</v>
      </c>
      <c r="AC1651" s="217" t="s">
        <v>333</v>
      </c>
      <c r="AD1651" s="217" t="s">
        <v>334</v>
      </c>
      <c r="AE1651" s="217" t="s">
        <v>334</v>
      </c>
    </row>
    <row r="1652" spans="28:31">
      <c r="AB1652" s="231" t="s">
        <v>2041</v>
      </c>
      <c r="AC1652" s="217" t="s">
        <v>333</v>
      </c>
      <c r="AD1652" s="217" t="s">
        <v>334</v>
      </c>
      <c r="AE1652" s="217" t="s">
        <v>334</v>
      </c>
    </row>
    <row r="1653" spans="28:31">
      <c r="AB1653" s="231" t="s">
        <v>2042</v>
      </c>
      <c r="AC1653" s="217" t="s">
        <v>333</v>
      </c>
      <c r="AD1653" s="217" t="s">
        <v>334</v>
      </c>
      <c r="AE1653" s="217" t="s">
        <v>334</v>
      </c>
    </row>
    <row r="1654" spans="28:31">
      <c r="AB1654" s="231" t="s">
        <v>2043</v>
      </c>
      <c r="AC1654" s="217" t="s">
        <v>333</v>
      </c>
      <c r="AD1654" s="217" t="s">
        <v>334</v>
      </c>
      <c r="AE1654" s="217" t="s">
        <v>334</v>
      </c>
    </row>
    <row r="1655" spans="28:31">
      <c r="AB1655" s="231" t="s">
        <v>2044</v>
      </c>
      <c r="AC1655" s="217" t="s">
        <v>333</v>
      </c>
      <c r="AD1655" s="217" t="s">
        <v>334</v>
      </c>
      <c r="AE1655" s="217" t="s">
        <v>334</v>
      </c>
    </row>
    <row r="1656" spans="28:31">
      <c r="AB1656" s="231" t="s">
        <v>2045</v>
      </c>
      <c r="AC1656" s="217" t="s">
        <v>333</v>
      </c>
      <c r="AD1656" s="217" t="s">
        <v>334</v>
      </c>
      <c r="AE1656" s="217" t="s">
        <v>334</v>
      </c>
    </row>
    <row r="1657" spans="28:31">
      <c r="AB1657" s="231" t="s">
        <v>2046</v>
      </c>
      <c r="AC1657" s="217" t="s">
        <v>333</v>
      </c>
      <c r="AD1657" s="217" t="s">
        <v>334</v>
      </c>
      <c r="AE1657" s="217" t="s">
        <v>334</v>
      </c>
    </row>
    <row r="1658" spans="28:31">
      <c r="AB1658" s="231" t="s">
        <v>2047</v>
      </c>
      <c r="AC1658" s="217" t="s">
        <v>333</v>
      </c>
      <c r="AD1658" s="217" t="s">
        <v>334</v>
      </c>
      <c r="AE1658" s="217" t="s">
        <v>334</v>
      </c>
    </row>
    <row r="1659" spans="28:31">
      <c r="AB1659" s="231" t="s">
        <v>2048</v>
      </c>
      <c r="AC1659" s="217" t="s">
        <v>333</v>
      </c>
      <c r="AD1659" s="217" t="s">
        <v>334</v>
      </c>
      <c r="AE1659" s="217" t="s">
        <v>334</v>
      </c>
    </row>
    <row r="1660" spans="28:31">
      <c r="AB1660" s="231" t="s">
        <v>2049</v>
      </c>
      <c r="AC1660" s="217" t="s">
        <v>333</v>
      </c>
      <c r="AD1660" s="217" t="s">
        <v>334</v>
      </c>
      <c r="AE1660" s="217" t="s">
        <v>334</v>
      </c>
    </row>
    <row r="1661" spans="28:31">
      <c r="AB1661" s="231" t="s">
        <v>2050</v>
      </c>
      <c r="AC1661" s="217" t="s">
        <v>333</v>
      </c>
      <c r="AD1661" s="217" t="s">
        <v>334</v>
      </c>
      <c r="AE1661" s="217" t="s">
        <v>334</v>
      </c>
    </row>
    <row r="1662" spans="28:31">
      <c r="AB1662" s="231" t="s">
        <v>2051</v>
      </c>
      <c r="AC1662" s="217" t="s">
        <v>333</v>
      </c>
      <c r="AD1662" s="217" t="s">
        <v>334</v>
      </c>
      <c r="AE1662" s="217" t="s">
        <v>334</v>
      </c>
    </row>
    <row r="1663" spans="28:31">
      <c r="AB1663" s="231" t="s">
        <v>2052</v>
      </c>
      <c r="AC1663" s="217" t="s">
        <v>333</v>
      </c>
      <c r="AD1663" s="217" t="s">
        <v>334</v>
      </c>
      <c r="AE1663" s="217" t="s">
        <v>334</v>
      </c>
    </row>
    <row r="1664" spans="28:31">
      <c r="AB1664" s="231" t="s">
        <v>2053</v>
      </c>
      <c r="AC1664" s="217" t="s">
        <v>333</v>
      </c>
      <c r="AD1664" s="217" t="s">
        <v>334</v>
      </c>
      <c r="AE1664" s="217" t="s">
        <v>334</v>
      </c>
    </row>
    <row r="1665" spans="28:31">
      <c r="AB1665" s="231" t="s">
        <v>2054</v>
      </c>
      <c r="AC1665" s="217" t="s">
        <v>333</v>
      </c>
      <c r="AD1665" s="217" t="s">
        <v>334</v>
      </c>
      <c r="AE1665" s="217" t="s">
        <v>334</v>
      </c>
    </row>
    <row r="1666" spans="28:31">
      <c r="AB1666" s="231" t="s">
        <v>2055</v>
      </c>
      <c r="AC1666" s="217" t="s">
        <v>333</v>
      </c>
      <c r="AD1666" s="217" t="s">
        <v>334</v>
      </c>
      <c r="AE1666" s="217" t="s">
        <v>334</v>
      </c>
    </row>
    <row r="1667" spans="28:31">
      <c r="AB1667" s="231" t="s">
        <v>2056</v>
      </c>
      <c r="AC1667" s="217" t="s">
        <v>333</v>
      </c>
      <c r="AD1667" s="217" t="s">
        <v>334</v>
      </c>
      <c r="AE1667" s="217" t="s">
        <v>334</v>
      </c>
    </row>
    <row r="1668" spans="28:31">
      <c r="AB1668" s="231" t="s">
        <v>2057</v>
      </c>
      <c r="AC1668" s="217" t="s">
        <v>333</v>
      </c>
      <c r="AD1668" s="217" t="s">
        <v>334</v>
      </c>
      <c r="AE1668" s="217" t="s">
        <v>334</v>
      </c>
    </row>
    <row r="1669" spans="28:31">
      <c r="AB1669" s="231" t="s">
        <v>2058</v>
      </c>
      <c r="AC1669" s="217" t="s">
        <v>333</v>
      </c>
      <c r="AD1669" s="217" t="s">
        <v>334</v>
      </c>
      <c r="AE1669" s="217" t="s">
        <v>334</v>
      </c>
    </row>
    <row r="1670" spans="28:31">
      <c r="AB1670" s="231" t="s">
        <v>2059</v>
      </c>
      <c r="AC1670" s="217" t="s">
        <v>333</v>
      </c>
      <c r="AD1670" s="217" t="s">
        <v>334</v>
      </c>
      <c r="AE1670" s="217" t="s">
        <v>334</v>
      </c>
    </row>
    <row r="1671" spans="28:31">
      <c r="AB1671" s="231" t="s">
        <v>2060</v>
      </c>
      <c r="AC1671" s="217" t="s">
        <v>333</v>
      </c>
      <c r="AD1671" s="217" t="s">
        <v>334</v>
      </c>
      <c r="AE1671" s="217" t="s">
        <v>334</v>
      </c>
    </row>
    <row r="1672" spans="28:31">
      <c r="AB1672" s="231" t="s">
        <v>2061</v>
      </c>
      <c r="AC1672" s="217" t="s">
        <v>333</v>
      </c>
      <c r="AD1672" s="217" t="s">
        <v>334</v>
      </c>
      <c r="AE1672" s="217" t="s">
        <v>334</v>
      </c>
    </row>
    <row r="1673" spans="28:31">
      <c r="AB1673" s="231" t="s">
        <v>2062</v>
      </c>
      <c r="AC1673" s="217" t="s">
        <v>333</v>
      </c>
      <c r="AD1673" s="217" t="s">
        <v>334</v>
      </c>
      <c r="AE1673" s="217" t="s">
        <v>334</v>
      </c>
    </row>
    <row r="1674" spans="28:31">
      <c r="AB1674" s="231" t="s">
        <v>2063</v>
      </c>
      <c r="AC1674" s="217" t="s">
        <v>333</v>
      </c>
      <c r="AD1674" s="217" t="s">
        <v>334</v>
      </c>
      <c r="AE1674" s="217" t="s">
        <v>334</v>
      </c>
    </row>
    <row r="1675" spans="28:31">
      <c r="AB1675" s="231" t="s">
        <v>2064</v>
      </c>
      <c r="AC1675" s="217" t="s">
        <v>333</v>
      </c>
      <c r="AD1675" s="217" t="s">
        <v>334</v>
      </c>
      <c r="AE1675" s="217" t="s">
        <v>334</v>
      </c>
    </row>
    <row r="1676" spans="28:31">
      <c r="AB1676" s="231" t="s">
        <v>2065</v>
      </c>
      <c r="AC1676" s="217" t="s">
        <v>333</v>
      </c>
      <c r="AD1676" s="217" t="s">
        <v>334</v>
      </c>
      <c r="AE1676" s="217" t="s">
        <v>334</v>
      </c>
    </row>
    <row r="1677" spans="28:31">
      <c r="AB1677" s="231" t="s">
        <v>2066</v>
      </c>
      <c r="AC1677" s="217" t="s">
        <v>333</v>
      </c>
      <c r="AD1677" s="217" t="s">
        <v>334</v>
      </c>
      <c r="AE1677" s="217" t="s">
        <v>334</v>
      </c>
    </row>
    <row r="1678" spans="28:31">
      <c r="AB1678" s="231" t="s">
        <v>2067</v>
      </c>
      <c r="AC1678" s="217" t="s">
        <v>333</v>
      </c>
      <c r="AD1678" s="217" t="s">
        <v>334</v>
      </c>
      <c r="AE1678" s="217" t="s">
        <v>334</v>
      </c>
    </row>
    <row r="1679" spans="28:31">
      <c r="AB1679" s="231" t="s">
        <v>2068</v>
      </c>
      <c r="AC1679" s="217" t="s">
        <v>333</v>
      </c>
      <c r="AD1679" s="217" t="s">
        <v>334</v>
      </c>
      <c r="AE1679" s="217" t="s">
        <v>334</v>
      </c>
    </row>
    <row r="1680" spans="28:31">
      <c r="AB1680" s="231" t="s">
        <v>2069</v>
      </c>
      <c r="AC1680" s="217" t="s">
        <v>333</v>
      </c>
      <c r="AD1680" s="217" t="s">
        <v>334</v>
      </c>
      <c r="AE1680" s="217" t="s">
        <v>334</v>
      </c>
    </row>
    <row r="1681" spans="28:31">
      <c r="AB1681" s="231" t="s">
        <v>2070</v>
      </c>
      <c r="AC1681" s="217" t="s">
        <v>333</v>
      </c>
      <c r="AD1681" s="217" t="s">
        <v>334</v>
      </c>
      <c r="AE1681" s="217" t="s">
        <v>334</v>
      </c>
    </row>
    <row r="1682" spans="28:31">
      <c r="AB1682" s="231" t="s">
        <v>2071</v>
      </c>
      <c r="AC1682" s="217" t="s">
        <v>333</v>
      </c>
      <c r="AD1682" s="217" t="s">
        <v>334</v>
      </c>
      <c r="AE1682" s="217" t="s">
        <v>334</v>
      </c>
    </row>
    <row r="1683" spans="28:31">
      <c r="AB1683" s="231" t="s">
        <v>2072</v>
      </c>
      <c r="AC1683" s="217" t="s">
        <v>333</v>
      </c>
      <c r="AD1683" s="217" t="s">
        <v>334</v>
      </c>
      <c r="AE1683" s="217" t="s">
        <v>334</v>
      </c>
    </row>
    <row r="1684" spans="28:31">
      <c r="AB1684" s="231" t="s">
        <v>2073</v>
      </c>
      <c r="AC1684" s="217" t="s">
        <v>333</v>
      </c>
      <c r="AD1684" s="217" t="s">
        <v>334</v>
      </c>
      <c r="AE1684" s="217" t="s">
        <v>334</v>
      </c>
    </row>
    <row r="1685" spans="28:31">
      <c r="AB1685" s="231" t="s">
        <v>2074</v>
      </c>
      <c r="AC1685" s="217" t="s">
        <v>333</v>
      </c>
      <c r="AD1685" s="217" t="s">
        <v>334</v>
      </c>
      <c r="AE1685" s="217" t="s">
        <v>334</v>
      </c>
    </row>
    <row r="1686" spans="28:31">
      <c r="AB1686" s="231" t="s">
        <v>2075</v>
      </c>
      <c r="AC1686" s="217" t="s">
        <v>333</v>
      </c>
      <c r="AD1686" s="217" t="s">
        <v>334</v>
      </c>
      <c r="AE1686" s="217" t="s">
        <v>334</v>
      </c>
    </row>
    <row r="1687" spans="28:31">
      <c r="AB1687" s="231" t="s">
        <v>2076</v>
      </c>
      <c r="AC1687" s="217" t="s">
        <v>333</v>
      </c>
      <c r="AD1687" s="217" t="s">
        <v>334</v>
      </c>
      <c r="AE1687" s="217" t="s">
        <v>334</v>
      </c>
    </row>
    <row r="1688" spans="28:31">
      <c r="AB1688" s="231" t="s">
        <v>2077</v>
      </c>
      <c r="AC1688" s="217" t="s">
        <v>333</v>
      </c>
      <c r="AD1688" s="217" t="s">
        <v>334</v>
      </c>
      <c r="AE1688" s="217" t="s">
        <v>334</v>
      </c>
    </row>
    <row r="1689" spans="28:31">
      <c r="AB1689" s="231" t="s">
        <v>2078</v>
      </c>
      <c r="AC1689" s="217" t="s">
        <v>333</v>
      </c>
      <c r="AD1689" s="217" t="s">
        <v>334</v>
      </c>
      <c r="AE1689" s="217" t="s">
        <v>334</v>
      </c>
    </row>
    <row r="1690" spans="28:31">
      <c r="AB1690" s="231" t="s">
        <v>2079</v>
      </c>
      <c r="AC1690" s="217" t="s">
        <v>333</v>
      </c>
      <c r="AD1690" s="217" t="s">
        <v>334</v>
      </c>
      <c r="AE1690" s="217" t="s">
        <v>334</v>
      </c>
    </row>
    <row r="1691" spans="28:31">
      <c r="AB1691" s="231" t="s">
        <v>2080</v>
      </c>
      <c r="AC1691" s="217" t="s">
        <v>333</v>
      </c>
      <c r="AD1691" s="217" t="s">
        <v>334</v>
      </c>
      <c r="AE1691" s="217" t="s">
        <v>334</v>
      </c>
    </row>
    <row r="1692" spans="28:31">
      <c r="AB1692" s="231" t="s">
        <v>2081</v>
      </c>
      <c r="AC1692" s="217" t="s">
        <v>333</v>
      </c>
      <c r="AD1692" s="217" t="s">
        <v>334</v>
      </c>
      <c r="AE1692" s="217" t="s">
        <v>334</v>
      </c>
    </row>
    <row r="1693" spans="28:31">
      <c r="AB1693" s="231" t="s">
        <v>2082</v>
      </c>
      <c r="AC1693" s="217" t="s">
        <v>333</v>
      </c>
      <c r="AD1693" s="217" t="s">
        <v>334</v>
      </c>
      <c r="AE1693" s="217" t="s">
        <v>334</v>
      </c>
    </row>
    <row r="1694" spans="28:31">
      <c r="AB1694" s="231" t="s">
        <v>2083</v>
      </c>
      <c r="AC1694" s="217" t="s">
        <v>333</v>
      </c>
      <c r="AD1694" s="217" t="s">
        <v>334</v>
      </c>
      <c r="AE1694" s="217" t="s">
        <v>334</v>
      </c>
    </row>
    <row r="1695" spans="28:31">
      <c r="AB1695" s="231" t="s">
        <v>2084</v>
      </c>
      <c r="AC1695" s="217" t="s">
        <v>333</v>
      </c>
      <c r="AD1695" s="217" t="s">
        <v>334</v>
      </c>
      <c r="AE1695" s="217" t="s">
        <v>334</v>
      </c>
    </row>
    <row r="1696" spans="28:31">
      <c r="AB1696" s="231" t="s">
        <v>2085</v>
      </c>
      <c r="AC1696" s="217" t="s">
        <v>333</v>
      </c>
      <c r="AD1696" s="217" t="s">
        <v>334</v>
      </c>
      <c r="AE1696" s="217" t="s">
        <v>334</v>
      </c>
    </row>
    <row r="1697" spans="28:31">
      <c r="AB1697" s="231" t="s">
        <v>2086</v>
      </c>
      <c r="AC1697" s="217" t="s">
        <v>333</v>
      </c>
      <c r="AD1697" s="217" t="s">
        <v>334</v>
      </c>
      <c r="AE1697" s="217" t="s">
        <v>334</v>
      </c>
    </row>
    <row r="1698" spans="28:31">
      <c r="AB1698" s="231" t="s">
        <v>2087</v>
      </c>
      <c r="AC1698" s="217" t="s">
        <v>333</v>
      </c>
      <c r="AD1698" s="217" t="s">
        <v>334</v>
      </c>
      <c r="AE1698" s="217" t="s">
        <v>334</v>
      </c>
    </row>
    <row r="1699" spans="28:31">
      <c r="AB1699" s="231" t="s">
        <v>2088</v>
      </c>
      <c r="AC1699" s="217" t="s">
        <v>333</v>
      </c>
      <c r="AD1699" s="217" t="s">
        <v>334</v>
      </c>
      <c r="AE1699" s="217" t="s">
        <v>334</v>
      </c>
    </row>
    <row r="1700" spans="28:31">
      <c r="AB1700" s="231" t="s">
        <v>2089</v>
      </c>
      <c r="AC1700" s="217" t="s">
        <v>333</v>
      </c>
      <c r="AD1700" s="217" t="s">
        <v>334</v>
      </c>
      <c r="AE1700" s="217" t="s">
        <v>334</v>
      </c>
    </row>
    <row r="1701" spans="28:31">
      <c r="AB1701" s="231" t="s">
        <v>2090</v>
      </c>
      <c r="AC1701" s="217" t="s">
        <v>333</v>
      </c>
      <c r="AD1701" s="217" t="s">
        <v>334</v>
      </c>
      <c r="AE1701" s="217" t="s">
        <v>334</v>
      </c>
    </row>
    <row r="1702" spans="28:31">
      <c r="AB1702" s="231" t="s">
        <v>2091</v>
      </c>
      <c r="AC1702" s="217" t="s">
        <v>333</v>
      </c>
      <c r="AD1702" s="217" t="s">
        <v>334</v>
      </c>
      <c r="AE1702" s="217" t="s">
        <v>334</v>
      </c>
    </row>
    <row r="1703" spans="28:31">
      <c r="AB1703" s="231" t="s">
        <v>2092</v>
      </c>
      <c r="AC1703" s="217" t="s">
        <v>333</v>
      </c>
      <c r="AD1703" s="217" t="s">
        <v>334</v>
      </c>
      <c r="AE1703" s="217" t="s">
        <v>334</v>
      </c>
    </row>
    <row r="1704" spans="28:31">
      <c r="AB1704" s="231" t="s">
        <v>2093</v>
      </c>
      <c r="AC1704" s="217" t="s">
        <v>333</v>
      </c>
      <c r="AD1704" s="217" t="s">
        <v>334</v>
      </c>
      <c r="AE1704" s="217" t="s">
        <v>334</v>
      </c>
    </row>
    <row r="1705" spans="28:31">
      <c r="AB1705" s="231" t="s">
        <v>2094</v>
      </c>
      <c r="AC1705" s="217" t="s">
        <v>333</v>
      </c>
      <c r="AD1705" s="217" t="s">
        <v>334</v>
      </c>
      <c r="AE1705" s="217" t="s">
        <v>334</v>
      </c>
    </row>
    <row r="1706" spans="28:31">
      <c r="AB1706" s="231" t="s">
        <v>2095</v>
      </c>
      <c r="AC1706" s="217" t="s">
        <v>333</v>
      </c>
      <c r="AD1706" s="217" t="s">
        <v>334</v>
      </c>
      <c r="AE1706" s="217" t="s">
        <v>334</v>
      </c>
    </row>
    <row r="1707" spans="28:31">
      <c r="AB1707" s="231" t="s">
        <v>2096</v>
      </c>
      <c r="AC1707" s="217" t="s">
        <v>333</v>
      </c>
      <c r="AD1707" s="217" t="s">
        <v>334</v>
      </c>
      <c r="AE1707" s="217" t="s">
        <v>334</v>
      </c>
    </row>
    <row r="1708" spans="28:31">
      <c r="AB1708" s="231" t="s">
        <v>2097</v>
      </c>
      <c r="AC1708" s="217" t="s">
        <v>333</v>
      </c>
      <c r="AD1708" s="217" t="s">
        <v>334</v>
      </c>
      <c r="AE1708" s="217" t="s">
        <v>334</v>
      </c>
    </row>
    <row r="1709" spans="28:31">
      <c r="AB1709" s="231" t="s">
        <v>2098</v>
      </c>
      <c r="AC1709" s="217" t="s">
        <v>333</v>
      </c>
      <c r="AD1709" s="217" t="s">
        <v>334</v>
      </c>
      <c r="AE1709" s="217" t="s">
        <v>334</v>
      </c>
    </row>
    <row r="1710" spans="28:31">
      <c r="AB1710" s="231" t="s">
        <v>2099</v>
      </c>
      <c r="AC1710" s="217" t="s">
        <v>333</v>
      </c>
      <c r="AD1710" s="217" t="s">
        <v>334</v>
      </c>
      <c r="AE1710" s="217" t="s">
        <v>334</v>
      </c>
    </row>
    <row r="1711" spans="28:31">
      <c r="AB1711" s="231" t="s">
        <v>2100</v>
      </c>
      <c r="AC1711" s="217" t="s">
        <v>333</v>
      </c>
      <c r="AD1711" s="217" t="s">
        <v>334</v>
      </c>
      <c r="AE1711" s="217" t="s">
        <v>334</v>
      </c>
    </row>
    <row r="1712" spans="28:31">
      <c r="AB1712" s="231" t="s">
        <v>2101</v>
      </c>
      <c r="AC1712" s="217" t="s">
        <v>333</v>
      </c>
      <c r="AD1712" s="217" t="s">
        <v>334</v>
      </c>
      <c r="AE1712" s="217" t="s">
        <v>334</v>
      </c>
    </row>
    <row r="1713" spans="28:31">
      <c r="AB1713" s="231" t="s">
        <v>2102</v>
      </c>
      <c r="AC1713" s="217" t="s">
        <v>333</v>
      </c>
      <c r="AD1713" s="217" t="s">
        <v>334</v>
      </c>
      <c r="AE1713" s="217" t="s">
        <v>334</v>
      </c>
    </row>
    <row r="1714" spans="28:31">
      <c r="AB1714" s="231" t="s">
        <v>2103</v>
      </c>
      <c r="AC1714" s="217" t="s">
        <v>333</v>
      </c>
      <c r="AD1714" s="217" t="s">
        <v>334</v>
      </c>
      <c r="AE1714" s="217" t="s">
        <v>334</v>
      </c>
    </row>
    <row r="1715" spans="28:31">
      <c r="AB1715" s="231" t="s">
        <v>2104</v>
      </c>
      <c r="AC1715" s="217" t="s">
        <v>333</v>
      </c>
      <c r="AD1715" s="217" t="s">
        <v>334</v>
      </c>
      <c r="AE1715" s="217" t="s">
        <v>334</v>
      </c>
    </row>
    <row r="1716" spans="28:31">
      <c r="AB1716" s="231" t="s">
        <v>2105</v>
      </c>
      <c r="AC1716" s="217" t="s">
        <v>333</v>
      </c>
      <c r="AD1716" s="217" t="s">
        <v>334</v>
      </c>
      <c r="AE1716" s="217" t="s">
        <v>334</v>
      </c>
    </row>
    <row r="1717" spans="28:31">
      <c r="AB1717" s="231" t="s">
        <v>2106</v>
      </c>
      <c r="AC1717" s="217" t="s">
        <v>333</v>
      </c>
      <c r="AD1717" s="217" t="s">
        <v>334</v>
      </c>
      <c r="AE1717" s="217" t="s">
        <v>334</v>
      </c>
    </row>
    <row r="1718" spans="28:31">
      <c r="AB1718" s="231" t="s">
        <v>2107</v>
      </c>
      <c r="AC1718" s="217" t="s">
        <v>333</v>
      </c>
      <c r="AD1718" s="217" t="s">
        <v>334</v>
      </c>
      <c r="AE1718" s="217" t="s">
        <v>334</v>
      </c>
    </row>
    <row r="1719" spans="28:31">
      <c r="AB1719" s="231" t="s">
        <v>2108</v>
      </c>
      <c r="AC1719" s="217" t="s">
        <v>333</v>
      </c>
      <c r="AD1719" s="217" t="s">
        <v>334</v>
      </c>
      <c r="AE1719" s="217" t="s">
        <v>334</v>
      </c>
    </row>
    <row r="1720" spans="28:31">
      <c r="AB1720" s="231" t="s">
        <v>2109</v>
      </c>
      <c r="AC1720" s="217" t="s">
        <v>333</v>
      </c>
      <c r="AD1720" s="217" t="s">
        <v>334</v>
      </c>
      <c r="AE1720" s="217" t="s">
        <v>334</v>
      </c>
    </row>
    <row r="1721" spans="28:31">
      <c r="AB1721" s="231" t="s">
        <v>2110</v>
      </c>
      <c r="AC1721" s="217" t="s">
        <v>333</v>
      </c>
      <c r="AD1721" s="217" t="s">
        <v>334</v>
      </c>
      <c r="AE1721" s="217" t="s">
        <v>334</v>
      </c>
    </row>
    <row r="1722" spans="28:31">
      <c r="AB1722" s="231" t="s">
        <v>2111</v>
      </c>
      <c r="AC1722" s="217" t="s">
        <v>333</v>
      </c>
      <c r="AD1722" s="217" t="s">
        <v>334</v>
      </c>
      <c r="AE1722" s="217" t="s">
        <v>334</v>
      </c>
    </row>
    <row r="1723" spans="28:31">
      <c r="AB1723" s="231" t="s">
        <v>2112</v>
      </c>
      <c r="AC1723" s="217" t="s">
        <v>333</v>
      </c>
      <c r="AD1723" s="217" t="s">
        <v>334</v>
      </c>
      <c r="AE1723" s="217" t="s">
        <v>334</v>
      </c>
    </row>
    <row r="1724" spans="28:31">
      <c r="AB1724" s="231" t="s">
        <v>2113</v>
      </c>
      <c r="AC1724" s="217" t="s">
        <v>333</v>
      </c>
      <c r="AD1724" s="217" t="s">
        <v>334</v>
      </c>
      <c r="AE1724" s="217" t="s">
        <v>334</v>
      </c>
    </row>
    <row r="1725" spans="28:31">
      <c r="AB1725" s="231" t="s">
        <v>2114</v>
      </c>
      <c r="AC1725" s="217" t="s">
        <v>333</v>
      </c>
      <c r="AD1725" s="217" t="s">
        <v>334</v>
      </c>
      <c r="AE1725" s="217" t="s">
        <v>334</v>
      </c>
    </row>
    <row r="1726" spans="28:31">
      <c r="AB1726" s="231" t="s">
        <v>2115</v>
      </c>
      <c r="AC1726" s="217" t="s">
        <v>333</v>
      </c>
      <c r="AD1726" s="217" t="s">
        <v>334</v>
      </c>
      <c r="AE1726" s="217" t="s">
        <v>334</v>
      </c>
    </row>
    <row r="1727" spans="28:31">
      <c r="AB1727" s="231" t="s">
        <v>2116</v>
      </c>
      <c r="AC1727" s="217" t="s">
        <v>333</v>
      </c>
      <c r="AD1727" s="217" t="s">
        <v>334</v>
      </c>
      <c r="AE1727" s="217" t="s">
        <v>334</v>
      </c>
    </row>
    <row r="1728" spans="28:31">
      <c r="AB1728" s="231" t="s">
        <v>2117</v>
      </c>
      <c r="AC1728" s="217" t="s">
        <v>333</v>
      </c>
      <c r="AD1728" s="217" t="s">
        <v>334</v>
      </c>
      <c r="AE1728" s="217" t="s">
        <v>334</v>
      </c>
    </row>
    <row r="1729" spans="28:31">
      <c r="AB1729" s="231" t="s">
        <v>2118</v>
      </c>
      <c r="AC1729" s="217" t="s">
        <v>333</v>
      </c>
      <c r="AD1729" s="217" t="s">
        <v>334</v>
      </c>
      <c r="AE1729" s="217" t="s">
        <v>334</v>
      </c>
    </row>
    <row r="1730" spans="28:31">
      <c r="AB1730" s="231" t="s">
        <v>2119</v>
      </c>
      <c r="AC1730" s="217" t="s">
        <v>333</v>
      </c>
      <c r="AD1730" s="217" t="s">
        <v>334</v>
      </c>
      <c r="AE1730" s="217" t="s">
        <v>334</v>
      </c>
    </row>
    <row r="1731" spans="28:31">
      <c r="AB1731" s="231" t="s">
        <v>2120</v>
      </c>
      <c r="AC1731" s="217" t="s">
        <v>333</v>
      </c>
      <c r="AD1731" s="217" t="s">
        <v>334</v>
      </c>
      <c r="AE1731" s="217" t="s">
        <v>334</v>
      </c>
    </row>
    <row r="1732" spans="28:31">
      <c r="AB1732" s="231" t="s">
        <v>2121</v>
      </c>
      <c r="AC1732" s="217" t="s">
        <v>333</v>
      </c>
      <c r="AD1732" s="217" t="s">
        <v>334</v>
      </c>
      <c r="AE1732" s="217" t="s">
        <v>334</v>
      </c>
    </row>
    <row r="1733" spans="28:31">
      <c r="AB1733" s="231" t="s">
        <v>2122</v>
      </c>
      <c r="AC1733" s="217" t="s">
        <v>333</v>
      </c>
      <c r="AD1733" s="217" t="s">
        <v>334</v>
      </c>
      <c r="AE1733" s="217" t="s">
        <v>334</v>
      </c>
    </row>
    <row r="1734" spans="28:31">
      <c r="AB1734" s="231" t="s">
        <v>2123</v>
      </c>
      <c r="AC1734" s="217" t="s">
        <v>333</v>
      </c>
      <c r="AD1734" s="217" t="s">
        <v>334</v>
      </c>
      <c r="AE1734" s="217" t="s">
        <v>334</v>
      </c>
    </row>
    <row r="1735" spans="28:31">
      <c r="AB1735" s="231" t="s">
        <v>2124</v>
      </c>
      <c r="AC1735" s="217" t="s">
        <v>333</v>
      </c>
      <c r="AD1735" s="217" t="s">
        <v>334</v>
      </c>
      <c r="AE1735" s="217" t="s">
        <v>334</v>
      </c>
    </row>
    <row r="1736" spans="28:31">
      <c r="AB1736" s="231" t="s">
        <v>2125</v>
      </c>
      <c r="AC1736" s="217" t="s">
        <v>333</v>
      </c>
      <c r="AD1736" s="217" t="s">
        <v>334</v>
      </c>
      <c r="AE1736" s="217" t="s">
        <v>334</v>
      </c>
    </row>
    <row r="1737" spans="28:31">
      <c r="AB1737" s="231" t="s">
        <v>2126</v>
      </c>
      <c r="AC1737" s="217" t="s">
        <v>333</v>
      </c>
      <c r="AD1737" s="217" t="s">
        <v>334</v>
      </c>
      <c r="AE1737" s="217" t="s">
        <v>334</v>
      </c>
    </row>
    <row r="1738" spans="28:31">
      <c r="AB1738" s="231" t="s">
        <v>2127</v>
      </c>
      <c r="AC1738" s="217" t="s">
        <v>333</v>
      </c>
      <c r="AD1738" s="217" t="s">
        <v>334</v>
      </c>
      <c r="AE1738" s="217" t="s">
        <v>334</v>
      </c>
    </row>
    <row r="1739" spans="28:31">
      <c r="AB1739" s="231" t="s">
        <v>2128</v>
      </c>
      <c r="AC1739" s="217" t="s">
        <v>333</v>
      </c>
      <c r="AD1739" s="217" t="s">
        <v>334</v>
      </c>
      <c r="AE1739" s="217" t="s">
        <v>334</v>
      </c>
    </row>
    <row r="1740" spans="28:31">
      <c r="AB1740" s="231" t="s">
        <v>2129</v>
      </c>
      <c r="AC1740" s="217" t="s">
        <v>333</v>
      </c>
      <c r="AD1740" s="217" t="s">
        <v>334</v>
      </c>
      <c r="AE1740" s="217" t="s">
        <v>334</v>
      </c>
    </row>
    <row r="1741" spans="28:31">
      <c r="AB1741" s="231" t="s">
        <v>2130</v>
      </c>
      <c r="AC1741" s="217" t="s">
        <v>333</v>
      </c>
      <c r="AD1741" s="217" t="s">
        <v>334</v>
      </c>
      <c r="AE1741" s="217" t="s">
        <v>334</v>
      </c>
    </row>
    <row r="1742" spans="28:31">
      <c r="AB1742" s="231" t="s">
        <v>2131</v>
      </c>
      <c r="AC1742" s="217" t="s">
        <v>333</v>
      </c>
      <c r="AD1742" s="217" t="s">
        <v>334</v>
      </c>
      <c r="AE1742" s="217" t="s">
        <v>334</v>
      </c>
    </row>
    <row r="1743" spans="28:31">
      <c r="AB1743" s="231" t="s">
        <v>2132</v>
      </c>
      <c r="AC1743" s="217" t="s">
        <v>333</v>
      </c>
      <c r="AD1743" s="217" t="s">
        <v>334</v>
      </c>
      <c r="AE1743" s="217" t="s">
        <v>334</v>
      </c>
    </row>
    <row r="1744" spans="28:31">
      <c r="AB1744" s="231" t="s">
        <v>2133</v>
      </c>
      <c r="AC1744" s="217" t="s">
        <v>333</v>
      </c>
      <c r="AD1744" s="217" t="s">
        <v>334</v>
      </c>
      <c r="AE1744" s="217" t="s">
        <v>334</v>
      </c>
    </row>
    <row r="1745" spans="28:31">
      <c r="AB1745" s="231" t="s">
        <v>2134</v>
      </c>
      <c r="AC1745" s="217" t="s">
        <v>333</v>
      </c>
      <c r="AD1745" s="217" t="s">
        <v>334</v>
      </c>
      <c r="AE1745" s="217" t="s">
        <v>334</v>
      </c>
    </row>
    <row r="1746" spans="28:31">
      <c r="AB1746" s="231" t="s">
        <v>2135</v>
      </c>
      <c r="AC1746" s="217" t="s">
        <v>333</v>
      </c>
      <c r="AD1746" s="217" t="s">
        <v>334</v>
      </c>
      <c r="AE1746" s="217" t="s">
        <v>334</v>
      </c>
    </row>
    <row r="1747" spans="28:31">
      <c r="AB1747" s="231" t="s">
        <v>2136</v>
      </c>
      <c r="AC1747" s="217" t="s">
        <v>333</v>
      </c>
      <c r="AD1747" s="217" t="s">
        <v>334</v>
      </c>
      <c r="AE1747" s="217" t="s">
        <v>334</v>
      </c>
    </row>
    <row r="1748" spans="28:31">
      <c r="AB1748" s="231" t="s">
        <v>2137</v>
      </c>
      <c r="AC1748" s="217" t="s">
        <v>333</v>
      </c>
      <c r="AD1748" s="217" t="s">
        <v>334</v>
      </c>
      <c r="AE1748" s="217" t="s">
        <v>334</v>
      </c>
    </row>
    <row r="1749" spans="28:31">
      <c r="AB1749" s="231" t="s">
        <v>2138</v>
      </c>
      <c r="AC1749" s="217" t="s">
        <v>333</v>
      </c>
      <c r="AD1749" s="217" t="s">
        <v>334</v>
      </c>
      <c r="AE1749" s="217" t="s">
        <v>334</v>
      </c>
    </row>
    <row r="1750" spans="28:31">
      <c r="AB1750" s="231" t="s">
        <v>2139</v>
      </c>
      <c r="AC1750" s="217" t="s">
        <v>333</v>
      </c>
      <c r="AD1750" s="217" t="s">
        <v>334</v>
      </c>
      <c r="AE1750" s="217" t="s">
        <v>334</v>
      </c>
    </row>
    <row r="1751" spans="28:31">
      <c r="AB1751" s="231" t="s">
        <v>2140</v>
      </c>
      <c r="AC1751" s="217" t="s">
        <v>333</v>
      </c>
      <c r="AD1751" s="217" t="s">
        <v>334</v>
      </c>
      <c r="AE1751" s="217" t="s">
        <v>334</v>
      </c>
    </row>
    <row r="1752" spans="28:31">
      <c r="AB1752" s="231" t="s">
        <v>2141</v>
      </c>
      <c r="AC1752" s="217" t="s">
        <v>333</v>
      </c>
      <c r="AD1752" s="217" t="s">
        <v>334</v>
      </c>
      <c r="AE1752" s="217" t="s">
        <v>334</v>
      </c>
    </row>
    <row r="1753" spans="28:31">
      <c r="AB1753" s="231" t="s">
        <v>2142</v>
      </c>
      <c r="AC1753" s="217" t="s">
        <v>333</v>
      </c>
      <c r="AD1753" s="217" t="s">
        <v>334</v>
      </c>
      <c r="AE1753" s="217" t="s">
        <v>334</v>
      </c>
    </row>
    <row r="1754" spans="28:31">
      <c r="AB1754" s="231" t="s">
        <v>2143</v>
      </c>
      <c r="AC1754" s="217" t="s">
        <v>333</v>
      </c>
      <c r="AD1754" s="217" t="s">
        <v>334</v>
      </c>
      <c r="AE1754" s="217" t="s">
        <v>334</v>
      </c>
    </row>
    <row r="1755" spans="28:31">
      <c r="AB1755" s="231" t="s">
        <v>2144</v>
      </c>
      <c r="AC1755" s="217" t="s">
        <v>333</v>
      </c>
      <c r="AD1755" s="217" t="s">
        <v>334</v>
      </c>
      <c r="AE1755" s="217" t="s">
        <v>334</v>
      </c>
    </row>
    <row r="1756" spans="28:31">
      <c r="AB1756" s="231" t="s">
        <v>2145</v>
      </c>
      <c r="AC1756" s="217" t="s">
        <v>333</v>
      </c>
      <c r="AD1756" s="217" t="s">
        <v>334</v>
      </c>
      <c r="AE1756" s="217" t="s">
        <v>334</v>
      </c>
    </row>
    <row r="1757" spans="28:31">
      <c r="AB1757" s="231" t="s">
        <v>2146</v>
      </c>
      <c r="AC1757" s="217" t="s">
        <v>333</v>
      </c>
      <c r="AD1757" s="217" t="s">
        <v>334</v>
      </c>
      <c r="AE1757" s="217" t="s">
        <v>334</v>
      </c>
    </row>
    <row r="1758" spans="28:31">
      <c r="AB1758" s="231" t="s">
        <v>2147</v>
      </c>
      <c r="AC1758" s="217" t="s">
        <v>333</v>
      </c>
      <c r="AD1758" s="217" t="s">
        <v>334</v>
      </c>
      <c r="AE1758" s="217" t="s">
        <v>334</v>
      </c>
    </row>
    <row r="1759" spans="28:31">
      <c r="AB1759" s="231" t="s">
        <v>2148</v>
      </c>
      <c r="AC1759" s="217" t="s">
        <v>333</v>
      </c>
      <c r="AD1759" s="217" t="s">
        <v>334</v>
      </c>
      <c r="AE1759" s="217" t="s">
        <v>334</v>
      </c>
    </row>
    <row r="1760" spans="28:31">
      <c r="AB1760" s="231" t="s">
        <v>2149</v>
      </c>
      <c r="AC1760" s="217" t="s">
        <v>333</v>
      </c>
      <c r="AD1760" s="217" t="s">
        <v>334</v>
      </c>
      <c r="AE1760" s="217" t="s">
        <v>334</v>
      </c>
    </row>
    <row r="1761" spans="28:31">
      <c r="AB1761" s="231" t="s">
        <v>2150</v>
      </c>
      <c r="AC1761" s="217" t="s">
        <v>333</v>
      </c>
      <c r="AD1761" s="217" t="s">
        <v>334</v>
      </c>
      <c r="AE1761" s="217" t="s">
        <v>334</v>
      </c>
    </row>
    <row r="1762" spans="28:31">
      <c r="AB1762" s="231" t="s">
        <v>2151</v>
      </c>
      <c r="AC1762" s="217" t="s">
        <v>333</v>
      </c>
      <c r="AD1762" s="217" t="s">
        <v>334</v>
      </c>
      <c r="AE1762" s="217" t="s">
        <v>334</v>
      </c>
    </row>
    <row r="1763" spans="28:31">
      <c r="AB1763" s="231" t="s">
        <v>2152</v>
      </c>
      <c r="AC1763" s="217" t="s">
        <v>333</v>
      </c>
      <c r="AD1763" s="217" t="s">
        <v>334</v>
      </c>
      <c r="AE1763" s="217" t="s">
        <v>334</v>
      </c>
    </row>
    <row r="1764" spans="28:31">
      <c r="AB1764" s="231" t="s">
        <v>2153</v>
      </c>
      <c r="AC1764" s="217" t="s">
        <v>333</v>
      </c>
      <c r="AD1764" s="217" t="s">
        <v>334</v>
      </c>
      <c r="AE1764" s="217" t="s">
        <v>334</v>
      </c>
    </row>
    <row r="1765" spans="28:31">
      <c r="AB1765" s="231" t="s">
        <v>2154</v>
      </c>
      <c r="AC1765" s="217" t="s">
        <v>333</v>
      </c>
      <c r="AD1765" s="217" t="s">
        <v>334</v>
      </c>
      <c r="AE1765" s="217" t="s">
        <v>334</v>
      </c>
    </row>
    <row r="1766" spans="28:31">
      <c r="AB1766" s="231" t="s">
        <v>2155</v>
      </c>
      <c r="AC1766" s="217" t="s">
        <v>333</v>
      </c>
      <c r="AD1766" s="217" t="s">
        <v>334</v>
      </c>
      <c r="AE1766" s="217" t="s">
        <v>334</v>
      </c>
    </row>
    <row r="1767" spans="28:31">
      <c r="AB1767" s="231" t="s">
        <v>2156</v>
      </c>
      <c r="AC1767" s="217" t="s">
        <v>333</v>
      </c>
      <c r="AD1767" s="217" t="s">
        <v>334</v>
      </c>
      <c r="AE1767" s="217" t="s">
        <v>334</v>
      </c>
    </row>
    <row r="1768" spans="28:31">
      <c r="AB1768" s="231" t="s">
        <v>2157</v>
      </c>
      <c r="AC1768" s="217" t="s">
        <v>333</v>
      </c>
      <c r="AD1768" s="217" t="s">
        <v>334</v>
      </c>
      <c r="AE1768" s="217" t="s">
        <v>334</v>
      </c>
    </row>
    <row r="1769" spans="28:31">
      <c r="AB1769" s="231" t="s">
        <v>2158</v>
      </c>
      <c r="AC1769" s="217" t="s">
        <v>333</v>
      </c>
      <c r="AD1769" s="217" t="s">
        <v>334</v>
      </c>
      <c r="AE1769" s="217" t="s">
        <v>334</v>
      </c>
    </row>
    <row r="1770" spans="28:31">
      <c r="AB1770" s="231" t="s">
        <v>2159</v>
      </c>
      <c r="AC1770" s="217" t="s">
        <v>333</v>
      </c>
      <c r="AD1770" s="217" t="s">
        <v>334</v>
      </c>
      <c r="AE1770" s="217" t="s">
        <v>334</v>
      </c>
    </row>
    <row r="1771" spans="28:31">
      <c r="AB1771" s="231" t="s">
        <v>2160</v>
      </c>
      <c r="AC1771" s="217" t="s">
        <v>333</v>
      </c>
      <c r="AD1771" s="217" t="s">
        <v>334</v>
      </c>
      <c r="AE1771" s="217" t="s">
        <v>334</v>
      </c>
    </row>
    <row r="1772" spans="28:31">
      <c r="AB1772" s="231" t="s">
        <v>2161</v>
      </c>
      <c r="AC1772" s="217" t="s">
        <v>333</v>
      </c>
      <c r="AD1772" s="217" t="s">
        <v>334</v>
      </c>
      <c r="AE1772" s="217" t="s">
        <v>334</v>
      </c>
    </row>
    <row r="1773" spans="28:31">
      <c r="AB1773" s="231" t="s">
        <v>2162</v>
      </c>
      <c r="AC1773" s="217" t="s">
        <v>333</v>
      </c>
      <c r="AD1773" s="217" t="s">
        <v>334</v>
      </c>
      <c r="AE1773" s="217" t="s">
        <v>334</v>
      </c>
    </row>
    <row r="1774" spans="28:31">
      <c r="AB1774" s="231" t="s">
        <v>2163</v>
      </c>
      <c r="AC1774" s="217" t="s">
        <v>333</v>
      </c>
      <c r="AD1774" s="217" t="s">
        <v>334</v>
      </c>
      <c r="AE1774" s="217" t="s">
        <v>334</v>
      </c>
    </row>
    <row r="1775" spans="28:31">
      <c r="AB1775" s="231" t="s">
        <v>2164</v>
      </c>
      <c r="AC1775" s="217" t="s">
        <v>333</v>
      </c>
      <c r="AD1775" s="217" t="s">
        <v>334</v>
      </c>
      <c r="AE1775" s="217" t="s">
        <v>334</v>
      </c>
    </row>
    <row r="1776" spans="28:31">
      <c r="AB1776" s="231" t="s">
        <v>2165</v>
      </c>
      <c r="AC1776" s="217" t="s">
        <v>333</v>
      </c>
      <c r="AD1776" s="217" t="s">
        <v>334</v>
      </c>
      <c r="AE1776" s="217" t="s">
        <v>334</v>
      </c>
    </row>
    <row r="1777" spans="28:31">
      <c r="AB1777" s="231" t="s">
        <v>2166</v>
      </c>
      <c r="AC1777" s="217" t="s">
        <v>333</v>
      </c>
      <c r="AD1777" s="217" t="s">
        <v>334</v>
      </c>
      <c r="AE1777" s="217" t="s">
        <v>334</v>
      </c>
    </row>
    <row r="1778" spans="28:31">
      <c r="AB1778" s="231" t="s">
        <v>2167</v>
      </c>
      <c r="AC1778" s="217" t="s">
        <v>333</v>
      </c>
      <c r="AD1778" s="217" t="s">
        <v>334</v>
      </c>
      <c r="AE1778" s="217" t="s">
        <v>334</v>
      </c>
    </row>
    <row r="1779" spans="28:31">
      <c r="AB1779" s="231" t="s">
        <v>2168</v>
      </c>
      <c r="AC1779" s="217" t="s">
        <v>333</v>
      </c>
      <c r="AD1779" s="217" t="s">
        <v>334</v>
      </c>
      <c r="AE1779" s="217" t="s">
        <v>334</v>
      </c>
    </row>
    <row r="1780" spans="28:31">
      <c r="AB1780" s="231" t="s">
        <v>2169</v>
      </c>
      <c r="AC1780" s="217" t="s">
        <v>333</v>
      </c>
      <c r="AD1780" s="217" t="s">
        <v>334</v>
      </c>
      <c r="AE1780" s="217" t="s">
        <v>334</v>
      </c>
    </row>
    <row r="1781" spans="28:31">
      <c r="AB1781" s="231" t="s">
        <v>2170</v>
      </c>
      <c r="AC1781" s="217" t="s">
        <v>333</v>
      </c>
      <c r="AD1781" s="217" t="s">
        <v>334</v>
      </c>
      <c r="AE1781" s="217" t="s">
        <v>334</v>
      </c>
    </row>
    <row r="1782" spans="28:31">
      <c r="AB1782" s="231" t="s">
        <v>2171</v>
      </c>
      <c r="AC1782" s="217" t="s">
        <v>333</v>
      </c>
      <c r="AD1782" s="217" t="s">
        <v>334</v>
      </c>
      <c r="AE1782" s="217" t="s">
        <v>334</v>
      </c>
    </row>
    <row r="1783" spans="28:31">
      <c r="AB1783" s="231" t="s">
        <v>2172</v>
      </c>
      <c r="AC1783" s="217" t="s">
        <v>333</v>
      </c>
      <c r="AD1783" s="217" t="s">
        <v>334</v>
      </c>
      <c r="AE1783" s="217" t="s">
        <v>334</v>
      </c>
    </row>
    <row r="1784" spans="28:31">
      <c r="AB1784" s="231" t="s">
        <v>2173</v>
      </c>
      <c r="AC1784" s="217" t="s">
        <v>333</v>
      </c>
      <c r="AD1784" s="217" t="s">
        <v>334</v>
      </c>
      <c r="AE1784" s="217" t="s">
        <v>334</v>
      </c>
    </row>
    <row r="1785" spans="28:31">
      <c r="AB1785" s="231" t="s">
        <v>2174</v>
      </c>
      <c r="AC1785" s="217" t="s">
        <v>333</v>
      </c>
      <c r="AD1785" s="217" t="s">
        <v>334</v>
      </c>
      <c r="AE1785" s="217" t="s">
        <v>334</v>
      </c>
    </row>
    <row r="1786" spans="28:31">
      <c r="AB1786" s="231" t="s">
        <v>2175</v>
      </c>
      <c r="AC1786" s="217" t="s">
        <v>333</v>
      </c>
      <c r="AD1786" s="217" t="s">
        <v>334</v>
      </c>
      <c r="AE1786" s="217" t="s">
        <v>334</v>
      </c>
    </row>
    <row r="1787" spans="28:31">
      <c r="AB1787" s="231" t="s">
        <v>2176</v>
      </c>
      <c r="AC1787" s="217" t="s">
        <v>333</v>
      </c>
      <c r="AD1787" s="217" t="s">
        <v>334</v>
      </c>
      <c r="AE1787" s="217" t="s">
        <v>334</v>
      </c>
    </row>
    <row r="1788" spans="28:31">
      <c r="AB1788" s="231" t="s">
        <v>2177</v>
      </c>
      <c r="AC1788" s="217" t="s">
        <v>333</v>
      </c>
      <c r="AD1788" s="217" t="s">
        <v>334</v>
      </c>
      <c r="AE1788" s="217" t="s">
        <v>334</v>
      </c>
    </row>
    <row r="1789" spans="28:31">
      <c r="AB1789" s="231" t="s">
        <v>2178</v>
      </c>
      <c r="AC1789" s="217" t="s">
        <v>333</v>
      </c>
      <c r="AD1789" s="217" t="s">
        <v>334</v>
      </c>
      <c r="AE1789" s="217" t="s">
        <v>334</v>
      </c>
    </row>
    <row r="1790" spans="28:31">
      <c r="AB1790" s="231" t="s">
        <v>2179</v>
      </c>
      <c r="AC1790" s="217" t="s">
        <v>333</v>
      </c>
      <c r="AD1790" s="217" t="s">
        <v>334</v>
      </c>
      <c r="AE1790" s="217" t="s">
        <v>334</v>
      </c>
    </row>
    <row r="1791" spans="28:31">
      <c r="AB1791" s="231" t="s">
        <v>2180</v>
      </c>
      <c r="AC1791" s="217" t="s">
        <v>333</v>
      </c>
      <c r="AD1791" s="217" t="s">
        <v>334</v>
      </c>
      <c r="AE1791" s="217" t="s">
        <v>334</v>
      </c>
    </row>
    <row r="1792" spans="28:31">
      <c r="AB1792" s="231" t="s">
        <v>2181</v>
      </c>
      <c r="AC1792" s="217" t="s">
        <v>333</v>
      </c>
      <c r="AD1792" s="217" t="s">
        <v>334</v>
      </c>
      <c r="AE1792" s="217" t="s">
        <v>334</v>
      </c>
    </row>
    <row r="1793" spans="28:31">
      <c r="AB1793" s="231" t="s">
        <v>2182</v>
      </c>
      <c r="AC1793" s="217" t="s">
        <v>333</v>
      </c>
      <c r="AD1793" s="217" t="s">
        <v>334</v>
      </c>
      <c r="AE1793" s="217" t="s">
        <v>334</v>
      </c>
    </row>
    <row r="1794" spans="28:31">
      <c r="AB1794" s="231" t="s">
        <v>2183</v>
      </c>
      <c r="AC1794" s="217" t="s">
        <v>333</v>
      </c>
      <c r="AD1794" s="217" t="s">
        <v>334</v>
      </c>
      <c r="AE1794" s="217" t="s">
        <v>334</v>
      </c>
    </row>
    <row r="1795" spans="28:31">
      <c r="AB1795" s="231" t="s">
        <v>2184</v>
      </c>
      <c r="AC1795" s="217" t="s">
        <v>333</v>
      </c>
      <c r="AD1795" s="217" t="s">
        <v>334</v>
      </c>
      <c r="AE1795" s="217" t="s">
        <v>334</v>
      </c>
    </row>
    <row r="1796" spans="28:31">
      <c r="AB1796" s="231" t="s">
        <v>2185</v>
      </c>
      <c r="AC1796" s="217" t="s">
        <v>333</v>
      </c>
      <c r="AD1796" s="217" t="s">
        <v>334</v>
      </c>
      <c r="AE1796" s="217" t="s">
        <v>334</v>
      </c>
    </row>
    <row r="1797" spans="28:31">
      <c r="AB1797" s="231" t="s">
        <v>2186</v>
      </c>
      <c r="AC1797" s="217" t="s">
        <v>333</v>
      </c>
      <c r="AD1797" s="217" t="s">
        <v>334</v>
      </c>
      <c r="AE1797" s="217" t="s">
        <v>334</v>
      </c>
    </row>
    <row r="1798" spans="28:31">
      <c r="AB1798" s="231" t="s">
        <v>2187</v>
      </c>
      <c r="AC1798" s="217" t="s">
        <v>333</v>
      </c>
      <c r="AD1798" s="217" t="s">
        <v>334</v>
      </c>
      <c r="AE1798" s="217" t="s">
        <v>334</v>
      </c>
    </row>
    <row r="1799" spans="28:31">
      <c r="AB1799" s="231" t="s">
        <v>2188</v>
      </c>
      <c r="AC1799" s="217" t="s">
        <v>333</v>
      </c>
      <c r="AD1799" s="217" t="s">
        <v>334</v>
      </c>
      <c r="AE1799" s="217" t="s">
        <v>334</v>
      </c>
    </row>
    <row r="1800" spans="28:31">
      <c r="AB1800" s="231" t="s">
        <v>2189</v>
      </c>
      <c r="AC1800" s="217" t="s">
        <v>333</v>
      </c>
      <c r="AD1800" s="217" t="s">
        <v>334</v>
      </c>
      <c r="AE1800" s="217" t="s">
        <v>334</v>
      </c>
    </row>
    <row r="1801" spans="28:31">
      <c r="AB1801" s="231" t="s">
        <v>2190</v>
      </c>
      <c r="AC1801" s="217" t="s">
        <v>333</v>
      </c>
      <c r="AD1801" s="217" t="s">
        <v>334</v>
      </c>
      <c r="AE1801" s="217" t="s">
        <v>334</v>
      </c>
    </row>
    <row r="1802" spans="28:31">
      <c r="AB1802" s="231" t="s">
        <v>2191</v>
      </c>
      <c r="AC1802" s="217" t="s">
        <v>333</v>
      </c>
      <c r="AD1802" s="217" t="s">
        <v>334</v>
      </c>
      <c r="AE1802" s="217" t="s">
        <v>334</v>
      </c>
    </row>
    <row r="1803" spans="28:31">
      <c r="AB1803" s="231" t="s">
        <v>2192</v>
      </c>
      <c r="AC1803" s="217" t="s">
        <v>333</v>
      </c>
      <c r="AD1803" s="217" t="s">
        <v>334</v>
      </c>
      <c r="AE1803" s="217" t="s">
        <v>334</v>
      </c>
    </row>
    <row r="1804" spans="28:31">
      <c r="AB1804" s="231" t="s">
        <v>2193</v>
      </c>
      <c r="AC1804" s="217" t="s">
        <v>333</v>
      </c>
      <c r="AD1804" s="217" t="s">
        <v>334</v>
      </c>
      <c r="AE1804" s="217" t="s">
        <v>334</v>
      </c>
    </row>
    <row r="1805" spans="28:31">
      <c r="AB1805" s="231" t="s">
        <v>2194</v>
      </c>
      <c r="AC1805" s="217" t="s">
        <v>333</v>
      </c>
      <c r="AD1805" s="217" t="s">
        <v>334</v>
      </c>
      <c r="AE1805" s="217" t="s">
        <v>334</v>
      </c>
    </row>
    <row r="1806" spans="28:31">
      <c r="AB1806" s="231" t="s">
        <v>2195</v>
      </c>
      <c r="AC1806" s="217" t="s">
        <v>333</v>
      </c>
      <c r="AD1806" s="217" t="s">
        <v>334</v>
      </c>
      <c r="AE1806" s="217" t="s">
        <v>334</v>
      </c>
    </row>
    <row r="1807" spans="28:31">
      <c r="AB1807" s="231" t="s">
        <v>2196</v>
      </c>
      <c r="AC1807" s="217" t="s">
        <v>333</v>
      </c>
      <c r="AD1807" s="217" t="s">
        <v>334</v>
      </c>
      <c r="AE1807" s="217" t="s">
        <v>334</v>
      </c>
    </row>
    <row r="1808" spans="28:31">
      <c r="AB1808" s="231" t="s">
        <v>2197</v>
      </c>
      <c r="AC1808" s="217" t="s">
        <v>333</v>
      </c>
      <c r="AD1808" s="217" t="s">
        <v>334</v>
      </c>
      <c r="AE1808" s="217" t="s">
        <v>334</v>
      </c>
    </row>
    <row r="1809" spans="28:31">
      <c r="AB1809" s="231" t="s">
        <v>2198</v>
      </c>
      <c r="AC1809" s="217" t="s">
        <v>333</v>
      </c>
      <c r="AD1809" s="217" t="s">
        <v>334</v>
      </c>
      <c r="AE1809" s="217" t="s">
        <v>334</v>
      </c>
    </row>
    <row r="1810" spans="28:31">
      <c r="AB1810" s="231" t="s">
        <v>2199</v>
      </c>
      <c r="AC1810" s="217" t="s">
        <v>333</v>
      </c>
      <c r="AD1810" s="217" t="s">
        <v>334</v>
      </c>
      <c r="AE1810" s="217" t="s">
        <v>334</v>
      </c>
    </row>
    <row r="1811" spans="28:31">
      <c r="AB1811" s="231" t="s">
        <v>2200</v>
      </c>
      <c r="AC1811" s="217" t="s">
        <v>333</v>
      </c>
      <c r="AD1811" s="217" t="s">
        <v>334</v>
      </c>
      <c r="AE1811" s="217" t="s">
        <v>334</v>
      </c>
    </row>
    <row r="1812" spans="28:31">
      <c r="AB1812" s="231" t="s">
        <v>2201</v>
      </c>
      <c r="AC1812" s="217" t="s">
        <v>333</v>
      </c>
      <c r="AD1812" s="217" t="s">
        <v>334</v>
      </c>
      <c r="AE1812" s="217" t="s">
        <v>334</v>
      </c>
    </row>
    <row r="1813" spans="28:31">
      <c r="AB1813" s="231" t="s">
        <v>2202</v>
      </c>
      <c r="AC1813" s="217" t="s">
        <v>333</v>
      </c>
      <c r="AD1813" s="217" t="s">
        <v>334</v>
      </c>
      <c r="AE1813" s="217" t="s">
        <v>334</v>
      </c>
    </row>
    <row r="1814" spans="28:31">
      <c r="AB1814" s="231" t="s">
        <v>2203</v>
      </c>
      <c r="AC1814" s="217" t="s">
        <v>333</v>
      </c>
      <c r="AD1814" s="217" t="s">
        <v>334</v>
      </c>
      <c r="AE1814" s="217" t="s">
        <v>334</v>
      </c>
    </row>
    <row r="1815" spans="28:31">
      <c r="AB1815" s="231" t="s">
        <v>2204</v>
      </c>
      <c r="AC1815" s="217" t="s">
        <v>333</v>
      </c>
      <c r="AD1815" s="217" t="s">
        <v>334</v>
      </c>
      <c r="AE1815" s="217" t="s">
        <v>334</v>
      </c>
    </row>
    <row r="1816" spans="28:31">
      <c r="AB1816" s="231" t="s">
        <v>2205</v>
      </c>
      <c r="AC1816" s="217" t="s">
        <v>333</v>
      </c>
      <c r="AD1816" s="217" t="s">
        <v>334</v>
      </c>
      <c r="AE1816" s="217" t="s">
        <v>334</v>
      </c>
    </row>
    <row r="1817" spans="28:31">
      <c r="AB1817" s="231" t="s">
        <v>2206</v>
      </c>
      <c r="AC1817" s="217" t="s">
        <v>333</v>
      </c>
      <c r="AD1817" s="217" t="s">
        <v>334</v>
      </c>
      <c r="AE1817" s="217" t="s">
        <v>334</v>
      </c>
    </row>
    <row r="1818" spans="28:31">
      <c r="AB1818" s="231" t="s">
        <v>2207</v>
      </c>
      <c r="AC1818" s="217" t="s">
        <v>333</v>
      </c>
      <c r="AD1818" s="217" t="s">
        <v>334</v>
      </c>
      <c r="AE1818" s="217" t="s">
        <v>334</v>
      </c>
    </row>
    <row r="1819" spans="28:31">
      <c r="AB1819" s="231" t="s">
        <v>2208</v>
      </c>
      <c r="AC1819" s="217" t="s">
        <v>333</v>
      </c>
      <c r="AD1819" s="217" t="s">
        <v>334</v>
      </c>
      <c r="AE1819" s="217" t="s">
        <v>334</v>
      </c>
    </row>
    <row r="1820" spans="28:31">
      <c r="AB1820" s="231" t="s">
        <v>2209</v>
      </c>
      <c r="AC1820" s="217" t="s">
        <v>333</v>
      </c>
      <c r="AD1820" s="217" t="s">
        <v>334</v>
      </c>
      <c r="AE1820" s="217" t="s">
        <v>334</v>
      </c>
    </row>
    <row r="1821" spans="28:31">
      <c r="AB1821" s="231" t="s">
        <v>2210</v>
      </c>
      <c r="AC1821" s="217" t="s">
        <v>333</v>
      </c>
      <c r="AD1821" s="217" t="s">
        <v>334</v>
      </c>
      <c r="AE1821" s="217" t="s">
        <v>334</v>
      </c>
    </row>
    <row r="1822" spans="28:31">
      <c r="AB1822" s="231" t="s">
        <v>2211</v>
      </c>
      <c r="AC1822" s="217" t="s">
        <v>333</v>
      </c>
      <c r="AD1822" s="217" t="s">
        <v>334</v>
      </c>
      <c r="AE1822" s="217" t="s">
        <v>334</v>
      </c>
    </row>
    <row r="1823" spans="28:31">
      <c r="AB1823" s="231" t="s">
        <v>2212</v>
      </c>
      <c r="AC1823" s="217" t="s">
        <v>333</v>
      </c>
      <c r="AD1823" s="217" t="s">
        <v>334</v>
      </c>
      <c r="AE1823" s="217" t="s">
        <v>334</v>
      </c>
    </row>
    <row r="1824" spans="28:31">
      <c r="AB1824" s="231" t="s">
        <v>2213</v>
      </c>
      <c r="AC1824" s="217" t="s">
        <v>333</v>
      </c>
      <c r="AD1824" s="217" t="s">
        <v>334</v>
      </c>
      <c r="AE1824" s="217" t="s">
        <v>334</v>
      </c>
    </row>
    <row r="1825" spans="28:31">
      <c r="AB1825" s="231" t="s">
        <v>2214</v>
      </c>
      <c r="AC1825" s="217" t="s">
        <v>333</v>
      </c>
      <c r="AD1825" s="217" t="s">
        <v>334</v>
      </c>
      <c r="AE1825" s="217" t="s">
        <v>334</v>
      </c>
    </row>
    <row r="1826" spans="28:31">
      <c r="AB1826" s="231" t="s">
        <v>2215</v>
      </c>
      <c r="AC1826" s="217" t="s">
        <v>333</v>
      </c>
      <c r="AD1826" s="217" t="s">
        <v>334</v>
      </c>
      <c r="AE1826" s="217" t="s">
        <v>334</v>
      </c>
    </row>
    <row r="1827" spans="28:31">
      <c r="AB1827" s="231" t="s">
        <v>2216</v>
      </c>
      <c r="AC1827" s="217" t="s">
        <v>333</v>
      </c>
      <c r="AD1827" s="217" t="s">
        <v>334</v>
      </c>
      <c r="AE1827" s="217" t="s">
        <v>334</v>
      </c>
    </row>
    <row r="1828" spans="28:31">
      <c r="AB1828" s="231" t="s">
        <v>2217</v>
      </c>
      <c r="AC1828" s="217" t="s">
        <v>333</v>
      </c>
      <c r="AD1828" s="217" t="s">
        <v>334</v>
      </c>
      <c r="AE1828" s="217" t="s">
        <v>334</v>
      </c>
    </row>
    <row r="1829" spans="28:31">
      <c r="AB1829" s="231" t="s">
        <v>2218</v>
      </c>
      <c r="AC1829" s="217" t="s">
        <v>333</v>
      </c>
      <c r="AD1829" s="217" t="s">
        <v>334</v>
      </c>
      <c r="AE1829" s="217" t="s">
        <v>334</v>
      </c>
    </row>
    <row r="1830" spans="28:31">
      <c r="AB1830" s="231" t="s">
        <v>2219</v>
      </c>
      <c r="AC1830" s="217" t="s">
        <v>333</v>
      </c>
      <c r="AD1830" s="217" t="s">
        <v>334</v>
      </c>
      <c r="AE1830" s="217" t="s">
        <v>334</v>
      </c>
    </row>
    <row r="1831" spans="28:31">
      <c r="AB1831" s="231" t="s">
        <v>2220</v>
      </c>
      <c r="AC1831" s="217" t="s">
        <v>333</v>
      </c>
      <c r="AD1831" s="217" t="s">
        <v>334</v>
      </c>
      <c r="AE1831" s="217" t="s">
        <v>334</v>
      </c>
    </row>
    <row r="1832" spans="28:31">
      <c r="AB1832" s="231" t="s">
        <v>2221</v>
      </c>
      <c r="AC1832" s="217" t="s">
        <v>333</v>
      </c>
      <c r="AD1832" s="217" t="s">
        <v>334</v>
      </c>
      <c r="AE1832" s="217" t="s">
        <v>334</v>
      </c>
    </row>
    <row r="1833" spans="28:31">
      <c r="AB1833" s="231" t="s">
        <v>2222</v>
      </c>
      <c r="AC1833" s="217" t="s">
        <v>333</v>
      </c>
      <c r="AD1833" s="217" t="s">
        <v>334</v>
      </c>
      <c r="AE1833" s="217" t="s">
        <v>334</v>
      </c>
    </row>
    <row r="1834" spans="28:31">
      <c r="AB1834" s="231" t="s">
        <v>2223</v>
      </c>
      <c r="AC1834" s="217" t="s">
        <v>333</v>
      </c>
      <c r="AD1834" s="217" t="s">
        <v>334</v>
      </c>
      <c r="AE1834" s="217" t="s">
        <v>334</v>
      </c>
    </row>
    <row r="1835" spans="28:31">
      <c r="AB1835" s="231" t="s">
        <v>2224</v>
      </c>
      <c r="AC1835" s="217" t="s">
        <v>333</v>
      </c>
      <c r="AD1835" s="217" t="s">
        <v>334</v>
      </c>
      <c r="AE1835" s="217" t="s">
        <v>334</v>
      </c>
    </row>
    <row r="1836" spans="28:31">
      <c r="AB1836" s="231" t="s">
        <v>2225</v>
      </c>
      <c r="AC1836" s="217" t="s">
        <v>333</v>
      </c>
      <c r="AD1836" s="217" t="s">
        <v>334</v>
      </c>
      <c r="AE1836" s="217" t="s">
        <v>334</v>
      </c>
    </row>
    <row r="1837" spans="28:31">
      <c r="AB1837" s="231" t="s">
        <v>2226</v>
      </c>
      <c r="AC1837" s="217" t="s">
        <v>333</v>
      </c>
      <c r="AD1837" s="217" t="s">
        <v>334</v>
      </c>
      <c r="AE1837" s="217" t="s">
        <v>334</v>
      </c>
    </row>
    <row r="1838" spans="28:31">
      <c r="AB1838" s="231" t="s">
        <v>2227</v>
      </c>
      <c r="AC1838" s="217" t="s">
        <v>333</v>
      </c>
      <c r="AD1838" s="217" t="s">
        <v>334</v>
      </c>
      <c r="AE1838" s="217" t="s">
        <v>334</v>
      </c>
    </row>
    <row r="1839" spans="28:31">
      <c r="AB1839" s="231" t="s">
        <v>2228</v>
      </c>
      <c r="AC1839" s="217" t="s">
        <v>333</v>
      </c>
      <c r="AD1839" s="217" t="s">
        <v>334</v>
      </c>
      <c r="AE1839" s="217" t="s">
        <v>334</v>
      </c>
    </row>
    <row r="1840" spans="28:31">
      <c r="AB1840" s="231" t="s">
        <v>2229</v>
      </c>
      <c r="AC1840" s="217" t="s">
        <v>333</v>
      </c>
      <c r="AD1840" s="217" t="s">
        <v>334</v>
      </c>
      <c r="AE1840" s="217" t="s">
        <v>334</v>
      </c>
    </row>
    <row r="1841" spans="28:31">
      <c r="AB1841" s="231" t="s">
        <v>2230</v>
      </c>
      <c r="AC1841" s="217" t="s">
        <v>333</v>
      </c>
      <c r="AD1841" s="217" t="s">
        <v>334</v>
      </c>
      <c r="AE1841" s="217" t="s">
        <v>334</v>
      </c>
    </row>
    <row r="1842" spans="28:31">
      <c r="AB1842" s="231" t="s">
        <v>2231</v>
      </c>
      <c r="AC1842" s="217" t="s">
        <v>333</v>
      </c>
      <c r="AD1842" s="217" t="s">
        <v>334</v>
      </c>
      <c r="AE1842" s="217" t="s">
        <v>334</v>
      </c>
    </row>
    <row r="1843" spans="28:31">
      <c r="AB1843" s="231" t="s">
        <v>2232</v>
      </c>
      <c r="AC1843" s="217" t="s">
        <v>333</v>
      </c>
      <c r="AD1843" s="217" t="s">
        <v>334</v>
      </c>
      <c r="AE1843" s="217" t="s">
        <v>334</v>
      </c>
    </row>
    <row r="1844" spans="28:31">
      <c r="AB1844" s="231" t="s">
        <v>2233</v>
      </c>
      <c r="AC1844" s="217" t="s">
        <v>333</v>
      </c>
      <c r="AD1844" s="217" t="s">
        <v>334</v>
      </c>
      <c r="AE1844" s="217" t="s">
        <v>334</v>
      </c>
    </row>
    <row r="1845" spans="28:31">
      <c r="AB1845" s="231" t="s">
        <v>2234</v>
      </c>
      <c r="AC1845" s="217" t="s">
        <v>333</v>
      </c>
      <c r="AD1845" s="217" t="s">
        <v>334</v>
      </c>
      <c r="AE1845" s="217" t="s">
        <v>334</v>
      </c>
    </row>
    <row r="1846" spans="28:31">
      <c r="AB1846" s="231" t="s">
        <v>2235</v>
      </c>
      <c r="AC1846" s="217" t="s">
        <v>333</v>
      </c>
      <c r="AD1846" s="217" t="s">
        <v>334</v>
      </c>
      <c r="AE1846" s="217" t="s">
        <v>334</v>
      </c>
    </row>
    <row r="1847" spans="28:31">
      <c r="AB1847" s="231" t="s">
        <v>2236</v>
      </c>
      <c r="AC1847" s="217" t="s">
        <v>333</v>
      </c>
      <c r="AD1847" s="217" t="s">
        <v>334</v>
      </c>
      <c r="AE1847" s="217" t="s">
        <v>334</v>
      </c>
    </row>
    <row r="1848" spans="28:31">
      <c r="AB1848" s="231" t="s">
        <v>2237</v>
      </c>
      <c r="AC1848" s="217" t="s">
        <v>333</v>
      </c>
      <c r="AD1848" s="217" t="s">
        <v>334</v>
      </c>
      <c r="AE1848" s="217" t="s">
        <v>334</v>
      </c>
    </row>
    <row r="1849" spans="28:31">
      <c r="AB1849" s="231" t="s">
        <v>2238</v>
      </c>
      <c r="AC1849" s="217" t="s">
        <v>333</v>
      </c>
      <c r="AD1849" s="217" t="s">
        <v>334</v>
      </c>
      <c r="AE1849" s="217" t="s">
        <v>334</v>
      </c>
    </row>
    <row r="1850" spans="28:31">
      <c r="AB1850" s="231" t="s">
        <v>2239</v>
      </c>
      <c r="AC1850" s="217" t="s">
        <v>333</v>
      </c>
      <c r="AD1850" s="217" t="s">
        <v>334</v>
      </c>
      <c r="AE1850" s="217" t="s">
        <v>334</v>
      </c>
    </row>
    <row r="1851" spans="28:31">
      <c r="AB1851" s="231" t="s">
        <v>2240</v>
      </c>
      <c r="AC1851" s="217" t="s">
        <v>333</v>
      </c>
      <c r="AD1851" s="217" t="s">
        <v>334</v>
      </c>
      <c r="AE1851" s="217" t="s">
        <v>334</v>
      </c>
    </row>
    <row r="1852" spans="28:31">
      <c r="AB1852" s="231" t="s">
        <v>2241</v>
      </c>
      <c r="AC1852" s="217" t="s">
        <v>333</v>
      </c>
      <c r="AD1852" s="217" t="s">
        <v>334</v>
      </c>
      <c r="AE1852" s="217" t="s">
        <v>334</v>
      </c>
    </row>
    <row r="1853" spans="28:31">
      <c r="AB1853" s="231" t="s">
        <v>2242</v>
      </c>
      <c r="AC1853" s="217" t="s">
        <v>333</v>
      </c>
      <c r="AD1853" s="217" t="s">
        <v>334</v>
      </c>
      <c r="AE1853" s="217" t="s">
        <v>334</v>
      </c>
    </row>
    <row r="1854" spans="28:31">
      <c r="AB1854" s="231" t="s">
        <v>2243</v>
      </c>
      <c r="AC1854" s="217" t="s">
        <v>333</v>
      </c>
      <c r="AD1854" s="217" t="s">
        <v>334</v>
      </c>
      <c r="AE1854" s="217" t="s">
        <v>334</v>
      </c>
    </row>
    <row r="1855" spans="28:31">
      <c r="AB1855" s="231" t="s">
        <v>2244</v>
      </c>
      <c r="AC1855" s="217" t="s">
        <v>333</v>
      </c>
      <c r="AD1855" s="217" t="s">
        <v>334</v>
      </c>
      <c r="AE1855" s="217" t="s">
        <v>334</v>
      </c>
    </row>
    <row r="1856" spans="28:31">
      <c r="AB1856" s="231" t="s">
        <v>2245</v>
      </c>
      <c r="AC1856" s="217" t="s">
        <v>333</v>
      </c>
      <c r="AD1856" s="217" t="s">
        <v>334</v>
      </c>
      <c r="AE1856" s="217" t="s">
        <v>334</v>
      </c>
    </row>
    <row r="1857" spans="28:31">
      <c r="AB1857" s="231" t="s">
        <v>2246</v>
      </c>
      <c r="AC1857" s="217" t="s">
        <v>333</v>
      </c>
      <c r="AD1857" s="217" t="s">
        <v>334</v>
      </c>
      <c r="AE1857" s="217" t="s">
        <v>334</v>
      </c>
    </row>
    <row r="1858" spans="28:31">
      <c r="AB1858" s="231" t="s">
        <v>2247</v>
      </c>
      <c r="AC1858" s="217" t="s">
        <v>333</v>
      </c>
      <c r="AD1858" s="217" t="s">
        <v>334</v>
      </c>
      <c r="AE1858" s="217" t="s">
        <v>334</v>
      </c>
    </row>
    <row r="1859" spans="28:31">
      <c r="AB1859" s="231" t="s">
        <v>2248</v>
      </c>
      <c r="AC1859" s="217" t="s">
        <v>333</v>
      </c>
      <c r="AD1859" s="217" t="s">
        <v>334</v>
      </c>
      <c r="AE1859" s="217" t="s">
        <v>334</v>
      </c>
    </row>
    <row r="1860" spans="28:31">
      <c r="AB1860" s="231" t="s">
        <v>2249</v>
      </c>
      <c r="AC1860" s="217" t="s">
        <v>333</v>
      </c>
      <c r="AD1860" s="217" t="s">
        <v>334</v>
      </c>
      <c r="AE1860" s="217" t="s">
        <v>334</v>
      </c>
    </row>
    <row r="1861" spans="28:31">
      <c r="AB1861" s="231" t="s">
        <v>2250</v>
      </c>
      <c r="AC1861" s="217" t="s">
        <v>333</v>
      </c>
      <c r="AD1861" s="217" t="s">
        <v>334</v>
      </c>
      <c r="AE1861" s="217" t="s">
        <v>334</v>
      </c>
    </row>
    <row r="1862" spans="28:31">
      <c r="AB1862" s="231" t="s">
        <v>2251</v>
      </c>
      <c r="AC1862" s="217" t="s">
        <v>333</v>
      </c>
      <c r="AD1862" s="217" t="s">
        <v>334</v>
      </c>
      <c r="AE1862" s="217" t="s">
        <v>334</v>
      </c>
    </row>
    <row r="1863" spans="28:31">
      <c r="AB1863" s="231" t="s">
        <v>2252</v>
      </c>
      <c r="AC1863" s="217" t="s">
        <v>333</v>
      </c>
      <c r="AD1863" s="217" t="s">
        <v>334</v>
      </c>
      <c r="AE1863" s="217" t="s">
        <v>334</v>
      </c>
    </row>
    <row r="1864" spans="28:31">
      <c r="AB1864" s="231" t="s">
        <v>2253</v>
      </c>
      <c r="AC1864" s="217" t="s">
        <v>333</v>
      </c>
      <c r="AD1864" s="217" t="s">
        <v>334</v>
      </c>
      <c r="AE1864" s="217" t="s">
        <v>334</v>
      </c>
    </row>
    <row r="1865" spans="28:31">
      <c r="AB1865" s="231" t="s">
        <v>2254</v>
      </c>
      <c r="AC1865" s="217" t="s">
        <v>333</v>
      </c>
      <c r="AD1865" s="217" t="s">
        <v>334</v>
      </c>
      <c r="AE1865" s="217" t="s">
        <v>334</v>
      </c>
    </row>
    <row r="1866" spans="28:31">
      <c r="AB1866" s="231" t="s">
        <v>2255</v>
      </c>
      <c r="AC1866" s="217" t="s">
        <v>333</v>
      </c>
      <c r="AD1866" s="217" t="s">
        <v>334</v>
      </c>
      <c r="AE1866" s="217" t="s">
        <v>334</v>
      </c>
    </row>
    <row r="1867" spans="28:31">
      <c r="AB1867" s="231" t="s">
        <v>2256</v>
      </c>
      <c r="AC1867" s="217" t="s">
        <v>333</v>
      </c>
      <c r="AD1867" s="217" t="s">
        <v>334</v>
      </c>
      <c r="AE1867" s="217" t="s">
        <v>334</v>
      </c>
    </row>
    <row r="1868" spans="28:31">
      <c r="AB1868" s="231" t="s">
        <v>2257</v>
      </c>
      <c r="AC1868" s="217" t="s">
        <v>333</v>
      </c>
      <c r="AD1868" s="217" t="s">
        <v>334</v>
      </c>
      <c r="AE1868" s="217" t="s">
        <v>334</v>
      </c>
    </row>
    <row r="1869" spans="28:31">
      <c r="AB1869" s="231" t="s">
        <v>2258</v>
      </c>
      <c r="AC1869" s="217" t="s">
        <v>333</v>
      </c>
      <c r="AD1869" s="217" t="s">
        <v>334</v>
      </c>
      <c r="AE1869" s="217" t="s">
        <v>334</v>
      </c>
    </row>
    <row r="1870" spans="28:31">
      <c r="AB1870" s="231" t="s">
        <v>2259</v>
      </c>
      <c r="AC1870" s="217" t="s">
        <v>333</v>
      </c>
      <c r="AD1870" s="217" t="s">
        <v>334</v>
      </c>
      <c r="AE1870" s="217" t="s">
        <v>334</v>
      </c>
    </row>
    <row r="1871" spans="28:31">
      <c r="AB1871" s="231" t="s">
        <v>2260</v>
      </c>
      <c r="AC1871" s="217" t="s">
        <v>333</v>
      </c>
      <c r="AD1871" s="217" t="s">
        <v>334</v>
      </c>
      <c r="AE1871" s="217" t="s">
        <v>334</v>
      </c>
    </row>
    <row r="1872" spans="28:31">
      <c r="AB1872" s="231" t="s">
        <v>2261</v>
      </c>
      <c r="AC1872" s="217" t="s">
        <v>333</v>
      </c>
      <c r="AD1872" s="217" t="s">
        <v>334</v>
      </c>
      <c r="AE1872" s="217" t="s">
        <v>334</v>
      </c>
    </row>
    <row r="1873" spans="28:31">
      <c r="AB1873" s="231" t="s">
        <v>2262</v>
      </c>
      <c r="AC1873" s="217" t="s">
        <v>333</v>
      </c>
      <c r="AD1873" s="217" t="s">
        <v>334</v>
      </c>
      <c r="AE1873" s="217" t="s">
        <v>334</v>
      </c>
    </row>
    <row r="1874" spans="28:31">
      <c r="AB1874" s="231" t="s">
        <v>2263</v>
      </c>
      <c r="AC1874" s="217" t="s">
        <v>333</v>
      </c>
      <c r="AD1874" s="217" t="s">
        <v>334</v>
      </c>
      <c r="AE1874" s="217" t="s">
        <v>334</v>
      </c>
    </row>
    <row r="1875" spans="28:31">
      <c r="AB1875" s="231" t="s">
        <v>2264</v>
      </c>
      <c r="AC1875" s="217" t="s">
        <v>333</v>
      </c>
      <c r="AD1875" s="217" t="s">
        <v>334</v>
      </c>
      <c r="AE1875" s="217" t="s">
        <v>334</v>
      </c>
    </row>
    <row r="1876" spans="28:31">
      <c r="AB1876" s="231" t="s">
        <v>2265</v>
      </c>
      <c r="AC1876" s="217" t="s">
        <v>333</v>
      </c>
      <c r="AD1876" s="217" t="s">
        <v>334</v>
      </c>
      <c r="AE1876" s="217" t="s">
        <v>334</v>
      </c>
    </row>
    <row r="1877" spans="28:31">
      <c r="AB1877" s="231" t="s">
        <v>2266</v>
      </c>
      <c r="AC1877" s="217" t="s">
        <v>333</v>
      </c>
      <c r="AD1877" s="217" t="s">
        <v>334</v>
      </c>
      <c r="AE1877" s="217" t="s">
        <v>334</v>
      </c>
    </row>
    <row r="1878" spans="28:31">
      <c r="AB1878" s="231" t="s">
        <v>2267</v>
      </c>
      <c r="AC1878" s="217" t="s">
        <v>333</v>
      </c>
      <c r="AD1878" s="217" t="s">
        <v>334</v>
      </c>
      <c r="AE1878" s="217" t="s">
        <v>334</v>
      </c>
    </row>
    <row r="1879" spans="28:31">
      <c r="AB1879" s="231" t="s">
        <v>2268</v>
      </c>
      <c r="AC1879" s="217" t="s">
        <v>333</v>
      </c>
      <c r="AD1879" s="217" t="s">
        <v>334</v>
      </c>
      <c r="AE1879" s="217" t="s">
        <v>334</v>
      </c>
    </row>
    <row r="1880" spans="28:31">
      <c r="AB1880" s="231" t="s">
        <v>2269</v>
      </c>
      <c r="AC1880" s="217" t="s">
        <v>333</v>
      </c>
      <c r="AD1880" s="217" t="s">
        <v>334</v>
      </c>
      <c r="AE1880" s="217" t="s">
        <v>334</v>
      </c>
    </row>
    <row r="1881" spans="28:31">
      <c r="AB1881" s="231" t="s">
        <v>2270</v>
      </c>
      <c r="AC1881" s="217" t="s">
        <v>333</v>
      </c>
      <c r="AD1881" s="217" t="s">
        <v>334</v>
      </c>
      <c r="AE1881" s="217" t="s">
        <v>334</v>
      </c>
    </row>
    <row r="1882" spans="28:31">
      <c r="AB1882" s="231" t="s">
        <v>2271</v>
      </c>
      <c r="AC1882" s="217" t="s">
        <v>333</v>
      </c>
      <c r="AD1882" s="217" t="s">
        <v>334</v>
      </c>
      <c r="AE1882" s="217" t="s">
        <v>334</v>
      </c>
    </row>
    <row r="1883" spans="28:31">
      <c r="AB1883" s="231" t="s">
        <v>2272</v>
      </c>
      <c r="AC1883" s="217" t="s">
        <v>333</v>
      </c>
      <c r="AD1883" s="217" t="s">
        <v>334</v>
      </c>
      <c r="AE1883" s="217" t="s">
        <v>334</v>
      </c>
    </row>
    <row r="1884" spans="28:31">
      <c r="AB1884" s="231" t="s">
        <v>2273</v>
      </c>
      <c r="AC1884" s="217" t="s">
        <v>333</v>
      </c>
      <c r="AD1884" s="217" t="s">
        <v>334</v>
      </c>
      <c r="AE1884" s="217" t="s">
        <v>334</v>
      </c>
    </row>
    <row r="1885" spans="28:31">
      <c r="AB1885" s="231" t="s">
        <v>2274</v>
      </c>
      <c r="AC1885" s="217" t="s">
        <v>333</v>
      </c>
      <c r="AD1885" s="217" t="s">
        <v>334</v>
      </c>
      <c r="AE1885" s="217" t="s">
        <v>334</v>
      </c>
    </row>
    <row r="1886" spans="28:31">
      <c r="AB1886" s="231" t="s">
        <v>2275</v>
      </c>
      <c r="AC1886" s="217" t="s">
        <v>333</v>
      </c>
      <c r="AD1886" s="217" t="s">
        <v>334</v>
      </c>
      <c r="AE1886" s="217" t="s">
        <v>334</v>
      </c>
    </row>
    <row r="1887" spans="28:31">
      <c r="AB1887" s="231" t="s">
        <v>2276</v>
      </c>
      <c r="AC1887" s="217" t="s">
        <v>333</v>
      </c>
      <c r="AD1887" s="217" t="s">
        <v>334</v>
      </c>
      <c r="AE1887" s="217" t="s">
        <v>334</v>
      </c>
    </row>
    <row r="1888" spans="28:31">
      <c r="AB1888" s="231" t="s">
        <v>2277</v>
      </c>
      <c r="AC1888" s="217" t="s">
        <v>333</v>
      </c>
      <c r="AD1888" s="217" t="s">
        <v>334</v>
      </c>
      <c r="AE1888" s="217" t="s">
        <v>334</v>
      </c>
    </row>
    <row r="1889" spans="28:31">
      <c r="AB1889" s="231" t="s">
        <v>2278</v>
      </c>
      <c r="AC1889" s="217" t="s">
        <v>333</v>
      </c>
      <c r="AD1889" s="217" t="s">
        <v>334</v>
      </c>
      <c r="AE1889" s="217" t="s">
        <v>334</v>
      </c>
    </row>
    <row r="1890" spans="28:31">
      <c r="AB1890" s="231" t="s">
        <v>2279</v>
      </c>
      <c r="AC1890" s="217" t="s">
        <v>333</v>
      </c>
      <c r="AD1890" s="217" t="s">
        <v>334</v>
      </c>
      <c r="AE1890" s="217" t="s">
        <v>334</v>
      </c>
    </row>
    <row r="1891" spans="28:31">
      <c r="AB1891" s="231" t="s">
        <v>2280</v>
      </c>
      <c r="AC1891" s="217" t="s">
        <v>333</v>
      </c>
      <c r="AD1891" s="217" t="s">
        <v>334</v>
      </c>
      <c r="AE1891" s="217" t="s">
        <v>334</v>
      </c>
    </row>
    <row r="1892" spans="28:31">
      <c r="AB1892" s="231" t="s">
        <v>2281</v>
      </c>
      <c r="AC1892" s="217" t="s">
        <v>333</v>
      </c>
      <c r="AD1892" s="217" t="s">
        <v>334</v>
      </c>
      <c r="AE1892" s="217" t="s">
        <v>334</v>
      </c>
    </row>
    <row r="1893" spans="28:31">
      <c r="AB1893" s="231" t="s">
        <v>2282</v>
      </c>
      <c r="AC1893" s="217" t="s">
        <v>333</v>
      </c>
      <c r="AD1893" s="217" t="s">
        <v>334</v>
      </c>
      <c r="AE1893" s="217" t="s">
        <v>334</v>
      </c>
    </row>
    <row r="1894" spans="28:31">
      <c r="AB1894" s="231" t="s">
        <v>2283</v>
      </c>
      <c r="AC1894" s="217" t="s">
        <v>333</v>
      </c>
      <c r="AD1894" s="217" t="s">
        <v>334</v>
      </c>
      <c r="AE1894" s="217" t="s">
        <v>334</v>
      </c>
    </row>
    <row r="1895" spans="28:31">
      <c r="AB1895" s="231" t="s">
        <v>2284</v>
      </c>
      <c r="AC1895" s="217" t="s">
        <v>333</v>
      </c>
      <c r="AD1895" s="217" t="s">
        <v>334</v>
      </c>
      <c r="AE1895" s="217" t="s">
        <v>334</v>
      </c>
    </row>
    <row r="1896" spans="28:31">
      <c r="AB1896" s="231" t="s">
        <v>2285</v>
      </c>
      <c r="AC1896" s="217" t="s">
        <v>333</v>
      </c>
      <c r="AD1896" s="217" t="s">
        <v>334</v>
      </c>
      <c r="AE1896" s="217" t="s">
        <v>334</v>
      </c>
    </row>
    <row r="1897" spans="28:31">
      <c r="AB1897" s="231" t="s">
        <v>2286</v>
      </c>
      <c r="AC1897" s="217" t="s">
        <v>333</v>
      </c>
      <c r="AD1897" s="217" t="s">
        <v>334</v>
      </c>
      <c r="AE1897" s="217" t="s">
        <v>334</v>
      </c>
    </row>
    <row r="1898" spans="28:31">
      <c r="AB1898" s="231" t="s">
        <v>2287</v>
      </c>
      <c r="AC1898" s="217" t="s">
        <v>333</v>
      </c>
      <c r="AD1898" s="217" t="s">
        <v>334</v>
      </c>
      <c r="AE1898" s="217" t="s">
        <v>334</v>
      </c>
    </row>
    <row r="1899" spans="28:31">
      <c r="AB1899" s="231" t="s">
        <v>2288</v>
      </c>
      <c r="AC1899" s="217" t="s">
        <v>333</v>
      </c>
      <c r="AD1899" s="217" t="s">
        <v>334</v>
      </c>
      <c r="AE1899" s="217" t="s">
        <v>334</v>
      </c>
    </row>
    <row r="1900" spans="28:31">
      <c r="AB1900" s="231" t="s">
        <v>2289</v>
      </c>
      <c r="AC1900" s="217" t="s">
        <v>333</v>
      </c>
      <c r="AD1900" s="217" t="s">
        <v>334</v>
      </c>
      <c r="AE1900" s="217" t="s">
        <v>334</v>
      </c>
    </row>
    <row r="1901" spans="28:31">
      <c r="AB1901" s="231" t="s">
        <v>2290</v>
      </c>
      <c r="AC1901" s="217" t="s">
        <v>333</v>
      </c>
      <c r="AD1901" s="217" t="s">
        <v>334</v>
      </c>
      <c r="AE1901" s="217" t="s">
        <v>334</v>
      </c>
    </row>
    <row r="1902" spans="28:31">
      <c r="AB1902" s="231" t="s">
        <v>2291</v>
      </c>
      <c r="AC1902" s="217" t="s">
        <v>333</v>
      </c>
      <c r="AD1902" s="217" t="s">
        <v>334</v>
      </c>
      <c r="AE1902" s="217" t="s">
        <v>334</v>
      </c>
    </row>
    <row r="1903" spans="28:31">
      <c r="AB1903" s="231" t="s">
        <v>2292</v>
      </c>
      <c r="AC1903" s="217" t="s">
        <v>333</v>
      </c>
      <c r="AD1903" s="217" t="s">
        <v>334</v>
      </c>
      <c r="AE1903" s="217" t="s">
        <v>334</v>
      </c>
    </row>
    <row r="1904" spans="28:31">
      <c r="AB1904" s="231" t="s">
        <v>2293</v>
      </c>
      <c r="AC1904" s="217" t="s">
        <v>333</v>
      </c>
      <c r="AD1904" s="217" t="s">
        <v>334</v>
      </c>
      <c r="AE1904" s="217" t="s">
        <v>334</v>
      </c>
    </row>
    <row r="1905" spans="28:31">
      <c r="AB1905" s="231" t="s">
        <v>2294</v>
      </c>
      <c r="AC1905" s="217" t="s">
        <v>333</v>
      </c>
      <c r="AD1905" s="217" t="s">
        <v>334</v>
      </c>
      <c r="AE1905" s="217" t="s">
        <v>334</v>
      </c>
    </row>
    <row r="1906" spans="28:31">
      <c r="AB1906" s="231" t="s">
        <v>2295</v>
      </c>
      <c r="AC1906" s="217" t="s">
        <v>333</v>
      </c>
      <c r="AD1906" s="217" t="s">
        <v>334</v>
      </c>
      <c r="AE1906" s="217" t="s">
        <v>334</v>
      </c>
    </row>
    <row r="1907" spans="28:31">
      <c r="AB1907" s="231" t="s">
        <v>2296</v>
      </c>
      <c r="AC1907" s="217" t="s">
        <v>333</v>
      </c>
      <c r="AD1907" s="217" t="s">
        <v>334</v>
      </c>
      <c r="AE1907" s="217" t="s">
        <v>334</v>
      </c>
    </row>
    <row r="1908" spans="28:31">
      <c r="AB1908" s="231" t="s">
        <v>2297</v>
      </c>
      <c r="AC1908" s="217" t="s">
        <v>333</v>
      </c>
      <c r="AD1908" s="217" t="s">
        <v>334</v>
      </c>
      <c r="AE1908" s="217" t="s">
        <v>334</v>
      </c>
    </row>
    <row r="1909" spans="28:31">
      <c r="AB1909" s="231" t="s">
        <v>2298</v>
      </c>
      <c r="AC1909" s="217" t="s">
        <v>333</v>
      </c>
      <c r="AD1909" s="217" t="s">
        <v>334</v>
      </c>
      <c r="AE1909" s="217" t="s">
        <v>334</v>
      </c>
    </row>
    <row r="1910" spans="28:31">
      <c r="AB1910" s="231" t="s">
        <v>2299</v>
      </c>
      <c r="AC1910" s="217" t="s">
        <v>333</v>
      </c>
      <c r="AD1910" s="217" t="s">
        <v>334</v>
      </c>
      <c r="AE1910" s="217" t="s">
        <v>334</v>
      </c>
    </row>
    <row r="1911" spans="28:31">
      <c r="AB1911" s="231" t="s">
        <v>2300</v>
      </c>
      <c r="AC1911" s="217" t="s">
        <v>333</v>
      </c>
      <c r="AD1911" s="217" t="s">
        <v>334</v>
      </c>
      <c r="AE1911" s="217" t="s">
        <v>334</v>
      </c>
    </row>
    <row r="1912" spans="28:31">
      <c r="AB1912" s="231" t="s">
        <v>2301</v>
      </c>
      <c r="AC1912" s="217" t="s">
        <v>333</v>
      </c>
      <c r="AD1912" s="217" t="s">
        <v>334</v>
      </c>
      <c r="AE1912" s="217" t="s">
        <v>334</v>
      </c>
    </row>
    <row r="1913" spans="28:31">
      <c r="AB1913" s="231" t="s">
        <v>2302</v>
      </c>
      <c r="AC1913" s="217" t="s">
        <v>333</v>
      </c>
      <c r="AD1913" s="217" t="s">
        <v>334</v>
      </c>
      <c r="AE1913" s="217" t="s">
        <v>334</v>
      </c>
    </row>
    <row r="1914" spans="28:31">
      <c r="AB1914" s="231" t="s">
        <v>2303</v>
      </c>
      <c r="AC1914" s="217" t="s">
        <v>333</v>
      </c>
      <c r="AD1914" s="217" t="s">
        <v>334</v>
      </c>
      <c r="AE1914" s="217" t="s">
        <v>334</v>
      </c>
    </row>
    <row r="1915" spans="28:31">
      <c r="AB1915" s="231" t="s">
        <v>2304</v>
      </c>
      <c r="AC1915" s="217" t="s">
        <v>333</v>
      </c>
      <c r="AD1915" s="217" t="s">
        <v>334</v>
      </c>
      <c r="AE1915" s="217" t="s">
        <v>334</v>
      </c>
    </row>
    <row r="1916" spans="28:31">
      <c r="AB1916" s="231" t="s">
        <v>2305</v>
      </c>
      <c r="AC1916" s="217" t="s">
        <v>333</v>
      </c>
      <c r="AD1916" s="217" t="s">
        <v>334</v>
      </c>
      <c r="AE1916" s="217" t="s">
        <v>334</v>
      </c>
    </row>
    <row r="1917" spans="28:31">
      <c r="AB1917" s="231" t="s">
        <v>2306</v>
      </c>
      <c r="AC1917" s="217" t="s">
        <v>333</v>
      </c>
      <c r="AD1917" s="217" t="s">
        <v>334</v>
      </c>
      <c r="AE1917" s="217" t="s">
        <v>334</v>
      </c>
    </row>
    <row r="1918" spans="28:31">
      <c r="AB1918" s="231" t="s">
        <v>2307</v>
      </c>
      <c r="AC1918" s="217" t="s">
        <v>333</v>
      </c>
      <c r="AD1918" s="217" t="s">
        <v>334</v>
      </c>
      <c r="AE1918" s="217" t="s">
        <v>334</v>
      </c>
    </row>
    <row r="1919" spans="28:31">
      <c r="AB1919" s="231" t="s">
        <v>2308</v>
      </c>
      <c r="AC1919" s="217" t="s">
        <v>333</v>
      </c>
      <c r="AD1919" s="217" t="s">
        <v>334</v>
      </c>
      <c r="AE1919" s="217" t="s">
        <v>334</v>
      </c>
    </row>
    <row r="1920" spans="28:31">
      <c r="AB1920" s="231" t="s">
        <v>2309</v>
      </c>
      <c r="AC1920" s="217" t="s">
        <v>333</v>
      </c>
      <c r="AD1920" s="217" t="s">
        <v>334</v>
      </c>
      <c r="AE1920" s="217" t="s">
        <v>334</v>
      </c>
    </row>
    <row r="1921" spans="28:31">
      <c r="AB1921" s="231" t="s">
        <v>2310</v>
      </c>
      <c r="AC1921" s="217" t="s">
        <v>333</v>
      </c>
      <c r="AD1921" s="217" t="s">
        <v>334</v>
      </c>
      <c r="AE1921" s="217" t="s">
        <v>334</v>
      </c>
    </row>
    <row r="1922" spans="28:31">
      <c r="AB1922" s="231" t="s">
        <v>2311</v>
      </c>
      <c r="AC1922" s="217" t="s">
        <v>333</v>
      </c>
      <c r="AD1922" s="217" t="s">
        <v>334</v>
      </c>
      <c r="AE1922" s="217" t="s">
        <v>334</v>
      </c>
    </row>
    <row r="1923" spans="28:31">
      <c r="AB1923" s="231" t="s">
        <v>2312</v>
      </c>
      <c r="AC1923" s="217" t="s">
        <v>333</v>
      </c>
      <c r="AD1923" s="217" t="s">
        <v>334</v>
      </c>
      <c r="AE1923" s="217" t="s">
        <v>334</v>
      </c>
    </row>
    <row r="1924" spans="28:31">
      <c r="AB1924" s="231" t="s">
        <v>2313</v>
      </c>
      <c r="AC1924" s="217" t="s">
        <v>333</v>
      </c>
      <c r="AD1924" s="217" t="s">
        <v>334</v>
      </c>
      <c r="AE1924" s="217" t="s">
        <v>334</v>
      </c>
    </row>
    <row r="1925" spans="28:31">
      <c r="AB1925" s="231" t="s">
        <v>2314</v>
      </c>
      <c r="AC1925" s="217" t="s">
        <v>333</v>
      </c>
      <c r="AD1925" s="217" t="s">
        <v>334</v>
      </c>
      <c r="AE1925" s="217" t="s">
        <v>334</v>
      </c>
    </row>
    <row r="1926" spans="28:31">
      <c r="AB1926" s="231" t="s">
        <v>2315</v>
      </c>
      <c r="AC1926" s="217" t="s">
        <v>333</v>
      </c>
      <c r="AD1926" s="217" t="s">
        <v>334</v>
      </c>
      <c r="AE1926" s="217" t="s">
        <v>334</v>
      </c>
    </row>
    <row r="1927" spans="28:31">
      <c r="AB1927" s="231" t="s">
        <v>2316</v>
      </c>
      <c r="AC1927" s="217" t="s">
        <v>333</v>
      </c>
      <c r="AD1927" s="217" t="s">
        <v>334</v>
      </c>
      <c r="AE1927" s="217" t="s">
        <v>334</v>
      </c>
    </row>
    <row r="1928" spans="28:31">
      <c r="AB1928" s="231" t="s">
        <v>2317</v>
      </c>
      <c r="AC1928" s="217" t="s">
        <v>333</v>
      </c>
      <c r="AD1928" s="217" t="s">
        <v>334</v>
      </c>
      <c r="AE1928" s="217" t="s">
        <v>334</v>
      </c>
    </row>
    <row r="1929" spans="28:31">
      <c r="AB1929" s="231" t="s">
        <v>2318</v>
      </c>
      <c r="AC1929" s="217" t="s">
        <v>333</v>
      </c>
      <c r="AD1929" s="217" t="s">
        <v>334</v>
      </c>
      <c r="AE1929" s="217" t="s">
        <v>334</v>
      </c>
    </row>
    <row r="1930" spans="28:31">
      <c r="AB1930" s="231" t="s">
        <v>2319</v>
      </c>
      <c r="AC1930" s="217" t="s">
        <v>333</v>
      </c>
      <c r="AD1930" s="217" t="s">
        <v>334</v>
      </c>
      <c r="AE1930" s="217" t="s">
        <v>334</v>
      </c>
    </row>
    <row r="1931" spans="28:31">
      <c r="AB1931" s="231" t="s">
        <v>2320</v>
      </c>
      <c r="AC1931" s="217" t="s">
        <v>333</v>
      </c>
      <c r="AD1931" s="217" t="s">
        <v>334</v>
      </c>
      <c r="AE1931" s="217" t="s">
        <v>334</v>
      </c>
    </row>
    <row r="1932" spans="28:31">
      <c r="AB1932" s="231" t="s">
        <v>2321</v>
      </c>
      <c r="AC1932" s="217" t="s">
        <v>333</v>
      </c>
      <c r="AD1932" s="217" t="s">
        <v>334</v>
      </c>
      <c r="AE1932" s="217" t="s">
        <v>334</v>
      </c>
    </row>
    <row r="1933" spans="28:31">
      <c r="AB1933" s="231" t="s">
        <v>2322</v>
      </c>
      <c r="AC1933" s="217" t="s">
        <v>333</v>
      </c>
      <c r="AD1933" s="217" t="s">
        <v>334</v>
      </c>
      <c r="AE1933" s="217" t="s">
        <v>334</v>
      </c>
    </row>
    <row r="1934" spans="28:31">
      <c r="AB1934" s="231" t="s">
        <v>2323</v>
      </c>
      <c r="AC1934" s="217" t="s">
        <v>333</v>
      </c>
      <c r="AD1934" s="217" t="s">
        <v>334</v>
      </c>
      <c r="AE1934" s="217" t="s">
        <v>334</v>
      </c>
    </row>
    <row r="1935" spans="28:31">
      <c r="AB1935" s="231" t="s">
        <v>2324</v>
      </c>
      <c r="AC1935" s="217" t="s">
        <v>333</v>
      </c>
      <c r="AD1935" s="217" t="s">
        <v>334</v>
      </c>
      <c r="AE1935" s="217" t="s">
        <v>334</v>
      </c>
    </row>
    <row r="1936" spans="28:31">
      <c r="AB1936" s="231" t="s">
        <v>2325</v>
      </c>
      <c r="AC1936" s="217" t="s">
        <v>333</v>
      </c>
      <c r="AD1936" s="217" t="s">
        <v>334</v>
      </c>
      <c r="AE1936" s="217" t="s">
        <v>334</v>
      </c>
    </row>
    <row r="1937" spans="28:31">
      <c r="AB1937" s="231" t="s">
        <v>2326</v>
      </c>
      <c r="AC1937" s="217" t="s">
        <v>333</v>
      </c>
      <c r="AD1937" s="217" t="s">
        <v>334</v>
      </c>
      <c r="AE1937" s="217" t="s">
        <v>334</v>
      </c>
    </row>
    <row r="1938" spans="28:31">
      <c r="AB1938" s="231" t="s">
        <v>2327</v>
      </c>
      <c r="AC1938" s="217" t="s">
        <v>333</v>
      </c>
      <c r="AD1938" s="217" t="s">
        <v>334</v>
      </c>
      <c r="AE1938" s="217" t="s">
        <v>334</v>
      </c>
    </row>
    <row r="1939" spans="28:31">
      <c r="AB1939" s="231" t="s">
        <v>2328</v>
      </c>
      <c r="AC1939" s="217" t="s">
        <v>333</v>
      </c>
      <c r="AD1939" s="217" t="s">
        <v>334</v>
      </c>
      <c r="AE1939" s="217" t="s">
        <v>334</v>
      </c>
    </row>
    <row r="1940" spans="28:31">
      <c r="AB1940" s="231" t="s">
        <v>2329</v>
      </c>
      <c r="AC1940" s="217" t="s">
        <v>333</v>
      </c>
      <c r="AD1940" s="217" t="s">
        <v>334</v>
      </c>
      <c r="AE1940" s="217" t="s">
        <v>334</v>
      </c>
    </row>
    <row r="1941" spans="28:31">
      <c r="AB1941" s="231" t="s">
        <v>2330</v>
      </c>
      <c r="AC1941" s="217" t="s">
        <v>333</v>
      </c>
      <c r="AD1941" s="217" t="s">
        <v>334</v>
      </c>
      <c r="AE1941" s="217" t="s">
        <v>334</v>
      </c>
    </row>
    <row r="1942" spans="28:31">
      <c r="AB1942" s="231" t="s">
        <v>2331</v>
      </c>
      <c r="AC1942" s="217" t="s">
        <v>333</v>
      </c>
      <c r="AD1942" s="217" t="s">
        <v>334</v>
      </c>
      <c r="AE1942" s="217" t="s">
        <v>334</v>
      </c>
    </row>
    <row r="1943" spans="28:31">
      <c r="AB1943" s="231" t="s">
        <v>2332</v>
      </c>
      <c r="AC1943" s="217" t="s">
        <v>333</v>
      </c>
      <c r="AD1943" s="217" t="s">
        <v>334</v>
      </c>
      <c r="AE1943" s="217" t="s">
        <v>334</v>
      </c>
    </row>
    <row r="1944" spans="28:31">
      <c r="AB1944" s="231" t="s">
        <v>2333</v>
      </c>
      <c r="AC1944" s="217" t="s">
        <v>333</v>
      </c>
      <c r="AD1944" s="217" t="s">
        <v>334</v>
      </c>
      <c r="AE1944" s="217" t="s">
        <v>334</v>
      </c>
    </row>
    <row r="1945" spans="28:31">
      <c r="AB1945" s="231" t="s">
        <v>2334</v>
      </c>
      <c r="AC1945" s="217" t="s">
        <v>333</v>
      </c>
      <c r="AD1945" s="217" t="s">
        <v>334</v>
      </c>
      <c r="AE1945" s="217" t="s">
        <v>334</v>
      </c>
    </row>
    <row r="1946" spans="28:31">
      <c r="AB1946" s="231" t="s">
        <v>2335</v>
      </c>
      <c r="AC1946" s="217" t="s">
        <v>333</v>
      </c>
      <c r="AD1946" s="217" t="s">
        <v>334</v>
      </c>
      <c r="AE1946" s="217" t="s">
        <v>334</v>
      </c>
    </row>
    <row r="1947" spans="28:31">
      <c r="AB1947" s="231" t="s">
        <v>2336</v>
      </c>
      <c r="AC1947" s="217" t="s">
        <v>333</v>
      </c>
      <c r="AD1947" s="217" t="s">
        <v>334</v>
      </c>
      <c r="AE1947" s="217" t="s">
        <v>334</v>
      </c>
    </row>
    <row r="1948" spans="28:31">
      <c r="AB1948" s="231" t="s">
        <v>2337</v>
      </c>
      <c r="AC1948" s="217" t="s">
        <v>333</v>
      </c>
      <c r="AD1948" s="217" t="s">
        <v>334</v>
      </c>
      <c r="AE1948" s="217" t="s">
        <v>334</v>
      </c>
    </row>
    <row r="1949" spans="28:31">
      <c r="AB1949" s="231" t="s">
        <v>2338</v>
      </c>
      <c r="AC1949" s="217" t="s">
        <v>333</v>
      </c>
      <c r="AD1949" s="217" t="s">
        <v>334</v>
      </c>
      <c r="AE1949" s="217" t="s">
        <v>334</v>
      </c>
    </row>
    <row r="1950" spans="28:31">
      <c r="AB1950" s="231" t="s">
        <v>2339</v>
      </c>
      <c r="AC1950" s="217" t="s">
        <v>333</v>
      </c>
      <c r="AD1950" s="217" t="s">
        <v>334</v>
      </c>
      <c r="AE1950" s="217" t="s">
        <v>334</v>
      </c>
    </row>
    <row r="1951" spans="28:31">
      <c r="AB1951" s="231" t="s">
        <v>2340</v>
      </c>
      <c r="AC1951" s="217" t="s">
        <v>333</v>
      </c>
      <c r="AD1951" s="217" t="s">
        <v>334</v>
      </c>
      <c r="AE1951" s="217" t="s">
        <v>334</v>
      </c>
    </row>
    <row r="1952" spans="28:31">
      <c r="AB1952" s="231" t="s">
        <v>2341</v>
      </c>
      <c r="AC1952" s="217" t="s">
        <v>333</v>
      </c>
      <c r="AD1952" s="217" t="s">
        <v>334</v>
      </c>
      <c r="AE1952" s="217" t="s">
        <v>334</v>
      </c>
    </row>
    <row r="1953" spans="28:31">
      <c r="AB1953" s="231" t="s">
        <v>2342</v>
      </c>
      <c r="AC1953" s="217" t="s">
        <v>333</v>
      </c>
      <c r="AD1953" s="217" t="s">
        <v>334</v>
      </c>
      <c r="AE1953" s="217" t="s">
        <v>334</v>
      </c>
    </row>
    <row r="1954" spans="28:31">
      <c r="AB1954" s="231" t="s">
        <v>2343</v>
      </c>
      <c r="AC1954" s="217" t="s">
        <v>333</v>
      </c>
      <c r="AD1954" s="217" t="s">
        <v>334</v>
      </c>
      <c r="AE1954" s="217" t="s">
        <v>334</v>
      </c>
    </row>
    <row r="1955" spans="28:31">
      <c r="AB1955" s="231" t="s">
        <v>2344</v>
      </c>
      <c r="AC1955" s="217" t="s">
        <v>333</v>
      </c>
      <c r="AD1955" s="217" t="s">
        <v>334</v>
      </c>
      <c r="AE1955" s="217" t="s">
        <v>334</v>
      </c>
    </row>
    <row r="1956" spans="28:31">
      <c r="AB1956" s="231" t="s">
        <v>2345</v>
      </c>
      <c r="AC1956" s="217" t="s">
        <v>333</v>
      </c>
      <c r="AD1956" s="217" t="s">
        <v>334</v>
      </c>
      <c r="AE1956" s="217" t="s">
        <v>334</v>
      </c>
    </row>
    <row r="1957" spans="28:31">
      <c r="AB1957" s="231" t="s">
        <v>2346</v>
      </c>
      <c r="AC1957" s="217" t="s">
        <v>333</v>
      </c>
      <c r="AD1957" s="217" t="s">
        <v>334</v>
      </c>
      <c r="AE1957" s="217" t="s">
        <v>334</v>
      </c>
    </row>
    <row r="1958" spans="28:31">
      <c r="AB1958" s="231" t="s">
        <v>2347</v>
      </c>
      <c r="AC1958" s="217" t="s">
        <v>333</v>
      </c>
      <c r="AD1958" s="217" t="s">
        <v>334</v>
      </c>
      <c r="AE1958" s="217" t="s">
        <v>334</v>
      </c>
    </row>
    <row r="1959" spans="28:31">
      <c r="AB1959" s="231" t="s">
        <v>2348</v>
      </c>
      <c r="AC1959" s="217" t="s">
        <v>333</v>
      </c>
      <c r="AD1959" s="217" t="s">
        <v>334</v>
      </c>
      <c r="AE1959" s="217" t="s">
        <v>334</v>
      </c>
    </row>
    <row r="1960" spans="28:31">
      <c r="AB1960" s="231" t="s">
        <v>2349</v>
      </c>
      <c r="AC1960" s="217" t="s">
        <v>333</v>
      </c>
      <c r="AD1960" s="217" t="s">
        <v>334</v>
      </c>
      <c r="AE1960" s="217" t="s">
        <v>334</v>
      </c>
    </row>
    <row r="1961" spans="28:31">
      <c r="AB1961" s="231" t="s">
        <v>2350</v>
      </c>
      <c r="AC1961" s="217" t="s">
        <v>333</v>
      </c>
      <c r="AD1961" s="217" t="s">
        <v>334</v>
      </c>
      <c r="AE1961" s="217" t="s">
        <v>334</v>
      </c>
    </row>
    <row r="1962" spans="28:31">
      <c r="AB1962" s="231" t="s">
        <v>2351</v>
      </c>
      <c r="AC1962" s="217" t="s">
        <v>333</v>
      </c>
      <c r="AD1962" s="217" t="s">
        <v>334</v>
      </c>
      <c r="AE1962" s="217" t="s">
        <v>334</v>
      </c>
    </row>
    <row r="1963" spans="28:31">
      <c r="AB1963" s="231" t="s">
        <v>2352</v>
      </c>
      <c r="AC1963" s="217" t="s">
        <v>333</v>
      </c>
      <c r="AD1963" s="217" t="s">
        <v>334</v>
      </c>
      <c r="AE1963" s="217" t="s">
        <v>334</v>
      </c>
    </row>
    <row r="1964" spans="28:31">
      <c r="AB1964" s="231" t="s">
        <v>2353</v>
      </c>
      <c r="AC1964" s="217" t="s">
        <v>333</v>
      </c>
      <c r="AD1964" s="217" t="s">
        <v>334</v>
      </c>
      <c r="AE1964" s="217" t="s">
        <v>334</v>
      </c>
    </row>
    <row r="1965" spans="28:31">
      <c r="AB1965" s="231" t="s">
        <v>2354</v>
      </c>
      <c r="AC1965" s="217" t="s">
        <v>333</v>
      </c>
      <c r="AD1965" s="217" t="s">
        <v>334</v>
      </c>
      <c r="AE1965" s="217" t="s">
        <v>334</v>
      </c>
    </row>
    <row r="1966" spans="28:31">
      <c r="AB1966" s="231" t="s">
        <v>2355</v>
      </c>
      <c r="AC1966" s="217" t="s">
        <v>333</v>
      </c>
      <c r="AD1966" s="217" t="s">
        <v>334</v>
      </c>
      <c r="AE1966" s="217" t="s">
        <v>334</v>
      </c>
    </row>
    <row r="1967" spans="28:31">
      <c r="AB1967" s="231" t="s">
        <v>2356</v>
      </c>
      <c r="AC1967" s="217" t="s">
        <v>333</v>
      </c>
      <c r="AD1967" s="217" t="s">
        <v>334</v>
      </c>
      <c r="AE1967" s="217" t="s">
        <v>334</v>
      </c>
    </row>
    <row r="1968" spans="28:31">
      <c r="AB1968" s="231" t="s">
        <v>2357</v>
      </c>
      <c r="AC1968" s="217" t="s">
        <v>333</v>
      </c>
      <c r="AD1968" s="217" t="s">
        <v>334</v>
      </c>
      <c r="AE1968" s="217" t="s">
        <v>334</v>
      </c>
    </row>
    <row r="1969" spans="28:31">
      <c r="AB1969" s="231" t="s">
        <v>2358</v>
      </c>
      <c r="AC1969" s="217" t="s">
        <v>333</v>
      </c>
      <c r="AD1969" s="217" t="s">
        <v>334</v>
      </c>
      <c r="AE1969" s="217" t="s">
        <v>334</v>
      </c>
    </row>
    <row r="1970" spans="28:31">
      <c r="AB1970" s="231" t="s">
        <v>2359</v>
      </c>
      <c r="AC1970" s="217" t="s">
        <v>333</v>
      </c>
      <c r="AD1970" s="217" t="s">
        <v>334</v>
      </c>
      <c r="AE1970" s="217" t="s">
        <v>334</v>
      </c>
    </row>
    <row r="1971" spans="28:31">
      <c r="AB1971" s="231" t="s">
        <v>2360</v>
      </c>
      <c r="AC1971" s="217" t="s">
        <v>333</v>
      </c>
      <c r="AD1971" s="217" t="s">
        <v>334</v>
      </c>
      <c r="AE1971" s="217" t="s">
        <v>334</v>
      </c>
    </row>
    <row r="1972" spans="28:31">
      <c r="AB1972" s="231" t="s">
        <v>2361</v>
      </c>
      <c r="AC1972" s="217" t="s">
        <v>333</v>
      </c>
      <c r="AD1972" s="217" t="s">
        <v>334</v>
      </c>
      <c r="AE1972" s="217" t="s">
        <v>334</v>
      </c>
    </row>
    <row r="1973" spans="28:31">
      <c r="AB1973" s="231" t="s">
        <v>2362</v>
      </c>
      <c r="AC1973" s="217" t="s">
        <v>333</v>
      </c>
      <c r="AD1973" s="217" t="s">
        <v>334</v>
      </c>
      <c r="AE1973" s="217" t="s">
        <v>334</v>
      </c>
    </row>
    <row r="1974" spans="28:31">
      <c r="AB1974" s="231" t="s">
        <v>2363</v>
      </c>
      <c r="AC1974" s="217" t="s">
        <v>333</v>
      </c>
      <c r="AD1974" s="217" t="s">
        <v>334</v>
      </c>
      <c r="AE1974" s="217" t="s">
        <v>334</v>
      </c>
    </row>
    <row r="1975" spans="28:31">
      <c r="AB1975" s="231" t="s">
        <v>2364</v>
      </c>
      <c r="AC1975" s="217" t="s">
        <v>333</v>
      </c>
      <c r="AD1975" s="217" t="s">
        <v>334</v>
      </c>
      <c r="AE1975" s="217" t="s">
        <v>334</v>
      </c>
    </row>
    <row r="1976" spans="28:31">
      <c r="AB1976" s="231" t="s">
        <v>2365</v>
      </c>
      <c r="AC1976" s="217" t="s">
        <v>333</v>
      </c>
      <c r="AD1976" s="217" t="s">
        <v>334</v>
      </c>
      <c r="AE1976" s="217" t="s">
        <v>334</v>
      </c>
    </row>
    <row r="1977" spans="28:31">
      <c r="AB1977" s="231" t="s">
        <v>2366</v>
      </c>
      <c r="AC1977" s="217" t="s">
        <v>333</v>
      </c>
      <c r="AD1977" s="217" t="s">
        <v>334</v>
      </c>
      <c r="AE1977" s="217" t="s">
        <v>334</v>
      </c>
    </row>
    <row r="1978" spans="28:31">
      <c r="AB1978" s="231" t="s">
        <v>2367</v>
      </c>
      <c r="AC1978" s="217" t="s">
        <v>333</v>
      </c>
      <c r="AD1978" s="217" t="s">
        <v>334</v>
      </c>
      <c r="AE1978" s="217" t="s">
        <v>334</v>
      </c>
    </row>
    <row r="1979" spans="28:31">
      <c r="AB1979" s="231" t="s">
        <v>2368</v>
      </c>
      <c r="AC1979" s="217" t="s">
        <v>333</v>
      </c>
      <c r="AD1979" s="217" t="s">
        <v>334</v>
      </c>
      <c r="AE1979" s="217" t="s">
        <v>334</v>
      </c>
    </row>
    <row r="1980" spans="28:31">
      <c r="AB1980" s="231" t="s">
        <v>2369</v>
      </c>
      <c r="AC1980" s="217" t="s">
        <v>333</v>
      </c>
      <c r="AD1980" s="217" t="s">
        <v>334</v>
      </c>
      <c r="AE1980" s="217" t="s">
        <v>334</v>
      </c>
    </row>
    <row r="1981" spans="28:31">
      <c r="AB1981" s="231" t="s">
        <v>2370</v>
      </c>
      <c r="AC1981" s="217" t="s">
        <v>333</v>
      </c>
      <c r="AD1981" s="217" t="s">
        <v>334</v>
      </c>
      <c r="AE1981" s="217" t="s">
        <v>334</v>
      </c>
    </row>
    <row r="1982" spans="28:31">
      <c r="AB1982" s="231" t="s">
        <v>2371</v>
      </c>
      <c r="AC1982" s="217" t="s">
        <v>333</v>
      </c>
      <c r="AD1982" s="217" t="s">
        <v>334</v>
      </c>
      <c r="AE1982" s="217" t="s">
        <v>334</v>
      </c>
    </row>
    <row r="1983" spans="28:31">
      <c r="AB1983" s="231" t="s">
        <v>2372</v>
      </c>
      <c r="AC1983" s="217" t="s">
        <v>333</v>
      </c>
      <c r="AD1983" s="217" t="s">
        <v>334</v>
      </c>
      <c r="AE1983" s="217" t="s">
        <v>334</v>
      </c>
    </row>
    <row r="1984" spans="28:31">
      <c r="AB1984" s="231" t="s">
        <v>2373</v>
      </c>
      <c r="AC1984" s="217" t="s">
        <v>333</v>
      </c>
      <c r="AD1984" s="217" t="s">
        <v>334</v>
      </c>
      <c r="AE1984" s="217" t="s">
        <v>334</v>
      </c>
    </row>
    <row r="1985" spans="28:31">
      <c r="AB1985" s="231" t="s">
        <v>2374</v>
      </c>
      <c r="AC1985" s="217" t="s">
        <v>333</v>
      </c>
      <c r="AD1985" s="217" t="s">
        <v>334</v>
      </c>
      <c r="AE1985" s="217" t="s">
        <v>334</v>
      </c>
    </row>
    <row r="1986" spans="28:31">
      <c r="AB1986" s="231" t="s">
        <v>2375</v>
      </c>
      <c r="AC1986" s="217" t="s">
        <v>333</v>
      </c>
      <c r="AD1986" s="217" t="s">
        <v>334</v>
      </c>
      <c r="AE1986" s="217" t="s">
        <v>334</v>
      </c>
    </row>
    <row r="1987" spans="28:31">
      <c r="AB1987" s="231" t="s">
        <v>2376</v>
      </c>
      <c r="AC1987" s="217" t="s">
        <v>333</v>
      </c>
      <c r="AD1987" s="217" t="s">
        <v>334</v>
      </c>
      <c r="AE1987" s="217" t="s">
        <v>334</v>
      </c>
    </row>
    <row r="1988" spans="28:31">
      <c r="AB1988" s="231" t="s">
        <v>2377</v>
      </c>
      <c r="AC1988" s="217" t="s">
        <v>333</v>
      </c>
      <c r="AD1988" s="217" t="s">
        <v>334</v>
      </c>
      <c r="AE1988" s="217" t="s">
        <v>334</v>
      </c>
    </row>
    <row r="1989" spans="28:31">
      <c r="AB1989" s="231" t="s">
        <v>2378</v>
      </c>
      <c r="AC1989" s="217" t="s">
        <v>333</v>
      </c>
      <c r="AD1989" s="217" t="s">
        <v>334</v>
      </c>
      <c r="AE1989" s="217" t="s">
        <v>334</v>
      </c>
    </row>
    <row r="1990" spans="28:31">
      <c r="AB1990" s="231" t="s">
        <v>2379</v>
      </c>
      <c r="AC1990" s="217" t="s">
        <v>333</v>
      </c>
      <c r="AD1990" s="217" t="s">
        <v>334</v>
      </c>
      <c r="AE1990" s="217" t="s">
        <v>334</v>
      </c>
    </row>
    <row r="1991" spans="28:31">
      <c r="AB1991" s="231" t="s">
        <v>2380</v>
      </c>
      <c r="AC1991" s="217" t="s">
        <v>333</v>
      </c>
      <c r="AD1991" s="217" t="s">
        <v>334</v>
      </c>
      <c r="AE1991" s="217" t="s">
        <v>334</v>
      </c>
    </row>
    <row r="1992" spans="28:31">
      <c r="AB1992" s="231" t="s">
        <v>2381</v>
      </c>
      <c r="AC1992" s="217" t="s">
        <v>333</v>
      </c>
      <c r="AD1992" s="217" t="s">
        <v>334</v>
      </c>
      <c r="AE1992" s="217" t="s">
        <v>334</v>
      </c>
    </row>
    <row r="1993" spans="28:31">
      <c r="AB1993" s="231" t="s">
        <v>2382</v>
      </c>
      <c r="AC1993" s="217" t="s">
        <v>333</v>
      </c>
      <c r="AD1993" s="217" t="s">
        <v>334</v>
      </c>
      <c r="AE1993" s="217" t="s">
        <v>334</v>
      </c>
    </row>
    <row r="1994" spans="28:31">
      <c r="AB1994" s="231" t="s">
        <v>2383</v>
      </c>
      <c r="AC1994" s="217" t="s">
        <v>333</v>
      </c>
      <c r="AD1994" s="217" t="s">
        <v>334</v>
      </c>
      <c r="AE1994" s="217" t="s">
        <v>334</v>
      </c>
    </row>
    <row r="1995" spans="28:31">
      <c r="AB1995" s="231" t="s">
        <v>2384</v>
      </c>
      <c r="AC1995" s="217" t="s">
        <v>333</v>
      </c>
      <c r="AD1995" s="217" t="s">
        <v>334</v>
      </c>
      <c r="AE1995" s="217" t="s">
        <v>334</v>
      </c>
    </row>
    <row r="1996" spans="28:31">
      <c r="AB1996" s="231" t="s">
        <v>2385</v>
      </c>
      <c r="AC1996" s="217" t="s">
        <v>333</v>
      </c>
      <c r="AD1996" s="217" t="s">
        <v>334</v>
      </c>
      <c r="AE1996" s="217" t="s">
        <v>334</v>
      </c>
    </row>
    <row r="1997" spans="28:31">
      <c r="AB1997" s="231" t="s">
        <v>2386</v>
      </c>
      <c r="AC1997" s="217" t="s">
        <v>333</v>
      </c>
      <c r="AD1997" s="217" t="s">
        <v>334</v>
      </c>
      <c r="AE1997" s="217" t="s">
        <v>334</v>
      </c>
    </row>
    <row r="1998" spans="28:31">
      <c r="AB1998" s="231" t="s">
        <v>2387</v>
      </c>
      <c r="AC1998" s="217" t="s">
        <v>333</v>
      </c>
      <c r="AD1998" s="217" t="s">
        <v>334</v>
      </c>
      <c r="AE1998" s="217" t="s">
        <v>334</v>
      </c>
    </row>
    <row r="1999" spans="28:31">
      <c r="AB1999" s="231" t="s">
        <v>2388</v>
      </c>
      <c r="AC1999" s="217" t="s">
        <v>333</v>
      </c>
      <c r="AD1999" s="217" t="s">
        <v>334</v>
      </c>
      <c r="AE1999" s="217" t="s">
        <v>334</v>
      </c>
    </row>
    <row r="2000" spans="28:31">
      <c r="AB2000" s="231" t="s">
        <v>2389</v>
      </c>
      <c r="AC2000" s="217" t="s">
        <v>333</v>
      </c>
      <c r="AD2000" s="217" t="s">
        <v>334</v>
      </c>
      <c r="AE2000" s="217" t="s">
        <v>334</v>
      </c>
    </row>
    <row r="2001" spans="28:31">
      <c r="AB2001" s="231" t="s">
        <v>2390</v>
      </c>
      <c r="AC2001" s="217" t="s">
        <v>333</v>
      </c>
      <c r="AD2001" s="217" t="s">
        <v>334</v>
      </c>
      <c r="AE2001" s="217" t="s">
        <v>334</v>
      </c>
    </row>
    <row r="2002" spans="28:31">
      <c r="AB2002" s="231" t="s">
        <v>2391</v>
      </c>
      <c r="AC2002" s="217" t="s">
        <v>333</v>
      </c>
      <c r="AD2002" s="217" t="s">
        <v>334</v>
      </c>
      <c r="AE2002" s="217" t="s">
        <v>334</v>
      </c>
    </row>
    <row r="2003" spans="28:31">
      <c r="AB2003" s="231" t="s">
        <v>2392</v>
      </c>
      <c r="AC2003" s="217" t="s">
        <v>333</v>
      </c>
      <c r="AD2003" s="217" t="s">
        <v>334</v>
      </c>
      <c r="AE2003" s="217" t="s">
        <v>334</v>
      </c>
    </row>
    <row r="2004" spans="28:31">
      <c r="AB2004" s="231" t="s">
        <v>2393</v>
      </c>
      <c r="AC2004" s="217" t="s">
        <v>333</v>
      </c>
      <c r="AD2004" s="217" t="s">
        <v>334</v>
      </c>
      <c r="AE2004" s="217" t="s">
        <v>334</v>
      </c>
    </row>
    <row r="2005" spans="28:31">
      <c r="AB2005" s="231" t="s">
        <v>2394</v>
      </c>
      <c r="AC2005" s="217" t="s">
        <v>333</v>
      </c>
      <c r="AD2005" s="217" t="s">
        <v>334</v>
      </c>
      <c r="AE2005" s="217" t="s">
        <v>334</v>
      </c>
    </row>
    <row r="2006" spans="28:31">
      <c r="AB2006" s="231" t="s">
        <v>2395</v>
      </c>
      <c r="AC2006" s="217" t="s">
        <v>333</v>
      </c>
      <c r="AD2006" s="217" t="s">
        <v>334</v>
      </c>
      <c r="AE2006" s="217" t="s">
        <v>334</v>
      </c>
    </row>
    <row r="2007" spans="28:31">
      <c r="AB2007" s="231" t="s">
        <v>2396</v>
      </c>
      <c r="AC2007" s="217" t="s">
        <v>333</v>
      </c>
      <c r="AD2007" s="217" t="s">
        <v>334</v>
      </c>
      <c r="AE2007" s="217" t="s">
        <v>334</v>
      </c>
    </row>
    <row r="2008" spans="28:31">
      <c r="AB2008" s="231" t="s">
        <v>2397</v>
      </c>
      <c r="AC2008" s="217" t="s">
        <v>333</v>
      </c>
      <c r="AD2008" s="217" t="s">
        <v>334</v>
      </c>
      <c r="AE2008" s="217" t="s">
        <v>334</v>
      </c>
    </row>
    <row r="2009" spans="28:31">
      <c r="AB2009" s="231" t="s">
        <v>2398</v>
      </c>
      <c r="AC2009" s="217" t="s">
        <v>333</v>
      </c>
      <c r="AD2009" s="217" t="s">
        <v>334</v>
      </c>
      <c r="AE2009" s="217" t="s">
        <v>334</v>
      </c>
    </row>
    <row r="2010" spans="28:31">
      <c r="AB2010" s="231" t="s">
        <v>2399</v>
      </c>
      <c r="AC2010" s="217" t="s">
        <v>333</v>
      </c>
      <c r="AD2010" s="217" t="s">
        <v>334</v>
      </c>
      <c r="AE2010" s="217" t="s">
        <v>334</v>
      </c>
    </row>
    <row r="2011" spans="28:31">
      <c r="AB2011" s="231" t="s">
        <v>2400</v>
      </c>
      <c r="AC2011" s="217" t="s">
        <v>333</v>
      </c>
      <c r="AD2011" s="217" t="s">
        <v>334</v>
      </c>
      <c r="AE2011" s="217" t="s">
        <v>334</v>
      </c>
    </row>
    <row r="2012" spans="28:31">
      <c r="AB2012" s="231" t="s">
        <v>2401</v>
      </c>
      <c r="AC2012" s="217" t="s">
        <v>333</v>
      </c>
      <c r="AD2012" s="217" t="s">
        <v>334</v>
      </c>
      <c r="AE2012" s="217" t="s">
        <v>334</v>
      </c>
    </row>
    <row r="2013" spans="28:31">
      <c r="AB2013" s="231" t="s">
        <v>2402</v>
      </c>
      <c r="AC2013" s="217" t="s">
        <v>333</v>
      </c>
      <c r="AD2013" s="217" t="s">
        <v>334</v>
      </c>
      <c r="AE2013" s="217" t="s">
        <v>334</v>
      </c>
    </row>
    <row r="2014" spans="28:31">
      <c r="AB2014" s="231" t="s">
        <v>2403</v>
      </c>
      <c r="AC2014" s="217" t="s">
        <v>333</v>
      </c>
      <c r="AD2014" s="217" t="s">
        <v>334</v>
      </c>
      <c r="AE2014" s="217" t="s">
        <v>334</v>
      </c>
    </row>
    <row r="2015" spans="28:31">
      <c r="AB2015" s="231" t="s">
        <v>2404</v>
      </c>
      <c r="AC2015" s="217" t="s">
        <v>333</v>
      </c>
      <c r="AD2015" s="217" t="s">
        <v>334</v>
      </c>
      <c r="AE2015" s="217" t="s">
        <v>334</v>
      </c>
    </row>
    <row r="2016" spans="28:31">
      <c r="AB2016" s="231" t="s">
        <v>2405</v>
      </c>
      <c r="AC2016" s="217" t="s">
        <v>333</v>
      </c>
      <c r="AD2016" s="217" t="s">
        <v>334</v>
      </c>
      <c r="AE2016" s="217" t="s">
        <v>334</v>
      </c>
    </row>
    <row r="2017" spans="28:31">
      <c r="AB2017" s="231" t="s">
        <v>2406</v>
      </c>
      <c r="AC2017" s="217" t="s">
        <v>333</v>
      </c>
      <c r="AD2017" s="217" t="s">
        <v>334</v>
      </c>
      <c r="AE2017" s="217" t="s">
        <v>334</v>
      </c>
    </row>
    <row r="2018" spans="28:31">
      <c r="AB2018" s="231" t="s">
        <v>2407</v>
      </c>
      <c r="AC2018" s="217" t="s">
        <v>333</v>
      </c>
      <c r="AD2018" s="217" t="s">
        <v>334</v>
      </c>
      <c r="AE2018" s="217" t="s">
        <v>334</v>
      </c>
    </row>
    <row r="2019" spans="28:31">
      <c r="AB2019" s="231" t="s">
        <v>2408</v>
      </c>
      <c r="AC2019" s="217" t="s">
        <v>333</v>
      </c>
      <c r="AD2019" s="217" t="s">
        <v>334</v>
      </c>
      <c r="AE2019" s="217" t="s">
        <v>334</v>
      </c>
    </row>
    <row r="2020" spans="28:31">
      <c r="AB2020" s="231" t="s">
        <v>2409</v>
      </c>
      <c r="AC2020" s="217" t="s">
        <v>333</v>
      </c>
      <c r="AD2020" s="217" t="s">
        <v>334</v>
      </c>
      <c r="AE2020" s="217" t="s">
        <v>334</v>
      </c>
    </row>
    <row r="2021" spans="28:31">
      <c r="AB2021" s="231" t="s">
        <v>2410</v>
      </c>
      <c r="AC2021" s="217" t="s">
        <v>333</v>
      </c>
      <c r="AD2021" s="217" t="s">
        <v>334</v>
      </c>
      <c r="AE2021" s="217" t="s">
        <v>334</v>
      </c>
    </row>
    <row r="2022" spans="28:31">
      <c r="AB2022" s="231" t="s">
        <v>2411</v>
      </c>
      <c r="AC2022" s="217" t="s">
        <v>333</v>
      </c>
      <c r="AD2022" s="217" t="s">
        <v>334</v>
      </c>
      <c r="AE2022" s="217" t="s">
        <v>334</v>
      </c>
    </row>
    <row r="2023" spans="28:31">
      <c r="AB2023" s="231" t="s">
        <v>2412</v>
      </c>
      <c r="AC2023" s="217" t="s">
        <v>333</v>
      </c>
      <c r="AD2023" s="217" t="s">
        <v>334</v>
      </c>
      <c r="AE2023" s="217" t="s">
        <v>334</v>
      </c>
    </row>
    <row r="2024" spans="28:31">
      <c r="AB2024" s="231" t="s">
        <v>2413</v>
      </c>
      <c r="AC2024" s="217" t="s">
        <v>333</v>
      </c>
      <c r="AD2024" s="217" t="s">
        <v>334</v>
      </c>
      <c r="AE2024" s="217" t="s">
        <v>334</v>
      </c>
    </row>
    <row r="2025" spans="28:31">
      <c r="AB2025" s="231" t="s">
        <v>2414</v>
      </c>
      <c r="AC2025" s="217" t="s">
        <v>333</v>
      </c>
      <c r="AD2025" s="217" t="s">
        <v>334</v>
      </c>
      <c r="AE2025" s="217" t="s">
        <v>334</v>
      </c>
    </row>
    <row r="2026" spans="28:31">
      <c r="AB2026" s="231" t="s">
        <v>2415</v>
      </c>
      <c r="AC2026" s="217" t="s">
        <v>333</v>
      </c>
      <c r="AD2026" s="217" t="s">
        <v>334</v>
      </c>
      <c r="AE2026" s="217" t="s">
        <v>334</v>
      </c>
    </row>
    <row r="2027" spans="28:31">
      <c r="AB2027" s="231" t="s">
        <v>2416</v>
      </c>
      <c r="AC2027" s="217" t="s">
        <v>333</v>
      </c>
      <c r="AD2027" s="217" t="s">
        <v>334</v>
      </c>
      <c r="AE2027" s="217" t="s">
        <v>334</v>
      </c>
    </row>
    <row r="2028" spans="28:31">
      <c r="AB2028" s="231" t="s">
        <v>2417</v>
      </c>
      <c r="AC2028" s="217" t="s">
        <v>333</v>
      </c>
      <c r="AD2028" s="217" t="s">
        <v>334</v>
      </c>
      <c r="AE2028" s="217" t="s">
        <v>334</v>
      </c>
    </row>
    <row r="2029" spans="28:31">
      <c r="AB2029" s="231" t="s">
        <v>2418</v>
      </c>
      <c r="AC2029" s="217" t="s">
        <v>333</v>
      </c>
      <c r="AD2029" s="217" t="s">
        <v>334</v>
      </c>
      <c r="AE2029" s="217" t="s">
        <v>334</v>
      </c>
    </row>
    <row r="2030" spans="28:31">
      <c r="AB2030" s="231" t="s">
        <v>2419</v>
      </c>
      <c r="AC2030" s="217" t="s">
        <v>333</v>
      </c>
      <c r="AD2030" s="217" t="s">
        <v>334</v>
      </c>
      <c r="AE2030" s="217" t="s">
        <v>334</v>
      </c>
    </row>
    <row r="2031" spans="28:31">
      <c r="AB2031" s="231" t="s">
        <v>2420</v>
      </c>
      <c r="AC2031" s="217" t="s">
        <v>333</v>
      </c>
      <c r="AD2031" s="217" t="s">
        <v>334</v>
      </c>
      <c r="AE2031" s="217" t="s">
        <v>334</v>
      </c>
    </row>
    <row r="2032" spans="28:31">
      <c r="AB2032" s="231" t="s">
        <v>2421</v>
      </c>
      <c r="AC2032" s="217" t="s">
        <v>333</v>
      </c>
      <c r="AD2032" s="217" t="s">
        <v>334</v>
      </c>
      <c r="AE2032" s="217" t="s">
        <v>334</v>
      </c>
    </row>
    <row r="2033" spans="28:31">
      <c r="AB2033" s="231" t="s">
        <v>2422</v>
      </c>
      <c r="AC2033" s="217" t="s">
        <v>333</v>
      </c>
      <c r="AD2033" s="217" t="s">
        <v>334</v>
      </c>
      <c r="AE2033" s="217" t="s">
        <v>334</v>
      </c>
    </row>
    <row r="2034" spans="28:31">
      <c r="AB2034" s="231" t="s">
        <v>2423</v>
      </c>
      <c r="AC2034" s="217" t="s">
        <v>333</v>
      </c>
      <c r="AD2034" s="217" t="s">
        <v>334</v>
      </c>
      <c r="AE2034" s="217" t="s">
        <v>334</v>
      </c>
    </row>
    <row r="2035" spans="28:31">
      <c r="AB2035" s="231" t="s">
        <v>2424</v>
      </c>
      <c r="AC2035" s="217" t="s">
        <v>333</v>
      </c>
      <c r="AD2035" s="217" t="s">
        <v>334</v>
      </c>
      <c r="AE2035" s="217" t="s">
        <v>334</v>
      </c>
    </row>
    <row r="2036" spans="28:31">
      <c r="AB2036" s="231" t="s">
        <v>2425</v>
      </c>
      <c r="AC2036" s="217" t="s">
        <v>333</v>
      </c>
      <c r="AD2036" s="217" t="s">
        <v>334</v>
      </c>
      <c r="AE2036" s="217" t="s">
        <v>334</v>
      </c>
    </row>
    <row r="2037" spans="28:31">
      <c r="AB2037" s="231" t="s">
        <v>2426</v>
      </c>
      <c r="AC2037" s="217" t="s">
        <v>333</v>
      </c>
      <c r="AD2037" s="217" t="s">
        <v>334</v>
      </c>
      <c r="AE2037" s="217" t="s">
        <v>334</v>
      </c>
    </row>
    <row r="2038" spans="28:31">
      <c r="AB2038" s="231" t="s">
        <v>2427</v>
      </c>
      <c r="AC2038" s="217" t="s">
        <v>333</v>
      </c>
      <c r="AD2038" s="217" t="s">
        <v>334</v>
      </c>
      <c r="AE2038" s="217" t="s">
        <v>334</v>
      </c>
    </row>
    <row r="2039" spans="28:31">
      <c r="AB2039" s="231" t="s">
        <v>2428</v>
      </c>
      <c r="AC2039" s="217" t="s">
        <v>333</v>
      </c>
      <c r="AD2039" s="217" t="s">
        <v>334</v>
      </c>
      <c r="AE2039" s="217" t="s">
        <v>334</v>
      </c>
    </row>
    <row r="2040" spans="28:31">
      <c r="AB2040" s="231" t="s">
        <v>2429</v>
      </c>
      <c r="AC2040" s="217" t="s">
        <v>333</v>
      </c>
      <c r="AD2040" s="217" t="s">
        <v>334</v>
      </c>
      <c r="AE2040" s="217" t="s">
        <v>334</v>
      </c>
    </row>
    <row r="2041" spans="28:31">
      <c r="AB2041" s="231" t="s">
        <v>2430</v>
      </c>
      <c r="AC2041" s="217" t="s">
        <v>333</v>
      </c>
      <c r="AD2041" s="217" t="s">
        <v>334</v>
      </c>
      <c r="AE2041" s="217" t="s">
        <v>334</v>
      </c>
    </row>
    <row r="2042" spans="28:31">
      <c r="AB2042" s="231" t="s">
        <v>2431</v>
      </c>
      <c r="AC2042" s="217" t="s">
        <v>333</v>
      </c>
      <c r="AD2042" s="217" t="s">
        <v>334</v>
      </c>
      <c r="AE2042" s="217" t="s">
        <v>334</v>
      </c>
    </row>
    <row r="2043" spans="28:31">
      <c r="AB2043" s="231" t="s">
        <v>2432</v>
      </c>
      <c r="AC2043" s="217" t="s">
        <v>333</v>
      </c>
      <c r="AD2043" s="217" t="s">
        <v>334</v>
      </c>
      <c r="AE2043" s="217" t="s">
        <v>334</v>
      </c>
    </row>
    <row r="2044" spans="28:31">
      <c r="AB2044" s="231" t="s">
        <v>2433</v>
      </c>
      <c r="AC2044" s="217" t="s">
        <v>333</v>
      </c>
      <c r="AD2044" s="217" t="s">
        <v>334</v>
      </c>
      <c r="AE2044" s="217" t="s">
        <v>334</v>
      </c>
    </row>
    <row r="2045" spans="28:31">
      <c r="AB2045" s="231" t="s">
        <v>2434</v>
      </c>
      <c r="AC2045" s="217" t="s">
        <v>333</v>
      </c>
      <c r="AD2045" s="217" t="s">
        <v>334</v>
      </c>
      <c r="AE2045" s="217" t="s">
        <v>334</v>
      </c>
    </row>
    <row r="2046" spans="28:31">
      <c r="AB2046" s="231" t="s">
        <v>2435</v>
      </c>
      <c r="AC2046" s="217" t="s">
        <v>333</v>
      </c>
      <c r="AD2046" s="217" t="s">
        <v>334</v>
      </c>
      <c r="AE2046" s="217" t="s">
        <v>334</v>
      </c>
    </row>
    <row r="2047" spans="28:31">
      <c r="AB2047" s="231" t="s">
        <v>2436</v>
      </c>
      <c r="AC2047" s="217" t="s">
        <v>333</v>
      </c>
      <c r="AD2047" s="217" t="s">
        <v>334</v>
      </c>
      <c r="AE2047" s="217" t="s">
        <v>334</v>
      </c>
    </row>
    <row r="2048" spans="28:31">
      <c r="AB2048" s="231" t="s">
        <v>2437</v>
      </c>
      <c r="AC2048" s="217" t="s">
        <v>333</v>
      </c>
      <c r="AD2048" s="217" t="s">
        <v>334</v>
      </c>
      <c r="AE2048" s="217" t="s">
        <v>334</v>
      </c>
    </row>
    <row r="2049" spans="28:31">
      <c r="AB2049" s="231" t="s">
        <v>2438</v>
      </c>
      <c r="AC2049" s="217" t="s">
        <v>333</v>
      </c>
      <c r="AD2049" s="217" t="s">
        <v>334</v>
      </c>
      <c r="AE2049" s="217" t="s">
        <v>334</v>
      </c>
    </row>
    <row r="2050" spans="28:31">
      <c r="AB2050" s="231" t="s">
        <v>2439</v>
      </c>
      <c r="AC2050" s="217" t="s">
        <v>333</v>
      </c>
      <c r="AD2050" s="217" t="s">
        <v>334</v>
      </c>
      <c r="AE2050" s="217" t="s">
        <v>334</v>
      </c>
    </row>
    <row r="2051" spans="28:31">
      <c r="AB2051" s="231" t="s">
        <v>2440</v>
      </c>
      <c r="AC2051" s="217" t="s">
        <v>333</v>
      </c>
      <c r="AD2051" s="217" t="s">
        <v>334</v>
      </c>
      <c r="AE2051" s="217" t="s">
        <v>334</v>
      </c>
    </row>
    <row r="2052" spans="28:31">
      <c r="AB2052" s="231" t="s">
        <v>2441</v>
      </c>
      <c r="AC2052" s="217" t="s">
        <v>333</v>
      </c>
      <c r="AD2052" s="217" t="s">
        <v>334</v>
      </c>
      <c r="AE2052" s="217" t="s">
        <v>334</v>
      </c>
    </row>
    <row r="2053" spans="28:31">
      <c r="AB2053" s="231" t="s">
        <v>2442</v>
      </c>
      <c r="AC2053" s="217" t="s">
        <v>333</v>
      </c>
      <c r="AD2053" s="217" t="s">
        <v>334</v>
      </c>
      <c r="AE2053" s="217" t="s">
        <v>334</v>
      </c>
    </row>
    <row r="2054" spans="28:31">
      <c r="AB2054" s="231" t="s">
        <v>2443</v>
      </c>
      <c r="AC2054" s="217" t="s">
        <v>333</v>
      </c>
      <c r="AD2054" s="217" t="s">
        <v>334</v>
      </c>
      <c r="AE2054" s="217" t="s">
        <v>334</v>
      </c>
    </row>
    <row r="2055" spans="28:31">
      <c r="AB2055" s="231" t="s">
        <v>2444</v>
      </c>
      <c r="AC2055" s="217" t="s">
        <v>333</v>
      </c>
      <c r="AD2055" s="217" t="s">
        <v>334</v>
      </c>
      <c r="AE2055" s="217" t="s">
        <v>334</v>
      </c>
    </row>
    <row r="2056" spans="28:31">
      <c r="AB2056" s="231" t="s">
        <v>2445</v>
      </c>
      <c r="AC2056" s="217" t="s">
        <v>333</v>
      </c>
      <c r="AD2056" s="217" t="s">
        <v>334</v>
      </c>
      <c r="AE2056" s="217" t="s">
        <v>334</v>
      </c>
    </row>
    <row r="2057" spans="28:31">
      <c r="AB2057" s="231" t="s">
        <v>2446</v>
      </c>
      <c r="AC2057" s="217" t="s">
        <v>333</v>
      </c>
      <c r="AD2057" s="217" t="s">
        <v>334</v>
      </c>
      <c r="AE2057" s="217" t="s">
        <v>334</v>
      </c>
    </row>
    <row r="2058" spans="28:31">
      <c r="AB2058" s="231" t="s">
        <v>2447</v>
      </c>
      <c r="AC2058" s="217" t="s">
        <v>333</v>
      </c>
      <c r="AD2058" s="217" t="s">
        <v>334</v>
      </c>
      <c r="AE2058" s="217" t="s">
        <v>334</v>
      </c>
    </row>
    <row r="2059" spans="28:31">
      <c r="AB2059" s="231" t="s">
        <v>2448</v>
      </c>
      <c r="AC2059" s="217" t="s">
        <v>333</v>
      </c>
      <c r="AD2059" s="217" t="s">
        <v>334</v>
      </c>
      <c r="AE2059" s="217" t="s">
        <v>334</v>
      </c>
    </row>
    <row r="2060" spans="28:31">
      <c r="AB2060" s="231" t="s">
        <v>2449</v>
      </c>
      <c r="AC2060" s="217" t="s">
        <v>333</v>
      </c>
      <c r="AD2060" s="217" t="s">
        <v>334</v>
      </c>
      <c r="AE2060" s="217" t="s">
        <v>334</v>
      </c>
    </row>
    <row r="2061" spans="28:31">
      <c r="AB2061" s="231" t="s">
        <v>2450</v>
      </c>
      <c r="AC2061" s="217" t="s">
        <v>333</v>
      </c>
      <c r="AD2061" s="217" t="s">
        <v>334</v>
      </c>
      <c r="AE2061" s="217" t="s">
        <v>334</v>
      </c>
    </row>
    <row r="2062" spans="28:31">
      <c r="AB2062" s="231" t="s">
        <v>2451</v>
      </c>
      <c r="AC2062" s="217" t="s">
        <v>333</v>
      </c>
      <c r="AD2062" s="217" t="s">
        <v>334</v>
      </c>
      <c r="AE2062" s="217" t="s">
        <v>334</v>
      </c>
    </row>
    <row r="2063" spans="28:31">
      <c r="AB2063" s="231" t="s">
        <v>2452</v>
      </c>
      <c r="AC2063" s="217" t="s">
        <v>333</v>
      </c>
      <c r="AD2063" s="217" t="s">
        <v>334</v>
      </c>
      <c r="AE2063" s="217" t="s">
        <v>334</v>
      </c>
    </row>
    <row r="2064" spans="28:31">
      <c r="AB2064" s="231" t="s">
        <v>2453</v>
      </c>
      <c r="AC2064" s="217" t="s">
        <v>333</v>
      </c>
      <c r="AD2064" s="217" t="s">
        <v>334</v>
      </c>
      <c r="AE2064" s="217" t="s">
        <v>334</v>
      </c>
    </row>
    <row r="2065" spans="28:31">
      <c r="AB2065" s="231" t="s">
        <v>2454</v>
      </c>
      <c r="AC2065" s="217" t="s">
        <v>333</v>
      </c>
      <c r="AD2065" s="217" t="s">
        <v>334</v>
      </c>
      <c r="AE2065" s="217" t="s">
        <v>334</v>
      </c>
    </row>
    <row r="2066" spans="28:31">
      <c r="AB2066" s="231" t="s">
        <v>2455</v>
      </c>
      <c r="AC2066" s="217" t="s">
        <v>333</v>
      </c>
      <c r="AD2066" s="217" t="s">
        <v>334</v>
      </c>
      <c r="AE2066" s="217" t="s">
        <v>334</v>
      </c>
    </row>
    <row r="2067" spans="28:31">
      <c r="AB2067" s="231" t="s">
        <v>2456</v>
      </c>
      <c r="AC2067" s="217" t="s">
        <v>333</v>
      </c>
      <c r="AD2067" s="217" t="s">
        <v>334</v>
      </c>
      <c r="AE2067" s="217" t="s">
        <v>334</v>
      </c>
    </row>
    <row r="2068" spans="28:31">
      <c r="AB2068" s="231" t="s">
        <v>2457</v>
      </c>
      <c r="AC2068" s="217" t="s">
        <v>333</v>
      </c>
      <c r="AD2068" s="217" t="s">
        <v>334</v>
      </c>
      <c r="AE2068" s="217" t="s">
        <v>334</v>
      </c>
    </row>
    <row r="2069" spans="28:31">
      <c r="AB2069" s="231" t="s">
        <v>2458</v>
      </c>
      <c r="AC2069" s="217" t="s">
        <v>333</v>
      </c>
      <c r="AD2069" s="217" t="s">
        <v>334</v>
      </c>
      <c r="AE2069" s="217" t="s">
        <v>334</v>
      </c>
    </row>
    <row r="2070" spans="28:31">
      <c r="AB2070" s="231" t="s">
        <v>2459</v>
      </c>
      <c r="AC2070" s="217" t="s">
        <v>333</v>
      </c>
      <c r="AD2070" s="217" t="s">
        <v>334</v>
      </c>
      <c r="AE2070" s="217" t="s">
        <v>334</v>
      </c>
    </row>
    <row r="2071" spans="28:31">
      <c r="AB2071" s="231" t="s">
        <v>2460</v>
      </c>
      <c r="AC2071" s="217" t="s">
        <v>333</v>
      </c>
      <c r="AD2071" s="217" t="s">
        <v>334</v>
      </c>
      <c r="AE2071" s="217" t="s">
        <v>334</v>
      </c>
    </row>
    <row r="2072" spans="28:31">
      <c r="AB2072" s="231" t="s">
        <v>2461</v>
      </c>
      <c r="AC2072" s="217" t="s">
        <v>333</v>
      </c>
      <c r="AD2072" s="217" t="s">
        <v>334</v>
      </c>
      <c r="AE2072" s="217" t="s">
        <v>334</v>
      </c>
    </row>
    <row r="2073" spans="28:31">
      <c r="AB2073" s="231" t="s">
        <v>2462</v>
      </c>
      <c r="AC2073" s="217" t="s">
        <v>333</v>
      </c>
      <c r="AD2073" s="217" t="s">
        <v>334</v>
      </c>
      <c r="AE2073" s="217" t="s">
        <v>334</v>
      </c>
    </row>
    <row r="2074" spans="28:31">
      <c r="AB2074" s="231" t="s">
        <v>2463</v>
      </c>
      <c r="AC2074" s="217" t="s">
        <v>333</v>
      </c>
      <c r="AD2074" s="217" t="s">
        <v>334</v>
      </c>
      <c r="AE2074" s="217" t="s">
        <v>334</v>
      </c>
    </row>
    <row r="2075" spans="28:31">
      <c r="AB2075" s="231" t="s">
        <v>2464</v>
      </c>
      <c r="AC2075" s="217" t="s">
        <v>333</v>
      </c>
      <c r="AD2075" s="217" t="s">
        <v>334</v>
      </c>
      <c r="AE2075" s="217" t="s">
        <v>334</v>
      </c>
    </row>
    <row r="2076" spans="28:31">
      <c r="AB2076" s="231" t="s">
        <v>2465</v>
      </c>
      <c r="AC2076" s="217" t="s">
        <v>333</v>
      </c>
      <c r="AD2076" s="217" t="s">
        <v>334</v>
      </c>
      <c r="AE2076" s="217" t="s">
        <v>334</v>
      </c>
    </row>
    <row r="2077" spans="28:31">
      <c r="AB2077" s="231" t="s">
        <v>2466</v>
      </c>
      <c r="AC2077" s="217" t="s">
        <v>333</v>
      </c>
      <c r="AD2077" s="217" t="s">
        <v>334</v>
      </c>
      <c r="AE2077" s="217" t="s">
        <v>334</v>
      </c>
    </row>
    <row r="2078" spans="28:31">
      <c r="AB2078" s="231" t="s">
        <v>2467</v>
      </c>
      <c r="AC2078" s="217" t="s">
        <v>333</v>
      </c>
      <c r="AD2078" s="217" t="s">
        <v>334</v>
      </c>
      <c r="AE2078" s="217" t="s">
        <v>334</v>
      </c>
    </row>
    <row r="2079" spans="28:31">
      <c r="AB2079" s="231" t="s">
        <v>2468</v>
      </c>
      <c r="AC2079" s="217" t="s">
        <v>333</v>
      </c>
      <c r="AD2079" s="217" t="s">
        <v>334</v>
      </c>
      <c r="AE2079" s="217" t="s">
        <v>334</v>
      </c>
    </row>
    <row r="2080" spans="28:31">
      <c r="AB2080" s="231" t="s">
        <v>2469</v>
      </c>
      <c r="AC2080" s="217" t="s">
        <v>333</v>
      </c>
      <c r="AD2080" s="217" t="s">
        <v>334</v>
      </c>
      <c r="AE2080" s="217" t="s">
        <v>334</v>
      </c>
    </row>
    <row r="2081" spans="28:31">
      <c r="AB2081" s="231" t="s">
        <v>2470</v>
      </c>
      <c r="AC2081" s="217" t="s">
        <v>333</v>
      </c>
      <c r="AD2081" s="217" t="s">
        <v>334</v>
      </c>
      <c r="AE2081" s="217" t="s">
        <v>334</v>
      </c>
    </row>
    <row r="2082" spans="28:31">
      <c r="AB2082" s="231" t="s">
        <v>2471</v>
      </c>
      <c r="AC2082" s="217" t="s">
        <v>333</v>
      </c>
      <c r="AD2082" s="217" t="s">
        <v>334</v>
      </c>
      <c r="AE2082" s="217" t="s">
        <v>334</v>
      </c>
    </row>
    <row r="2083" spans="28:31">
      <c r="AB2083" s="231" t="s">
        <v>2472</v>
      </c>
      <c r="AC2083" s="217" t="s">
        <v>333</v>
      </c>
      <c r="AD2083" s="217" t="s">
        <v>334</v>
      </c>
      <c r="AE2083" s="217" t="s">
        <v>334</v>
      </c>
    </row>
    <row r="2084" spans="28:31">
      <c r="AB2084" s="231" t="s">
        <v>2473</v>
      </c>
      <c r="AC2084" s="217" t="s">
        <v>333</v>
      </c>
      <c r="AD2084" s="217" t="s">
        <v>334</v>
      </c>
      <c r="AE2084" s="217" t="s">
        <v>334</v>
      </c>
    </row>
    <row r="2085" spans="28:31">
      <c r="AB2085" s="231" t="s">
        <v>2474</v>
      </c>
      <c r="AC2085" s="217" t="s">
        <v>333</v>
      </c>
      <c r="AD2085" s="217" t="s">
        <v>334</v>
      </c>
      <c r="AE2085" s="217" t="s">
        <v>334</v>
      </c>
    </row>
    <row r="2086" spans="28:31">
      <c r="AB2086" s="231" t="s">
        <v>2475</v>
      </c>
      <c r="AC2086" s="217" t="s">
        <v>333</v>
      </c>
      <c r="AD2086" s="217" t="s">
        <v>334</v>
      </c>
      <c r="AE2086" s="217" t="s">
        <v>334</v>
      </c>
    </row>
    <row r="2087" spans="28:31">
      <c r="AB2087" s="231" t="s">
        <v>2476</v>
      </c>
      <c r="AC2087" s="217" t="s">
        <v>333</v>
      </c>
      <c r="AD2087" s="217" t="s">
        <v>334</v>
      </c>
      <c r="AE2087" s="217" t="s">
        <v>334</v>
      </c>
    </row>
    <row r="2088" spans="28:31">
      <c r="AB2088" s="231" t="s">
        <v>2477</v>
      </c>
      <c r="AC2088" s="217" t="s">
        <v>333</v>
      </c>
      <c r="AD2088" s="217" t="s">
        <v>334</v>
      </c>
      <c r="AE2088" s="217" t="s">
        <v>334</v>
      </c>
    </row>
    <row r="2089" spans="28:31">
      <c r="AB2089" s="231" t="s">
        <v>2478</v>
      </c>
      <c r="AC2089" s="217" t="s">
        <v>333</v>
      </c>
      <c r="AD2089" s="217" t="s">
        <v>334</v>
      </c>
      <c r="AE2089" s="217" t="s">
        <v>334</v>
      </c>
    </row>
    <row r="2090" spans="28:31">
      <c r="AB2090" s="231" t="s">
        <v>2479</v>
      </c>
      <c r="AC2090" s="217" t="s">
        <v>333</v>
      </c>
      <c r="AD2090" s="217" t="s">
        <v>334</v>
      </c>
      <c r="AE2090" s="217" t="s">
        <v>334</v>
      </c>
    </row>
    <row r="2091" spans="28:31">
      <c r="AB2091" s="231" t="s">
        <v>2480</v>
      </c>
      <c r="AC2091" s="217" t="s">
        <v>333</v>
      </c>
      <c r="AD2091" s="217" t="s">
        <v>334</v>
      </c>
      <c r="AE2091" s="217" t="s">
        <v>334</v>
      </c>
    </row>
    <row r="2092" spans="28:31">
      <c r="AB2092" s="231" t="s">
        <v>2481</v>
      </c>
      <c r="AC2092" s="217" t="s">
        <v>333</v>
      </c>
      <c r="AD2092" s="217" t="s">
        <v>334</v>
      </c>
      <c r="AE2092" s="217" t="s">
        <v>334</v>
      </c>
    </row>
    <row r="2093" spans="28:31">
      <c r="AB2093" s="231" t="s">
        <v>2482</v>
      </c>
      <c r="AC2093" s="217" t="s">
        <v>333</v>
      </c>
      <c r="AD2093" s="217" t="s">
        <v>334</v>
      </c>
      <c r="AE2093" s="217" t="s">
        <v>334</v>
      </c>
    </row>
    <row r="2094" spans="28:31">
      <c r="AB2094" s="231" t="s">
        <v>2483</v>
      </c>
      <c r="AC2094" s="217" t="s">
        <v>333</v>
      </c>
      <c r="AD2094" s="217" t="s">
        <v>334</v>
      </c>
      <c r="AE2094" s="217" t="s">
        <v>334</v>
      </c>
    </row>
    <row r="2095" spans="28:31">
      <c r="AB2095" s="231" t="s">
        <v>2484</v>
      </c>
      <c r="AC2095" s="217" t="s">
        <v>333</v>
      </c>
      <c r="AD2095" s="217" t="s">
        <v>334</v>
      </c>
      <c r="AE2095" s="217" t="s">
        <v>334</v>
      </c>
    </row>
    <row r="2096" spans="28:31">
      <c r="AB2096" s="231" t="s">
        <v>2485</v>
      </c>
      <c r="AC2096" s="217" t="s">
        <v>333</v>
      </c>
      <c r="AD2096" s="217" t="s">
        <v>334</v>
      </c>
      <c r="AE2096" s="217" t="s">
        <v>334</v>
      </c>
    </row>
    <row r="2097" spans="28:31">
      <c r="AB2097" s="231" t="s">
        <v>2486</v>
      </c>
      <c r="AC2097" s="217" t="s">
        <v>333</v>
      </c>
      <c r="AD2097" s="217" t="s">
        <v>334</v>
      </c>
      <c r="AE2097" s="217" t="s">
        <v>334</v>
      </c>
    </row>
    <row r="2098" spans="28:31">
      <c r="AB2098" s="231" t="s">
        <v>2487</v>
      </c>
      <c r="AC2098" s="217" t="s">
        <v>333</v>
      </c>
      <c r="AD2098" s="217" t="s">
        <v>334</v>
      </c>
      <c r="AE2098" s="217" t="s">
        <v>334</v>
      </c>
    </row>
    <row r="2099" spans="28:31">
      <c r="AB2099" s="231" t="s">
        <v>2488</v>
      </c>
      <c r="AC2099" s="217" t="s">
        <v>333</v>
      </c>
      <c r="AD2099" s="217" t="s">
        <v>334</v>
      </c>
      <c r="AE2099" s="217" t="s">
        <v>334</v>
      </c>
    </row>
    <row r="2100" spans="28:31">
      <c r="AB2100" s="231" t="s">
        <v>2489</v>
      </c>
      <c r="AC2100" s="217" t="s">
        <v>333</v>
      </c>
      <c r="AD2100" s="217" t="s">
        <v>334</v>
      </c>
      <c r="AE2100" s="217" t="s">
        <v>334</v>
      </c>
    </row>
    <row r="2101" spans="28:31">
      <c r="AB2101" s="231" t="s">
        <v>2490</v>
      </c>
      <c r="AC2101" s="217" t="s">
        <v>333</v>
      </c>
      <c r="AD2101" s="217" t="s">
        <v>334</v>
      </c>
      <c r="AE2101" s="217" t="s">
        <v>334</v>
      </c>
    </row>
    <row r="2102" spans="28:31">
      <c r="AB2102" s="231" t="s">
        <v>2491</v>
      </c>
      <c r="AC2102" s="217" t="s">
        <v>333</v>
      </c>
      <c r="AD2102" s="217" t="s">
        <v>334</v>
      </c>
      <c r="AE2102" s="217" t="s">
        <v>334</v>
      </c>
    </row>
    <row r="2103" spans="28:31">
      <c r="AB2103" s="231" t="s">
        <v>2492</v>
      </c>
      <c r="AC2103" s="217" t="s">
        <v>333</v>
      </c>
      <c r="AD2103" s="217" t="s">
        <v>334</v>
      </c>
      <c r="AE2103" s="217" t="s">
        <v>334</v>
      </c>
    </row>
    <row r="2104" spans="28:31">
      <c r="AB2104" s="231" t="s">
        <v>2493</v>
      </c>
      <c r="AC2104" s="217" t="s">
        <v>333</v>
      </c>
      <c r="AD2104" s="217" t="s">
        <v>334</v>
      </c>
      <c r="AE2104" s="217" t="s">
        <v>334</v>
      </c>
    </row>
    <row r="2105" spans="28:31">
      <c r="AB2105" s="231" t="s">
        <v>2494</v>
      </c>
      <c r="AC2105" s="217" t="s">
        <v>333</v>
      </c>
      <c r="AD2105" s="217" t="s">
        <v>334</v>
      </c>
      <c r="AE2105" s="217" t="s">
        <v>334</v>
      </c>
    </row>
    <row r="2106" spans="28:31">
      <c r="AB2106" s="231" t="s">
        <v>2495</v>
      </c>
      <c r="AC2106" s="217" t="s">
        <v>333</v>
      </c>
      <c r="AD2106" s="217" t="s">
        <v>334</v>
      </c>
      <c r="AE2106" s="217" t="s">
        <v>334</v>
      </c>
    </row>
    <row r="2107" spans="28:31">
      <c r="AB2107" s="231" t="s">
        <v>2496</v>
      </c>
      <c r="AC2107" s="217" t="s">
        <v>333</v>
      </c>
      <c r="AD2107" s="217" t="s">
        <v>334</v>
      </c>
      <c r="AE2107" s="217" t="s">
        <v>334</v>
      </c>
    </row>
    <row r="2108" spans="28:31">
      <c r="AB2108" s="231" t="s">
        <v>2497</v>
      </c>
      <c r="AC2108" s="217" t="s">
        <v>333</v>
      </c>
      <c r="AD2108" s="217" t="s">
        <v>334</v>
      </c>
      <c r="AE2108" s="217" t="s">
        <v>334</v>
      </c>
    </row>
    <row r="2109" spans="28:31">
      <c r="AB2109" s="231" t="s">
        <v>2498</v>
      </c>
      <c r="AC2109" s="217" t="s">
        <v>333</v>
      </c>
      <c r="AD2109" s="217" t="s">
        <v>334</v>
      </c>
      <c r="AE2109" s="217" t="s">
        <v>334</v>
      </c>
    </row>
    <row r="2110" spans="28:31">
      <c r="AB2110" s="231" t="s">
        <v>2499</v>
      </c>
      <c r="AC2110" s="217" t="s">
        <v>333</v>
      </c>
      <c r="AD2110" s="217" t="s">
        <v>334</v>
      </c>
      <c r="AE2110" s="217" t="s">
        <v>334</v>
      </c>
    </row>
    <row r="2111" spans="28:31">
      <c r="AB2111" s="231" t="s">
        <v>2500</v>
      </c>
      <c r="AC2111" s="217" t="s">
        <v>333</v>
      </c>
      <c r="AD2111" s="217" t="s">
        <v>334</v>
      </c>
      <c r="AE2111" s="217" t="s">
        <v>334</v>
      </c>
    </row>
    <row r="2112" spans="28:31">
      <c r="AB2112" s="231" t="s">
        <v>2501</v>
      </c>
      <c r="AC2112" s="217" t="s">
        <v>333</v>
      </c>
      <c r="AD2112" s="217" t="s">
        <v>334</v>
      </c>
      <c r="AE2112" s="217" t="s">
        <v>334</v>
      </c>
    </row>
    <row r="2113" spans="28:31">
      <c r="AB2113" s="231" t="s">
        <v>2502</v>
      </c>
      <c r="AC2113" s="217" t="s">
        <v>333</v>
      </c>
      <c r="AD2113" s="217" t="s">
        <v>334</v>
      </c>
      <c r="AE2113" s="217" t="s">
        <v>334</v>
      </c>
    </row>
    <row r="2114" spans="28:31">
      <c r="AB2114" s="231" t="s">
        <v>2503</v>
      </c>
      <c r="AC2114" s="217" t="s">
        <v>333</v>
      </c>
      <c r="AD2114" s="217" t="s">
        <v>334</v>
      </c>
      <c r="AE2114" s="217" t="s">
        <v>334</v>
      </c>
    </row>
    <row r="2115" spans="28:31">
      <c r="AB2115" s="231" t="s">
        <v>2504</v>
      </c>
      <c r="AC2115" s="217" t="s">
        <v>333</v>
      </c>
      <c r="AD2115" s="217" t="s">
        <v>334</v>
      </c>
      <c r="AE2115" s="217" t="s">
        <v>334</v>
      </c>
    </row>
    <row r="2116" spans="28:31">
      <c r="AB2116" s="231" t="s">
        <v>2505</v>
      </c>
      <c r="AC2116" s="217" t="s">
        <v>333</v>
      </c>
      <c r="AD2116" s="217" t="s">
        <v>334</v>
      </c>
      <c r="AE2116" s="217" t="s">
        <v>334</v>
      </c>
    </row>
    <row r="2117" spans="28:31">
      <c r="AB2117" s="231" t="s">
        <v>2506</v>
      </c>
      <c r="AC2117" s="217" t="s">
        <v>333</v>
      </c>
      <c r="AD2117" s="217" t="s">
        <v>334</v>
      </c>
      <c r="AE2117" s="217" t="s">
        <v>334</v>
      </c>
    </row>
    <row r="2118" spans="28:31">
      <c r="AB2118" s="231" t="s">
        <v>2507</v>
      </c>
      <c r="AC2118" s="217" t="s">
        <v>333</v>
      </c>
      <c r="AD2118" s="217" t="s">
        <v>334</v>
      </c>
      <c r="AE2118" s="217" t="s">
        <v>334</v>
      </c>
    </row>
    <row r="2119" spans="28:31">
      <c r="AB2119" s="231" t="s">
        <v>2508</v>
      </c>
      <c r="AC2119" s="217" t="s">
        <v>333</v>
      </c>
      <c r="AD2119" s="217" t="s">
        <v>334</v>
      </c>
      <c r="AE2119" s="217" t="s">
        <v>334</v>
      </c>
    </row>
    <row r="2120" spans="28:31">
      <c r="AB2120" s="231" t="s">
        <v>2509</v>
      </c>
      <c r="AC2120" s="217" t="s">
        <v>333</v>
      </c>
      <c r="AD2120" s="217" t="s">
        <v>334</v>
      </c>
      <c r="AE2120" s="217" t="s">
        <v>334</v>
      </c>
    </row>
    <row r="2121" spans="28:31">
      <c r="AB2121" s="231" t="s">
        <v>2510</v>
      </c>
      <c r="AC2121" s="217" t="s">
        <v>333</v>
      </c>
      <c r="AD2121" s="217" t="s">
        <v>334</v>
      </c>
      <c r="AE2121" s="217" t="s">
        <v>334</v>
      </c>
    </row>
    <row r="2122" spans="28:31">
      <c r="AB2122" s="231" t="s">
        <v>2511</v>
      </c>
      <c r="AC2122" s="217" t="s">
        <v>333</v>
      </c>
      <c r="AD2122" s="217" t="s">
        <v>334</v>
      </c>
      <c r="AE2122" s="217" t="s">
        <v>334</v>
      </c>
    </row>
    <row r="2123" spans="28:31">
      <c r="AB2123" s="231" t="s">
        <v>2512</v>
      </c>
      <c r="AC2123" s="217" t="s">
        <v>333</v>
      </c>
      <c r="AD2123" s="217" t="s">
        <v>334</v>
      </c>
      <c r="AE2123" s="217" t="s">
        <v>334</v>
      </c>
    </row>
    <row r="2124" spans="28:31">
      <c r="AB2124" s="231" t="s">
        <v>2513</v>
      </c>
      <c r="AC2124" s="217" t="s">
        <v>333</v>
      </c>
      <c r="AD2124" s="217" t="s">
        <v>334</v>
      </c>
      <c r="AE2124" s="217" t="s">
        <v>334</v>
      </c>
    </row>
    <row r="2125" spans="28:31">
      <c r="AB2125" s="231" t="s">
        <v>2514</v>
      </c>
      <c r="AC2125" s="217" t="s">
        <v>333</v>
      </c>
      <c r="AD2125" s="217" t="s">
        <v>334</v>
      </c>
      <c r="AE2125" s="217" t="s">
        <v>334</v>
      </c>
    </row>
    <row r="2126" spans="28:31">
      <c r="AB2126" s="231" t="s">
        <v>2515</v>
      </c>
      <c r="AC2126" s="217" t="s">
        <v>333</v>
      </c>
      <c r="AD2126" s="217" t="s">
        <v>334</v>
      </c>
      <c r="AE2126" s="217" t="s">
        <v>334</v>
      </c>
    </row>
    <row r="2127" spans="28:31">
      <c r="AB2127" s="231" t="s">
        <v>2516</v>
      </c>
      <c r="AC2127" s="217" t="s">
        <v>333</v>
      </c>
      <c r="AD2127" s="217" t="s">
        <v>334</v>
      </c>
      <c r="AE2127" s="217" t="s">
        <v>334</v>
      </c>
    </row>
    <row r="2128" spans="28:31">
      <c r="AB2128" s="231" t="s">
        <v>2517</v>
      </c>
      <c r="AC2128" s="217" t="s">
        <v>333</v>
      </c>
      <c r="AD2128" s="217" t="s">
        <v>334</v>
      </c>
      <c r="AE2128" s="217" t="s">
        <v>334</v>
      </c>
    </row>
    <row r="2129" spans="28:31">
      <c r="AB2129" s="231" t="s">
        <v>2518</v>
      </c>
      <c r="AC2129" s="217" t="s">
        <v>333</v>
      </c>
      <c r="AD2129" s="217" t="s">
        <v>334</v>
      </c>
      <c r="AE2129" s="217" t="s">
        <v>334</v>
      </c>
    </row>
    <row r="2130" spans="28:31">
      <c r="AB2130" s="231" t="s">
        <v>2519</v>
      </c>
      <c r="AC2130" s="217" t="s">
        <v>333</v>
      </c>
      <c r="AD2130" s="217" t="s">
        <v>334</v>
      </c>
      <c r="AE2130" s="217" t="s">
        <v>334</v>
      </c>
    </row>
    <row r="2131" spans="28:31">
      <c r="AB2131" s="231" t="s">
        <v>2520</v>
      </c>
      <c r="AC2131" s="217" t="s">
        <v>333</v>
      </c>
      <c r="AD2131" s="217" t="s">
        <v>334</v>
      </c>
      <c r="AE2131" s="217" t="s">
        <v>334</v>
      </c>
    </row>
    <row r="2132" spans="28:31">
      <c r="AB2132" s="231" t="s">
        <v>2521</v>
      </c>
      <c r="AC2132" s="217" t="s">
        <v>333</v>
      </c>
      <c r="AD2132" s="217" t="s">
        <v>334</v>
      </c>
      <c r="AE2132" s="217" t="s">
        <v>334</v>
      </c>
    </row>
    <row r="2133" spans="28:31">
      <c r="AB2133" s="231" t="s">
        <v>2522</v>
      </c>
      <c r="AC2133" s="217" t="s">
        <v>333</v>
      </c>
      <c r="AD2133" s="217" t="s">
        <v>334</v>
      </c>
      <c r="AE2133" s="217" t="s">
        <v>334</v>
      </c>
    </row>
    <row r="2134" spans="28:31">
      <c r="AB2134" s="231" t="s">
        <v>2523</v>
      </c>
      <c r="AC2134" s="217" t="s">
        <v>333</v>
      </c>
      <c r="AD2134" s="217" t="s">
        <v>334</v>
      </c>
      <c r="AE2134" s="217" t="s">
        <v>334</v>
      </c>
    </row>
    <row r="2135" spans="28:31">
      <c r="AB2135" s="231" t="s">
        <v>2524</v>
      </c>
      <c r="AC2135" s="217" t="s">
        <v>333</v>
      </c>
      <c r="AD2135" s="217" t="s">
        <v>334</v>
      </c>
      <c r="AE2135" s="217" t="s">
        <v>334</v>
      </c>
    </row>
    <row r="2136" spans="28:31">
      <c r="AB2136" s="231" t="s">
        <v>2525</v>
      </c>
      <c r="AC2136" s="217" t="s">
        <v>333</v>
      </c>
      <c r="AD2136" s="217" t="s">
        <v>334</v>
      </c>
      <c r="AE2136" s="217" t="s">
        <v>334</v>
      </c>
    </row>
    <row r="2137" spans="28:31">
      <c r="AB2137" s="231" t="s">
        <v>2526</v>
      </c>
      <c r="AC2137" s="217" t="s">
        <v>333</v>
      </c>
      <c r="AD2137" s="217" t="s">
        <v>334</v>
      </c>
      <c r="AE2137" s="217" t="s">
        <v>334</v>
      </c>
    </row>
    <row r="2138" spans="28:31">
      <c r="AB2138" s="231" t="s">
        <v>2527</v>
      </c>
      <c r="AC2138" s="217" t="s">
        <v>333</v>
      </c>
      <c r="AD2138" s="217" t="s">
        <v>334</v>
      </c>
      <c r="AE2138" s="217" t="s">
        <v>334</v>
      </c>
    </row>
    <row r="2139" spans="28:31">
      <c r="AB2139" s="231" t="s">
        <v>2528</v>
      </c>
      <c r="AC2139" s="217" t="s">
        <v>333</v>
      </c>
      <c r="AD2139" s="217" t="s">
        <v>334</v>
      </c>
      <c r="AE2139" s="217" t="s">
        <v>334</v>
      </c>
    </row>
    <row r="2140" spans="28:31">
      <c r="AB2140" s="231" t="s">
        <v>2529</v>
      </c>
      <c r="AC2140" s="217" t="s">
        <v>333</v>
      </c>
      <c r="AD2140" s="217" t="s">
        <v>334</v>
      </c>
      <c r="AE2140" s="217" t="s">
        <v>334</v>
      </c>
    </row>
    <row r="2141" spans="28:31">
      <c r="AB2141" s="231" t="s">
        <v>2530</v>
      </c>
      <c r="AC2141" s="217" t="s">
        <v>333</v>
      </c>
      <c r="AD2141" s="217" t="s">
        <v>334</v>
      </c>
      <c r="AE2141" s="217" t="s">
        <v>334</v>
      </c>
    </row>
    <row r="2142" spans="28:31">
      <c r="AB2142" s="231" t="s">
        <v>2531</v>
      </c>
      <c r="AC2142" s="217" t="s">
        <v>333</v>
      </c>
      <c r="AD2142" s="217" t="s">
        <v>334</v>
      </c>
      <c r="AE2142" s="217" t="s">
        <v>334</v>
      </c>
    </row>
    <row r="2143" spans="28:31">
      <c r="AB2143" s="231" t="s">
        <v>2532</v>
      </c>
      <c r="AC2143" s="217" t="s">
        <v>333</v>
      </c>
      <c r="AD2143" s="217" t="s">
        <v>334</v>
      </c>
      <c r="AE2143" s="217" t="s">
        <v>334</v>
      </c>
    </row>
    <row r="2144" spans="28:31">
      <c r="AB2144" s="231" t="s">
        <v>2533</v>
      </c>
      <c r="AC2144" s="217" t="s">
        <v>333</v>
      </c>
      <c r="AD2144" s="217" t="s">
        <v>334</v>
      </c>
      <c r="AE2144" s="217" t="s">
        <v>334</v>
      </c>
    </row>
    <row r="2145" spans="28:31">
      <c r="AB2145" s="231" t="s">
        <v>2534</v>
      </c>
      <c r="AC2145" s="217" t="s">
        <v>333</v>
      </c>
      <c r="AD2145" s="217" t="s">
        <v>334</v>
      </c>
      <c r="AE2145" s="217" t="s">
        <v>334</v>
      </c>
    </row>
    <row r="2146" spans="28:31">
      <c r="AB2146" s="231" t="s">
        <v>2535</v>
      </c>
      <c r="AC2146" s="217" t="s">
        <v>333</v>
      </c>
      <c r="AD2146" s="217" t="s">
        <v>334</v>
      </c>
      <c r="AE2146" s="217" t="s">
        <v>334</v>
      </c>
    </row>
    <row r="2147" spans="28:31">
      <c r="AB2147" s="231" t="s">
        <v>2536</v>
      </c>
      <c r="AC2147" s="217" t="s">
        <v>333</v>
      </c>
      <c r="AD2147" s="217" t="s">
        <v>334</v>
      </c>
      <c r="AE2147" s="217" t="s">
        <v>334</v>
      </c>
    </row>
    <row r="2148" spans="28:31">
      <c r="AB2148" s="231" t="s">
        <v>2537</v>
      </c>
      <c r="AC2148" s="217" t="s">
        <v>333</v>
      </c>
      <c r="AD2148" s="217" t="s">
        <v>334</v>
      </c>
      <c r="AE2148" s="217" t="s">
        <v>334</v>
      </c>
    </row>
    <row r="2149" spans="28:31">
      <c r="AB2149" s="231" t="s">
        <v>2538</v>
      </c>
      <c r="AC2149" s="217" t="s">
        <v>333</v>
      </c>
      <c r="AD2149" s="217" t="s">
        <v>334</v>
      </c>
      <c r="AE2149" s="217" t="s">
        <v>334</v>
      </c>
    </row>
    <row r="2150" spans="28:31">
      <c r="AB2150" s="231" t="s">
        <v>2539</v>
      </c>
      <c r="AC2150" s="217" t="s">
        <v>333</v>
      </c>
      <c r="AD2150" s="217" t="s">
        <v>334</v>
      </c>
      <c r="AE2150" s="217" t="s">
        <v>334</v>
      </c>
    </row>
    <row r="2151" spans="28:31">
      <c r="AB2151" s="231" t="s">
        <v>2540</v>
      </c>
      <c r="AC2151" s="217" t="s">
        <v>333</v>
      </c>
      <c r="AD2151" s="217" t="s">
        <v>334</v>
      </c>
      <c r="AE2151" s="217" t="s">
        <v>334</v>
      </c>
    </row>
    <row r="2152" spans="28:31">
      <c r="AB2152" s="231" t="s">
        <v>2541</v>
      </c>
      <c r="AC2152" s="217" t="s">
        <v>333</v>
      </c>
      <c r="AD2152" s="217" t="s">
        <v>334</v>
      </c>
      <c r="AE2152" s="217" t="s">
        <v>334</v>
      </c>
    </row>
    <row r="2153" spans="28:31">
      <c r="AB2153" s="231" t="s">
        <v>2542</v>
      </c>
      <c r="AC2153" s="217" t="s">
        <v>333</v>
      </c>
      <c r="AD2153" s="217" t="s">
        <v>334</v>
      </c>
      <c r="AE2153" s="217" t="s">
        <v>334</v>
      </c>
    </row>
    <row r="2154" spans="28:31">
      <c r="AB2154" s="231" t="s">
        <v>2543</v>
      </c>
      <c r="AC2154" s="217" t="s">
        <v>333</v>
      </c>
      <c r="AD2154" s="217" t="s">
        <v>334</v>
      </c>
      <c r="AE2154" s="217" t="s">
        <v>334</v>
      </c>
    </row>
    <row r="2155" spans="28:31">
      <c r="AB2155" s="231" t="s">
        <v>2544</v>
      </c>
      <c r="AC2155" s="217" t="s">
        <v>333</v>
      </c>
      <c r="AD2155" s="217" t="s">
        <v>334</v>
      </c>
      <c r="AE2155" s="217" t="s">
        <v>334</v>
      </c>
    </row>
    <row r="2156" spans="28:31">
      <c r="AB2156" s="231" t="s">
        <v>2545</v>
      </c>
      <c r="AC2156" s="217" t="s">
        <v>333</v>
      </c>
      <c r="AD2156" s="217" t="s">
        <v>334</v>
      </c>
      <c r="AE2156" s="217" t="s">
        <v>334</v>
      </c>
    </row>
    <row r="2157" spans="28:31">
      <c r="AB2157" s="231" t="s">
        <v>2546</v>
      </c>
      <c r="AC2157" s="217" t="s">
        <v>333</v>
      </c>
      <c r="AD2157" s="217" t="s">
        <v>334</v>
      </c>
      <c r="AE2157" s="217" t="s">
        <v>334</v>
      </c>
    </row>
    <row r="2158" spans="28:31">
      <c r="AB2158" s="231" t="s">
        <v>2547</v>
      </c>
      <c r="AC2158" s="217" t="s">
        <v>333</v>
      </c>
      <c r="AD2158" s="217" t="s">
        <v>334</v>
      </c>
      <c r="AE2158" s="217" t="s">
        <v>334</v>
      </c>
    </row>
    <row r="2159" spans="28:31">
      <c r="AB2159" s="231" t="s">
        <v>2548</v>
      </c>
      <c r="AC2159" s="217" t="s">
        <v>333</v>
      </c>
      <c r="AD2159" s="217" t="s">
        <v>334</v>
      </c>
      <c r="AE2159" s="217" t="s">
        <v>334</v>
      </c>
    </row>
    <row r="2160" spans="28:31">
      <c r="AB2160" s="231" t="s">
        <v>2549</v>
      </c>
      <c r="AC2160" s="217" t="s">
        <v>333</v>
      </c>
      <c r="AD2160" s="217" t="s">
        <v>334</v>
      </c>
      <c r="AE2160" s="217" t="s">
        <v>334</v>
      </c>
    </row>
    <row r="2161" spans="28:31">
      <c r="AB2161" s="231" t="s">
        <v>2550</v>
      </c>
      <c r="AC2161" s="217" t="s">
        <v>333</v>
      </c>
      <c r="AD2161" s="217" t="s">
        <v>334</v>
      </c>
      <c r="AE2161" s="217" t="s">
        <v>334</v>
      </c>
    </row>
    <row r="2162" spans="28:31">
      <c r="AB2162" s="231" t="s">
        <v>2551</v>
      </c>
      <c r="AC2162" s="217" t="s">
        <v>333</v>
      </c>
      <c r="AD2162" s="217" t="s">
        <v>334</v>
      </c>
      <c r="AE2162" s="217" t="s">
        <v>334</v>
      </c>
    </row>
    <row r="2163" spans="28:31">
      <c r="AB2163" s="231" t="s">
        <v>2552</v>
      </c>
      <c r="AC2163" s="217" t="s">
        <v>333</v>
      </c>
      <c r="AD2163" s="217" t="s">
        <v>334</v>
      </c>
      <c r="AE2163" s="217" t="s">
        <v>334</v>
      </c>
    </row>
    <row r="2164" spans="28:31">
      <c r="AB2164" s="231" t="s">
        <v>2553</v>
      </c>
      <c r="AC2164" s="217" t="s">
        <v>333</v>
      </c>
      <c r="AD2164" s="217" t="s">
        <v>334</v>
      </c>
      <c r="AE2164" s="217" t="s">
        <v>334</v>
      </c>
    </row>
    <row r="2165" spans="28:31">
      <c r="AB2165" s="231" t="s">
        <v>2554</v>
      </c>
      <c r="AC2165" s="217" t="s">
        <v>333</v>
      </c>
      <c r="AD2165" s="217" t="s">
        <v>334</v>
      </c>
      <c r="AE2165" s="217" t="s">
        <v>334</v>
      </c>
    </row>
    <row r="2166" spans="28:31">
      <c r="AB2166" s="231" t="s">
        <v>2555</v>
      </c>
      <c r="AC2166" s="217" t="s">
        <v>333</v>
      </c>
      <c r="AD2166" s="217" t="s">
        <v>334</v>
      </c>
      <c r="AE2166" s="217" t="s">
        <v>334</v>
      </c>
    </row>
    <row r="2167" spans="28:31">
      <c r="AB2167" s="231" t="s">
        <v>2556</v>
      </c>
      <c r="AC2167" s="217" t="s">
        <v>333</v>
      </c>
      <c r="AD2167" s="217" t="s">
        <v>334</v>
      </c>
      <c r="AE2167" s="217" t="s">
        <v>334</v>
      </c>
    </row>
    <row r="2168" spans="28:31">
      <c r="AB2168" s="231" t="s">
        <v>2557</v>
      </c>
      <c r="AC2168" s="217" t="s">
        <v>333</v>
      </c>
      <c r="AD2168" s="217" t="s">
        <v>334</v>
      </c>
      <c r="AE2168" s="217" t="s">
        <v>334</v>
      </c>
    </row>
    <row r="2169" spans="28:31">
      <c r="AB2169" s="231" t="s">
        <v>2558</v>
      </c>
      <c r="AC2169" s="217" t="s">
        <v>333</v>
      </c>
      <c r="AD2169" s="217" t="s">
        <v>334</v>
      </c>
      <c r="AE2169" s="217" t="s">
        <v>334</v>
      </c>
    </row>
    <row r="2170" spans="28:31">
      <c r="AB2170" s="231" t="s">
        <v>2559</v>
      </c>
      <c r="AC2170" s="217" t="s">
        <v>333</v>
      </c>
      <c r="AD2170" s="217" t="s">
        <v>334</v>
      </c>
      <c r="AE2170" s="217" t="s">
        <v>334</v>
      </c>
    </row>
    <row r="2171" spans="28:31">
      <c r="AB2171" s="231" t="s">
        <v>2560</v>
      </c>
      <c r="AC2171" s="217" t="s">
        <v>333</v>
      </c>
      <c r="AD2171" s="217" t="s">
        <v>334</v>
      </c>
      <c r="AE2171" s="217" t="s">
        <v>334</v>
      </c>
    </row>
    <row r="2172" spans="28:31">
      <c r="AB2172" s="231" t="s">
        <v>2561</v>
      </c>
      <c r="AC2172" s="217" t="s">
        <v>333</v>
      </c>
      <c r="AD2172" s="217" t="s">
        <v>334</v>
      </c>
      <c r="AE2172" s="217" t="s">
        <v>334</v>
      </c>
    </row>
    <row r="2173" spans="28:31">
      <c r="AB2173" s="231" t="s">
        <v>2562</v>
      </c>
      <c r="AC2173" s="217" t="s">
        <v>333</v>
      </c>
      <c r="AD2173" s="217" t="s">
        <v>334</v>
      </c>
      <c r="AE2173" s="217" t="s">
        <v>334</v>
      </c>
    </row>
    <row r="2174" spans="28:31">
      <c r="AB2174" s="231" t="s">
        <v>2563</v>
      </c>
      <c r="AC2174" s="217" t="s">
        <v>333</v>
      </c>
      <c r="AD2174" s="217" t="s">
        <v>334</v>
      </c>
      <c r="AE2174" s="217" t="s">
        <v>334</v>
      </c>
    </row>
    <row r="2175" spans="28:31">
      <c r="AB2175" s="231" t="s">
        <v>2564</v>
      </c>
      <c r="AC2175" s="217" t="s">
        <v>333</v>
      </c>
      <c r="AD2175" s="217" t="s">
        <v>334</v>
      </c>
      <c r="AE2175" s="217" t="s">
        <v>334</v>
      </c>
    </row>
    <row r="2176" spans="28:31">
      <c r="AB2176" s="231" t="s">
        <v>2565</v>
      </c>
      <c r="AC2176" s="217" t="s">
        <v>333</v>
      </c>
      <c r="AD2176" s="217" t="s">
        <v>334</v>
      </c>
      <c r="AE2176" s="217" t="s">
        <v>334</v>
      </c>
    </row>
    <row r="2177" spans="28:31">
      <c r="AB2177" s="231" t="s">
        <v>2566</v>
      </c>
      <c r="AC2177" s="217" t="s">
        <v>333</v>
      </c>
      <c r="AD2177" s="217" t="s">
        <v>334</v>
      </c>
      <c r="AE2177" s="217" t="s">
        <v>334</v>
      </c>
    </row>
    <row r="2178" spans="28:31">
      <c r="AB2178" s="231" t="s">
        <v>2567</v>
      </c>
      <c r="AC2178" s="217" t="s">
        <v>333</v>
      </c>
      <c r="AD2178" s="217" t="s">
        <v>334</v>
      </c>
      <c r="AE2178" s="217" t="s">
        <v>334</v>
      </c>
    </row>
    <row r="2179" spans="28:31">
      <c r="AB2179" s="231" t="s">
        <v>2568</v>
      </c>
      <c r="AC2179" s="217" t="s">
        <v>333</v>
      </c>
      <c r="AD2179" s="217" t="s">
        <v>334</v>
      </c>
      <c r="AE2179" s="217" t="s">
        <v>334</v>
      </c>
    </row>
    <row r="2180" spans="28:31">
      <c r="AB2180" s="231" t="s">
        <v>2569</v>
      </c>
      <c r="AC2180" s="217" t="s">
        <v>333</v>
      </c>
      <c r="AD2180" s="217" t="s">
        <v>334</v>
      </c>
      <c r="AE2180" s="217" t="s">
        <v>334</v>
      </c>
    </row>
    <row r="2181" spans="28:31">
      <c r="AB2181" s="231" t="s">
        <v>2570</v>
      </c>
      <c r="AC2181" s="217" t="s">
        <v>333</v>
      </c>
      <c r="AD2181" s="217" t="s">
        <v>334</v>
      </c>
      <c r="AE2181" s="217" t="s">
        <v>334</v>
      </c>
    </row>
    <row r="2182" spans="28:31">
      <c r="AB2182" s="231" t="s">
        <v>2571</v>
      </c>
      <c r="AC2182" s="217" t="s">
        <v>333</v>
      </c>
      <c r="AD2182" s="217" t="s">
        <v>334</v>
      </c>
      <c r="AE2182" s="217" t="s">
        <v>334</v>
      </c>
    </row>
    <row r="2183" spans="28:31">
      <c r="AB2183" s="231" t="s">
        <v>2572</v>
      </c>
      <c r="AC2183" s="217" t="s">
        <v>333</v>
      </c>
      <c r="AD2183" s="217" t="s">
        <v>334</v>
      </c>
      <c r="AE2183" s="217" t="s">
        <v>334</v>
      </c>
    </row>
    <row r="2184" spans="28:31">
      <c r="AB2184" s="231" t="s">
        <v>2573</v>
      </c>
      <c r="AC2184" s="217" t="s">
        <v>333</v>
      </c>
      <c r="AD2184" s="217" t="s">
        <v>334</v>
      </c>
      <c r="AE2184" s="217" t="s">
        <v>334</v>
      </c>
    </row>
    <row r="2185" spans="28:31">
      <c r="AB2185" s="231" t="s">
        <v>2574</v>
      </c>
      <c r="AC2185" s="217" t="s">
        <v>333</v>
      </c>
      <c r="AD2185" s="217" t="s">
        <v>334</v>
      </c>
      <c r="AE2185" s="217" t="s">
        <v>334</v>
      </c>
    </row>
    <row r="2186" spans="28:31">
      <c r="AB2186" s="231" t="s">
        <v>2575</v>
      </c>
      <c r="AC2186" s="217" t="s">
        <v>333</v>
      </c>
      <c r="AD2186" s="217" t="s">
        <v>334</v>
      </c>
      <c r="AE2186" s="217" t="s">
        <v>334</v>
      </c>
    </row>
    <row r="2187" spans="28:31">
      <c r="AB2187" s="231" t="s">
        <v>2576</v>
      </c>
      <c r="AC2187" s="217" t="s">
        <v>333</v>
      </c>
      <c r="AD2187" s="217" t="s">
        <v>334</v>
      </c>
      <c r="AE2187" s="217" t="s">
        <v>334</v>
      </c>
    </row>
    <row r="2188" spans="28:31">
      <c r="AB2188" s="231" t="s">
        <v>2577</v>
      </c>
      <c r="AC2188" s="217" t="s">
        <v>333</v>
      </c>
      <c r="AD2188" s="217" t="s">
        <v>334</v>
      </c>
      <c r="AE2188" s="217" t="s">
        <v>334</v>
      </c>
    </row>
    <row r="2189" spans="28:31">
      <c r="AB2189" s="231" t="s">
        <v>2578</v>
      </c>
      <c r="AC2189" s="217" t="s">
        <v>333</v>
      </c>
      <c r="AD2189" s="217" t="s">
        <v>334</v>
      </c>
      <c r="AE2189" s="217" t="s">
        <v>334</v>
      </c>
    </row>
    <row r="2190" spans="28:31">
      <c r="AB2190" s="231" t="s">
        <v>2579</v>
      </c>
      <c r="AC2190" s="217" t="s">
        <v>333</v>
      </c>
      <c r="AD2190" s="217" t="s">
        <v>334</v>
      </c>
      <c r="AE2190" s="217" t="s">
        <v>334</v>
      </c>
    </row>
    <row r="2191" spans="28:31">
      <c r="AB2191" s="231" t="s">
        <v>2580</v>
      </c>
      <c r="AC2191" s="217" t="s">
        <v>333</v>
      </c>
      <c r="AD2191" s="217" t="s">
        <v>334</v>
      </c>
      <c r="AE2191" s="217" t="s">
        <v>334</v>
      </c>
    </row>
    <row r="2192" spans="28:31">
      <c r="AB2192" s="231" t="s">
        <v>2581</v>
      </c>
      <c r="AC2192" s="217" t="s">
        <v>333</v>
      </c>
      <c r="AD2192" s="217" t="s">
        <v>334</v>
      </c>
      <c r="AE2192" s="217" t="s">
        <v>334</v>
      </c>
    </row>
    <row r="2193" spans="28:31">
      <c r="AB2193" s="231" t="s">
        <v>2582</v>
      </c>
      <c r="AC2193" s="217" t="s">
        <v>333</v>
      </c>
      <c r="AD2193" s="217" t="s">
        <v>334</v>
      </c>
      <c r="AE2193" s="217" t="s">
        <v>334</v>
      </c>
    </row>
    <row r="2194" spans="28:31">
      <c r="AB2194" s="231" t="s">
        <v>2583</v>
      </c>
      <c r="AC2194" s="217" t="s">
        <v>333</v>
      </c>
      <c r="AD2194" s="217" t="s">
        <v>334</v>
      </c>
      <c r="AE2194" s="217" t="s">
        <v>334</v>
      </c>
    </row>
    <row r="2195" spans="28:31">
      <c r="AB2195" s="231" t="s">
        <v>2584</v>
      </c>
      <c r="AC2195" s="217" t="s">
        <v>333</v>
      </c>
      <c r="AD2195" s="217" t="s">
        <v>334</v>
      </c>
      <c r="AE2195" s="217" t="s">
        <v>334</v>
      </c>
    </row>
    <row r="2196" spans="28:31">
      <c r="AB2196" s="231" t="s">
        <v>2585</v>
      </c>
      <c r="AC2196" s="217" t="s">
        <v>333</v>
      </c>
      <c r="AD2196" s="217" t="s">
        <v>334</v>
      </c>
      <c r="AE2196" s="217" t="s">
        <v>334</v>
      </c>
    </row>
    <row r="2197" spans="28:31">
      <c r="AB2197" s="231" t="s">
        <v>2586</v>
      </c>
      <c r="AC2197" s="217" t="s">
        <v>333</v>
      </c>
      <c r="AD2197" s="217" t="s">
        <v>334</v>
      </c>
      <c r="AE2197" s="217" t="s">
        <v>334</v>
      </c>
    </row>
    <row r="2198" spans="28:31">
      <c r="AB2198" s="231" t="s">
        <v>2587</v>
      </c>
      <c r="AC2198" s="217" t="s">
        <v>333</v>
      </c>
      <c r="AD2198" s="217" t="s">
        <v>334</v>
      </c>
      <c r="AE2198" s="217" t="s">
        <v>334</v>
      </c>
    </row>
    <row r="2199" spans="28:31">
      <c r="AB2199" s="231" t="s">
        <v>2588</v>
      </c>
      <c r="AC2199" s="217" t="s">
        <v>333</v>
      </c>
      <c r="AD2199" s="217" t="s">
        <v>334</v>
      </c>
      <c r="AE2199" s="217" t="s">
        <v>334</v>
      </c>
    </row>
    <row r="2200" spans="28:31">
      <c r="AB2200" s="231" t="s">
        <v>2589</v>
      </c>
      <c r="AC2200" s="217" t="s">
        <v>333</v>
      </c>
      <c r="AD2200" s="217" t="s">
        <v>334</v>
      </c>
      <c r="AE2200" s="217" t="s">
        <v>334</v>
      </c>
    </row>
    <row r="2201" spans="28:31">
      <c r="AB2201" s="231" t="s">
        <v>2590</v>
      </c>
      <c r="AC2201" s="217" t="s">
        <v>333</v>
      </c>
      <c r="AD2201" s="217" t="s">
        <v>334</v>
      </c>
      <c r="AE2201" s="217" t="s">
        <v>334</v>
      </c>
    </row>
    <row r="2202" spans="28:31">
      <c r="AB2202" s="231" t="s">
        <v>2591</v>
      </c>
      <c r="AC2202" s="217" t="s">
        <v>333</v>
      </c>
      <c r="AD2202" s="217" t="s">
        <v>334</v>
      </c>
      <c r="AE2202" s="217" t="s">
        <v>334</v>
      </c>
    </row>
    <row r="2203" spans="28:31">
      <c r="AB2203" s="231" t="s">
        <v>2592</v>
      </c>
      <c r="AC2203" s="217" t="s">
        <v>333</v>
      </c>
      <c r="AD2203" s="217" t="s">
        <v>334</v>
      </c>
      <c r="AE2203" s="217" t="s">
        <v>334</v>
      </c>
    </row>
    <row r="2204" spans="28:31">
      <c r="AB2204" s="231" t="s">
        <v>2593</v>
      </c>
      <c r="AC2204" s="217" t="s">
        <v>333</v>
      </c>
      <c r="AD2204" s="217" t="s">
        <v>334</v>
      </c>
      <c r="AE2204" s="217" t="s">
        <v>334</v>
      </c>
    </row>
    <row r="2205" spans="28:31">
      <c r="AB2205" s="231" t="s">
        <v>2594</v>
      </c>
      <c r="AC2205" s="217" t="s">
        <v>333</v>
      </c>
      <c r="AD2205" s="217" t="s">
        <v>334</v>
      </c>
      <c r="AE2205" s="217" t="s">
        <v>334</v>
      </c>
    </row>
    <row r="2206" spans="28:31">
      <c r="AB2206" s="231" t="s">
        <v>2595</v>
      </c>
      <c r="AC2206" s="217" t="s">
        <v>333</v>
      </c>
      <c r="AD2206" s="217" t="s">
        <v>334</v>
      </c>
      <c r="AE2206" s="217" t="s">
        <v>334</v>
      </c>
    </row>
    <row r="2207" spans="28:31">
      <c r="AB2207" s="231" t="s">
        <v>2596</v>
      </c>
      <c r="AC2207" s="217" t="s">
        <v>333</v>
      </c>
      <c r="AD2207" s="217" t="s">
        <v>334</v>
      </c>
      <c r="AE2207" s="217" t="s">
        <v>334</v>
      </c>
    </row>
    <row r="2208" spans="28:31">
      <c r="AB2208" s="231" t="s">
        <v>2597</v>
      </c>
      <c r="AC2208" s="217" t="s">
        <v>333</v>
      </c>
      <c r="AD2208" s="217" t="s">
        <v>334</v>
      </c>
      <c r="AE2208" s="217" t="s">
        <v>334</v>
      </c>
    </row>
    <row r="2209" spans="28:31">
      <c r="AB2209" s="231" t="s">
        <v>2598</v>
      </c>
      <c r="AC2209" s="217" t="s">
        <v>333</v>
      </c>
      <c r="AD2209" s="217" t="s">
        <v>334</v>
      </c>
      <c r="AE2209" s="217" t="s">
        <v>334</v>
      </c>
    </row>
    <row r="2210" spans="28:31">
      <c r="AB2210" s="231" t="s">
        <v>2599</v>
      </c>
      <c r="AC2210" s="217" t="s">
        <v>333</v>
      </c>
      <c r="AD2210" s="217" t="s">
        <v>334</v>
      </c>
      <c r="AE2210" s="217" t="s">
        <v>334</v>
      </c>
    </row>
    <row r="2211" spans="28:31">
      <c r="AB2211" s="231" t="s">
        <v>2600</v>
      </c>
      <c r="AC2211" s="217" t="s">
        <v>333</v>
      </c>
      <c r="AD2211" s="217" t="s">
        <v>334</v>
      </c>
      <c r="AE2211" s="217" t="s">
        <v>334</v>
      </c>
    </row>
    <row r="2212" spans="28:31">
      <c r="AB2212" s="231" t="s">
        <v>2601</v>
      </c>
      <c r="AC2212" s="217" t="s">
        <v>333</v>
      </c>
      <c r="AD2212" s="217" t="s">
        <v>334</v>
      </c>
      <c r="AE2212" s="217" t="s">
        <v>334</v>
      </c>
    </row>
    <row r="2213" spans="28:31">
      <c r="AB2213" s="231" t="s">
        <v>2602</v>
      </c>
      <c r="AC2213" s="217" t="s">
        <v>333</v>
      </c>
      <c r="AD2213" s="217" t="s">
        <v>334</v>
      </c>
      <c r="AE2213" s="217" t="s">
        <v>334</v>
      </c>
    </row>
    <row r="2214" spans="28:31">
      <c r="AB2214" s="231" t="s">
        <v>2603</v>
      </c>
      <c r="AC2214" s="217" t="s">
        <v>333</v>
      </c>
      <c r="AD2214" s="217" t="s">
        <v>334</v>
      </c>
      <c r="AE2214" s="217" t="s">
        <v>334</v>
      </c>
    </row>
    <row r="2215" spans="28:31">
      <c r="AB2215" s="231" t="s">
        <v>2604</v>
      </c>
      <c r="AC2215" s="217" t="s">
        <v>333</v>
      </c>
      <c r="AD2215" s="217" t="s">
        <v>334</v>
      </c>
      <c r="AE2215" s="217" t="s">
        <v>334</v>
      </c>
    </row>
    <row r="2216" spans="28:31">
      <c r="AB2216" s="231" t="s">
        <v>2605</v>
      </c>
      <c r="AC2216" s="217" t="s">
        <v>333</v>
      </c>
      <c r="AD2216" s="217" t="s">
        <v>334</v>
      </c>
      <c r="AE2216" s="217" t="s">
        <v>334</v>
      </c>
    </row>
    <row r="2217" spans="28:31">
      <c r="AB2217" s="231" t="s">
        <v>2606</v>
      </c>
      <c r="AC2217" s="217" t="s">
        <v>333</v>
      </c>
      <c r="AD2217" s="217" t="s">
        <v>334</v>
      </c>
      <c r="AE2217" s="217" t="s">
        <v>334</v>
      </c>
    </row>
    <row r="2218" spans="28:31">
      <c r="AB2218" s="231" t="s">
        <v>2607</v>
      </c>
      <c r="AC2218" s="217" t="s">
        <v>333</v>
      </c>
      <c r="AD2218" s="217" t="s">
        <v>334</v>
      </c>
      <c r="AE2218" s="217" t="s">
        <v>334</v>
      </c>
    </row>
    <row r="2219" spans="28:31">
      <c r="AB2219" s="231" t="s">
        <v>2608</v>
      </c>
      <c r="AC2219" s="217" t="s">
        <v>333</v>
      </c>
      <c r="AD2219" s="217" t="s">
        <v>334</v>
      </c>
      <c r="AE2219" s="217" t="s">
        <v>334</v>
      </c>
    </row>
    <row r="2220" spans="28:31">
      <c r="AB2220" s="231" t="s">
        <v>2609</v>
      </c>
      <c r="AC2220" s="217" t="s">
        <v>333</v>
      </c>
      <c r="AD2220" s="217" t="s">
        <v>334</v>
      </c>
      <c r="AE2220" s="217" t="s">
        <v>334</v>
      </c>
    </row>
    <row r="2221" spans="28:31">
      <c r="AB2221" s="231" t="s">
        <v>2610</v>
      </c>
      <c r="AC2221" s="217" t="s">
        <v>333</v>
      </c>
      <c r="AD2221" s="217" t="s">
        <v>334</v>
      </c>
      <c r="AE2221" s="217" t="s">
        <v>334</v>
      </c>
    </row>
    <row r="2222" spans="28:31">
      <c r="AB2222" s="231" t="s">
        <v>2611</v>
      </c>
      <c r="AC2222" s="217" t="s">
        <v>333</v>
      </c>
      <c r="AD2222" s="217" t="s">
        <v>334</v>
      </c>
      <c r="AE2222" s="217" t="s">
        <v>334</v>
      </c>
    </row>
    <row r="2223" spans="28:31">
      <c r="AB2223" s="231" t="s">
        <v>2612</v>
      </c>
      <c r="AC2223" s="217" t="s">
        <v>333</v>
      </c>
      <c r="AD2223" s="217" t="s">
        <v>334</v>
      </c>
      <c r="AE2223" s="217" t="s">
        <v>334</v>
      </c>
    </row>
    <row r="2224" spans="28:31">
      <c r="AB2224" s="231" t="s">
        <v>2613</v>
      </c>
      <c r="AC2224" s="217" t="s">
        <v>333</v>
      </c>
      <c r="AD2224" s="217" t="s">
        <v>334</v>
      </c>
      <c r="AE2224" s="217" t="s">
        <v>334</v>
      </c>
    </row>
    <row r="2225" spans="28:31">
      <c r="AB2225" s="231" t="s">
        <v>2614</v>
      </c>
      <c r="AC2225" s="217" t="s">
        <v>333</v>
      </c>
      <c r="AD2225" s="217" t="s">
        <v>334</v>
      </c>
      <c r="AE2225" s="217" t="s">
        <v>334</v>
      </c>
    </row>
    <row r="2226" spans="28:31">
      <c r="AB2226" s="231" t="s">
        <v>2615</v>
      </c>
      <c r="AC2226" s="217" t="s">
        <v>333</v>
      </c>
      <c r="AD2226" s="217" t="s">
        <v>334</v>
      </c>
      <c r="AE2226" s="217" t="s">
        <v>334</v>
      </c>
    </row>
    <row r="2227" spans="28:31">
      <c r="AB2227" s="231" t="s">
        <v>2616</v>
      </c>
      <c r="AC2227" s="217" t="s">
        <v>333</v>
      </c>
      <c r="AD2227" s="217" t="s">
        <v>334</v>
      </c>
      <c r="AE2227" s="217" t="s">
        <v>334</v>
      </c>
    </row>
    <row r="2228" spans="28:31">
      <c r="AB2228" s="231" t="s">
        <v>2617</v>
      </c>
      <c r="AC2228" s="217" t="s">
        <v>333</v>
      </c>
      <c r="AD2228" s="217" t="s">
        <v>334</v>
      </c>
      <c r="AE2228" s="217" t="s">
        <v>334</v>
      </c>
    </row>
    <row r="2229" spans="28:31">
      <c r="AB2229" s="231" t="s">
        <v>2618</v>
      </c>
      <c r="AC2229" s="217" t="s">
        <v>333</v>
      </c>
      <c r="AD2229" s="217" t="s">
        <v>334</v>
      </c>
      <c r="AE2229" s="217" t="s">
        <v>334</v>
      </c>
    </row>
    <row r="2230" spans="28:31">
      <c r="AB2230" s="231" t="s">
        <v>2619</v>
      </c>
      <c r="AC2230" s="217" t="s">
        <v>333</v>
      </c>
      <c r="AD2230" s="217" t="s">
        <v>334</v>
      </c>
      <c r="AE2230" s="217" t="s">
        <v>334</v>
      </c>
    </row>
    <row r="2231" spans="28:31">
      <c r="AB2231" s="231" t="s">
        <v>2620</v>
      </c>
      <c r="AC2231" s="217" t="s">
        <v>333</v>
      </c>
      <c r="AD2231" s="217" t="s">
        <v>334</v>
      </c>
      <c r="AE2231" s="217" t="s">
        <v>334</v>
      </c>
    </row>
    <row r="2232" spans="28:31">
      <c r="AB2232" s="231" t="s">
        <v>2621</v>
      </c>
      <c r="AC2232" s="217" t="s">
        <v>333</v>
      </c>
      <c r="AD2232" s="217" t="s">
        <v>334</v>
      </c>
      <c r="AE2232" s="217" t="s">
        <v>334</v>
      </c>
    </row>
    <row r="2233" spans="28:31">
      <c r="AB2233" s="231" t="s">
        <v>2622</v>
      </c>
      <c r="AC2233" s="217" t="s">
        <v>333</v>
      </c>
      <c r="AD2233" s="217" t="s">
        <v>334</v>
      </c>
      <c r="AE2233" s="217" t="s">
        <v>334</v>
      </c>
    </row>
    <row r="2234" spans="28:31">
      <c r="AB2234" s="231" t="s">
        <v>2623</v>
      </c>
      <c r="AC2234" s="217" t="s">
        <v>333</v>
      </c>
      <c r="AD2234" s="217" t="s">
        <v>334</v>
      </c>
      <c r="AE2234" s="217" t="s">
        <v>334</v>
      </c>
    </row>
    <row r="2235" spans="28:31">
      <c r="AB2235" s="231" t="s">
        <v>2624</v>
      </c>
      <c r="AC2235" s="217" t="s">
        <v>333</v>
      </c>
      <c r="AD2235" s="217" t="s">
        <v>334</v>
      </c>
      <c r="AE2235" s="217" t="s">
        <v>334</v>
      </c>
    </row>
    <row r="2236" spans="28:31">
      <c r="AB2236" s="231" t="s">
        <v>2625</v>
      </c>
      <c r="AC2236" s="217" t="s">
        <v>333</v>
      </c>
      <c r="AD2236" s="217" t="s">
        <v>334</v>
      </c>
      <c r="AE2236" s="217" t="s">
        <v>334</v>
      </c>
    </row>
    <row r="2237" spans="28:31">
      <c r="AB2237" s="231" t="s">
        <v>2626</v>
      </c>
      <c r="AC2237" s="217" t="s">
        <v>333</v>
      </c>
      <c r="AD2237" s="217" t="s">
        <v>334</v>
      </c>
      <c r="AE2237" s="217" t="s">
        <v>334</v>
      </c>
    </row>
    <row r="2238" spans="28:31">
      <c r="AB2238" s="231" t="s">
        <v>2627</v>
      </c>
      <c r="AC2238" s="217" t="s">
        <v>333</v>
      </c>
      <c r="AD2238" s="217" t="s">
        <v>334</v>
      </c>
      <c r="AE2238" s="217" t="s">
        <v>334</v>
      </c>
    </row>
    <row r="2239" spans="28:31">
      <c r="AB2239" s="231" t="s">
        <v>2628</v>
      </c>
      <c r="AC2239" s="217" t="s">
        <v>333</v>
      </c>
      <c r="AD2239" s="217" t="s">
        <v>334</v>
      </c>
      <c r="AE2239" s="217" t="s">
        <v>334</v>
      </c>
    </row>
    <row r="2240" spans="28:31">
      <c r="AB2240" s="231" t="s">
        <v>2629</v>
      </c>
      <c r="AC2240" s="217" t="s">
        <v>333</v>
      </c>
      <c r="AD2240" s="217" t="s">
        <v>334</v>
      </c>
      <c r="AE2240" s="217" t="s">
        <v>334</v>
      </c>
    </row>
    <row r="2241" spans="28:31">
      <c r="AB2241" s="231" t="s">
        <v>2630</v>
      </c>
      <c r="AC2241" s="217" t="s">
        <v>333</v>
      </c>
      <c r="AD2241" s="217" t="s">
        <v>334</v>
      </c>
      <c r="AE2241" s="217" t="s">
        <v>334</v>
      </c>
    </row>
    <row r="2242" spans="28:31">
      <c r="AB2242" s="231" t="s">
        <v>2631</v>
      </c>
      <c r="AC2242" s="217" t="s">
        <v>333</v>
      </c>
      <c r="AD2242" s="217" t="s">
        <v>334</v>
      </c>
      <c r="AE2242" s="217" t="s">
        <v>334</v>
      </c>
    </row>
    <row r="2243" spans="28:31">
      <c r="AB2243" s="231" t="s">
        <v>2632</v>
      </c>
      <c r="AC2243" s="217" t="s">
        <v>333</v>
      </c>
      <c r="AD2243" s="217" t="s">
        <v>334</v>
      </c>
      <c r="AE2243" s="217" t="s">
        <v>334</v>
      </c>
    </row>
    <row r="2244" spans="28:31">
      <c r="AB2244" s="231" t="s">
        <v>2633</v>
      </c>
      <c r="AC2244" s="217" t="s">
        <v>333</v>
      </c>
      <c r="AD2244" s="217" t="s">
        <v>334</v>
      </c>
      <c r="AE2244" s="217" t="s">
        <v>334</v>
      </c>
    </row>
    <row r="2245" spans="28:31">
      <c r="AB2245" s="231" t="s">
        <v>2634</v>
      </c>
      <c r="AC2245" s="217" t="s">
        <v>333</v>
      </c>
      <c r="AD2245" s="217" t="s">
        <v>334</v>
      </c>
      <c r="AE2245" s="217" t="s">
        <v>334</v>
      </c>
    </row>
    <row r="2246" spans="28:31">
      <c r="AB2246" s="231" t="s">
        <v>2635</v>
      </c>
      <c r="AC2246" s="217" t="s">
        <v>333</v>
      </c>
      <c r="AD2246" s="217" t="s">
        <v>334</v>
      </c>
      <c r="AE2246" s="217" t="s">
        <v>334</v>
      </c>
    </row>
    <row r="2247" spans="28:31">
      <c r="AB2247" s="231" t="s">
        <v>2636</v>
      </c>
      <c r="AC2247" s="217" t="s">
        <v>333</v>
      </c>
      <c r="AD2247" s="217" t="s">
        <v>334</v>
      </c>
      <c r="AE2247" s="217" t="s">
        <v>334</v>
      </c>
    </row>
    <row r="2248" spans="28:31">
      <c r="AB2248" s="231" t="s">
        <v>2637</v>
      </c>
      <c r="AC2248" s="217" t="s">
        <v>333</v>
      </c>
      <c r="AD2248" s="217" t="s">
        <v>334</v>
      </c>
      <c r="AE2248" s="217" t="s">
        <v>334</v>
      </c>
    </row>
    <row r="2249" spans="28:31">
      <c r="AB2249" s="231" t="s">
        <v>2638</v>
      </c>
      <c r="AC2249" s="217" t="s">
        <v>333</v>
      </c>
      <c r="AD2249" s="217" t="s">
        <v>334</v>
      </c>
      <c r="AE2249" s="217" t="s">
        <v>334</v>
      </c>
    </row>
    <row r="2250" spans="28:31">
      <c r="AB2250" s="231" t="s">
        <v>2639</v>
      </c>
      <c r="AC2250" s="217" t="s">
        <v>333</v>
      </c>
      <c r="AD2250" s="217" t="s">
        <v>334</v>
      </c>
      <c r="AE2250" s="217" t="s">
        <v>334</v>
      </c>
    </row>
    <row r="2251" spans="28:31">
      <c r="AB2251" s="231" t="s">
        <v>2640</v>
      </c>
      <c r="AC2251" s="217" t="s">
        <v>333</v>
      </c>
      <c r="AD2251" s="217" t="s">
        <v>334</v>
      </c>
      <c r="AE2251" s="217" t="s">
        <v>334</v>
      </c>
    </row>
    <row r="2252" spans="28:31">
      <c r="AB2252" s="231" t="s">
        <v>2641</v>
      </c>
      <c r="AC2252" s="217" t="s">
        <v>333</v>
      </c>
      <c r="AD2252" s="217" t="s">
        <v>334</v>
      </c>
      <c r="AE2252" s="217" t="s">
        <v>334</v>
      </c>
    </row>
    <row r="2253" spans="28:31">
      <c r="AB2253" s="231" t="s">
        <v>2642</v>
      </c>
      <c r="AC2253" s="217" t="s">
        <v>333</v>
      </c>
      <c r="AD2253" s="217" t="s">
        <v>334</v>
      </c>
      <c r="AE2253" s="217" t="s">
        <v>334</v>
      </c>
    </row>
    <row r="2254" spans="28:31">
      <c r="AB2254" s="231" t="s">
        <v>2643</v>
      </c>
      <c r="AC2254" s="217" t="s">
        <v>333</v>
      </c>
      <c r="AD2254" s="217" t="s">
        <v>334</v>
      </c>
      <c r="AE2254" s="217" t="s">
        <v>334</v>
      </c>
    </row>
    <row r="2255" spans="28:31">
      <c r="AB2255" s="231" t="s">
        <v>2644</v>
      </c>
      <c r="AC2255" s="217" t="s">
        <v>333</v>
      </c>
      <c r="AD2255" s="217" t="s">
        <v>334</v>
      </c>
      <c r="AE2255" s="217" t="s">
        <v>334</v>
      </c>
    </row>
    <row r="2256" spans="28:31">
      <c r="AB2256" s="231" t="s">
        <v>2645</v>
      </c>
      <c r="AC2256" s="217" t="s">
        <v>333</v>
      </c>
      <c r="AD2256" s="217" t="s">
        <v>334</v>
      </c>
      <c r="AE2256" s="217" t="s">
        <v>334</v>
      </c>
    </row>
    <row r="2257" spans="28:31">
      <c r="AB2257" s="231" t="s">
        <v>2646</v>
      </c>
      <c r="AC2257" s="217" t="s">
        <v>333</v>
      </c>
      <c r="AD2257" s="217" t="s">
        <v>334</v>
      </c>
      <c r="AE2257" s="217" t="s">
        <v>334</v>
      </c>
    </row>
    <row r="2258" spans="28:31">
      <c r="AB2258" s="231" t="s">
        <v>2647</v>
      </c>
      <c r="AC2258" s="217" t="s">
        <v>333</v>
      </c>
      <c r="AD2258" s="217" t="s">
        <v>334</v>
      </c>
      <c r="AE2258" s="217" t="s">
        <v>334</v>
      </c>
    </row>
    <row r="2259" spans="28:31">
      <c r="AB2259" s="231" t="s">
        <v>2648</v>
      </c>
      <c r="AC2259" s="217" t="s">
        <v>333</v>
      </c>
      <c r="AD2259" s="217" t="s">
        <v>334</v>
      </c>
      <c r="AE2259" s="217" t="s">
        <v>334</v>
      </c>
    </row>
    <row r="2260" spans="28:31">
      <c r="AB2260" s="231" t="s">
        <v>2649</v>
      </c>
      <c r="AC2260" s="217" t="s">
        <v>333</v>
      </c>
      <c r="AD2260" s="217" t="s">
        <v>334</v>
      </c>
      <c r="AE2260" s="217" t="s">
        <v>334</v>
      </c>
    </row>
    <row r="2261" spans="28:31">
      <c r="AB2261" s="231" t="s">
        <v>2650</v>
      </c>
      <c r="AC2261" s="217" t="s">
        <v>333</v>
      </c>
      <c r="AD2261" s="217" t="s">
        <v>334</v>
      </c>
      <c r="AE2261" s="217" t="s">
        <v>334</v>
      </c>
    </row>
    <row r="2262" spans="28:31">
      <c r="AB2262" s="231" t="s">
        <v>2651</v>
      </c>
      <c r="AC2262" s="217" t="s">
        <v>333</v>
      </c>
      <c r="AD2262" s="217" t="s">
        <v>334</v>
      </c>
      <c r="AE2262" s="217" t="s">
        <v>334</v>
      </c>
    </row>
    <row r="2263" spans="28:31">
      <c r="AB2263" s="231" t="s">
        <v>2652</v>
      </c>
      <c r="AC2263" s="217" t="s">
        <v>333</v>
      </c>
      <c r="AD2263" s="217" t="s">
        <v>334</v>
      </c>
      <c r="AE2263" s="217" t="s">
        <v>334</v>
      </c>
    </row>
    <row r="2264" spans="28:31">
      <c r="AB2264" s="231" t="s">
        <v>2653</v>
      </c>
      <c r="AC2264" s="217" t="s">
        <v>333</v>
      </c>
      <c r="AD2264" s="217" t="s">
        <v>334</v>
      </c>
      <c r="AE2264" s="217" t="s">
        <v>334</v>
      </c>
    </row>
    <row r="2265" spans="28:31">
      <c r="AB2265" s="231" t="s">
        <v>2654</v>
      </c>
      <c r="AC2265" s="217" t="s">
        <v>333</v>
      </c>
      <c r="AD2265" s="217" t="s">
        <v>334</v>
      </c>
      <c r="AE2265" s="217" t="s">
        <v>334</v>
      </c>
    </row>
    <row r="2266" spans="28:31">
      <c r="AB2266" s="231" t="s">
        <v>2655</v>
      </c>
      <c r="AC2266" s="217" t="s">
        <v>333</v>
      </c>
      <c r="AD2266" s="217" t="s">
        <v>334</v>
      </c>
      <c r="AE2266" s="217" t="s">
        <v>334</v>
      </c>
    </row>
    <row r="2267" spans="28:31">
      <c r="AB2267" s="231" t="s">
        <v>2656</v>
      </c>
      <c r="AC2267" s="217" t="s">
        <v>333</v>
      </c>
      <c r="AD2267" s="217" t="s">
        <v>334</v>
      </c>
      <c r="AE2267" s="217" t="s">
        <v>334</v>
      </c>
    </row>
    <row r="2268" spans="28:31">
      <c r="AB2268" s="231" t="s">
        <v>2657</v>
      </c>
      <c r="AC2268" s="217" t="s">
        <v>333</v>
      </c>
      <c r="AD2268" s="217" t="s">
        <v>334</v>
      </c>
      <c r="AE2268" s="217" t="s">
        <v>334</v>
      </c>
    </row>
    <row r="2269" spans="28:31">
      <c r="AB2269" s="231" t="s">
        <v>2658</v>
      </c>
      <c r="AC2269" s="217" t="s">
        <v>333</v>
      </c>
      <c r="AD2269" s="217" t="s">
        <v>334</v>
      </c>
      <c r="AE2269" s="217" t="s">
        <v>334</v>
      </c>
    </row>
    <row r="2270" spans="28:31">
      <c r="AB2270" s="231" t="s">
        <v>2659</v>
      </c>
      <c r="AC2270" s="217" t="s">
        <v>333</v>
      </c>
      <c r="AD2270" s="217" t="s">
        <v>334</v>
      </c>
      <c r="AE2270" s="217" t="s">
        <v>334</v>
      </c>
    </row>
    <row r="2271" spans="28:31">
      <c r="AB2271" s="231" t="s">
        <v>2660</v>
      </c>
      <c r="AC2271" s="217" t="s">
        <v>333</v>
      </c>
      <c r="AD2271" s="217" t="s">
        <v>334</v>
      </c>
      <c r="AE2271" s="217" t="s">
        <v>334</v>
      </c>
    </row>
    <row r="2272" spans="28:31">
      <c r="AB2272" s="231" t="s">
        <v>2661</v>
      </c>
      <c r="AC2272" s="217" t="s">
        <v>333</v>
      </c>
      <c r="AD2272" s="217" t="s">
        <v>334</v>
      </c>
      <c r="AE2272" s="217" t="s">
        <v>334</v>
      </c>
    </row>
    <row r="2273" spans="28:31">
      <c r="AB2273" s="231" t="s">
        <v>2662</v>
      </c>
      <c r="AC2273" s="217" t="s">
        <v>333</v>
      </c>
      <c r="AD2273" s="217" t="s">
        <v>334</v>
      </c>
      <c r="AE2273" s="217" t="s">
        <v>334</v>
      </c>
    </row>
    <row r="2274" spans="28:31">
      <c r="AB2274" s="231" t="s">
        <v>2663</v>
      </c>
      <c r="AC2274" s="217" t="s">
        <v>333</v>
      </c>
      <c r="AD2274" s="217" t="s">
        <v>334</v>
      </c>
      <c r="AE2274" s="217" t="s">
        <v>334</v>
      </c>
    </row>
    <row r="2275" spans="28:31">
      <c r="AB2275" s="231" t="s">
        <v>2664</v>
      </c>
      <c r="AC2275" s="217" t="s">
        <v>333</v>
      </c>
      <c r="AD2275" s="217" t="s">
        <v>334</v>
      </c>
      <c r="AE2275" s="217" t="s">
        <v>334</v>
      </c>
    </row>
    <row r="2276" spans="28:31">
      <c r="AB2276" s="231" t="s">
        <v>2665</v>
      </c>
      <c r="AC2276" s="217" t="s">
        <v>333</v>
      </c>
      <c r="AD2276" s="217" t="s">
        <v>334</v>
      </c>
      <c r="AE2276" s="217" t="s">
        <v>334</v>
      </c>
    </row>
    <row r="2277" spans="28:31">
      <c r="AB2277" s="231" t="s">
        <v>2666</v>
      </c>
      <c r="AC2277" s="217" t="s">
        <v>333</v>
      </c>
      <c r="AD2277" s="217" t="s">
        <v>334</v>
      </c>
      <c r="AE2277" s="217" t="s">
        <v>334</v>
      </c>
    </row>
    <row r="2278" spans="28:31">
      <c r="AB2278" s="231" t="s">
        <v>2667</v>
      </c>
      <c r="AC2278" s="217" t="s">
        <v>333</v>
      </c>
      <c r="AD2278" s="217" t="s">
        <v>334</v>
      </c>
      <c r="AE2278" s="217" t="s">
        <v>334</v>
      </c>
    </row>
    <row r="2279" spans="28:31">
      <c r="AB2279" s="231" t="s">
        <v>2668</v>
      </c>
      <c r="AC2279" s="217" t="s">
        <v>333</v>
      </c>
      <c r="AD2279" s="217" t="s">
        <v>334</v>
      </c>
      <c r="AE2279" s="217" t="s">
        <v>334</v>
      </c>
    </row>
    <row r="2280" spans="28:31">
      <c r="AB2280" s="231" t="s">
        <v>2669</v>
      </c>
      <c r="AC2280" s="217" t="s">
        <v>333</v>
      </c>
      <c r="AD2280" s="217" t="s">
        <v>334</v>
      </c>
      <c r="AE2280" s="217" t="s">
        <v>334</v>
      </c>
    </row>
    <row r="2281" spans="28:31">
      <c r="AB2281" s="231" t="s">
        <v>2670</v>
      </c>
      <c r="AC2281" s="217" t="s">
        <v>333</v>
      </c>
      <c r="AD2281" s="217" t="s">
        <v>334</v>
      </c>
      <c r="AE2281" s="217" t="s">
        <v>334</v>
      </c>
    </row>
    <row r="2282" spans="28:31">
      <c r="AB2282" s="231" t="s">
        <v>2671</v>
      </c>
      <c r="AC2282" s="217" t="s">
        <v>333</v>
      </c>
      <c r="AD2282" s="217" t="s">
        <v>334</v>
      </c>
      <c r="AE2282" s="217" t="s">
        <v>334</v>
      </c>
    </row>
    <row r="2283" spans="28:31">
      <c r="AB2283" s="231" t="s">
        <v>2672</v>
      </c>
      <c r="AC2283" s="217" t="s">
        <v>333</v>
      </c>
      <c r="AD2283" s="217" t="s">
        <v>334</v>
      </c>
      <c r="AE2283" s="217" t="s">
        <v>334</v>
      </c>
    </row>
    <row r="2284" spans="28:31">
      <c r="AB2284" s="231" t="s">
        <v>2673</v>
      </c>
      <c r="AC2284" s="217" t="s">
        <v>333</v>
      </c>
      <c r="AD2284" s="217" t="s">
        <v>334</v>
      </c>
      <c r="AE2284" s="217" t="s">
        <v>334</v>
      </c>
    </row>
    <row r="2285" spans="28:31">
      <c r="AB2285" s="231" t="s">
        <v>2674</v>
      </c>
      <c r="AC2285" s="217" t="s">
        <v>333</v>
      </c>
      <c r="AD2285" s="217" t="s">
        <v>334</v>
      </c>
      <c r="AE2285" s="217" t="s">
        <v>334</v>
      </c>
    </row>
    <row r="2286" spans="28:31">
      <c r="AB2286" s="231" t="s">
        <v>2675</v>
      </c>
      <c r="AC2286" s="217" t="s">
        <v>333</v>
      </c>
      <c r="AD2286" s="217" t="s">
        <v>334</v>
      </c>
      <c r="AE2286" s="217" t="s">
        <v>334</v>
      </c>
    </row>
    <row r="2287" spans="28:31">
      <c r="AB2287" s="231" t="s">
        <v>2676</v>
      </c>
      <c r="AC2287" s="217" t="s">
        <v>333</v>
      </c>
      <c r="AD2287" s="217" t="s">
        <v>334</v>
      </c>
      <c r="AE2287" s="217" t="s">
        <v>334</v>
      </c>
    </row>
    <row r="2288" spans="28:31">
      <c r="AB2288" s="231" t="s">
        <v>2677</v>
      </c>
      <c r="AC2288" s="217" t="s">
        <v>333</v>
      </c>
      <c r="AD2288" s="217" t="s">
        <v>334</v>
      </c>
      <c r="AE2288" s="217" t="s">
        <v>334</v>
      </c>
    </row>
    <row r="2289" spans="28:31">
      <c r="AB2289" s="231" t="s">
        <v>2678</v>
      </c>
      <c r="AC2289" s="217" t="s">
        <v>333</v>
      </c>
      <c r="AD2289" s="217" t="s">
        <v>334</v>
      </c>
      <c r="AE2289" s="217" t="s">
        <v>334</v>
      </c>
    </row>
    <row r="2290" spans="28:31">
      <c r="AB2290" s="231" t="s">
        <v>2679</v>
      </c>
      <c r="AC2290" s="217" t="s">
        <v>333</v>
      </c>
      <c r="AD2290" s="217" t="s">
        <v>334</v>
      </c>
      <c r="AE2290" s="217" t="s">
        <v>334</v>
      </c>
    </row>
    <row r="2291" spans="28:31">
      <c r="AB2291" s="231" t="s">
        <v>2680</v>
      </c>
      <c r="AC2291" s="217" t="s">
        <v>333</v>
      </c>
      <c r="AD2291" s="217" t="s">
        <v>334</v>
      </c>
      <c r="AE2291" s="217" t="s">
        <v>334</v>
      </c>
    </row>
    <row r="2292" spans="28:31">
      <c r="AB2292" s="231" t="s">
        <v>2681</v>
      </c>
      <c r="AC2292" s="217" t="s">
        <v>333</v>
      </c>
      <c r="AD2292" s="217" t="s">
        <v>334</v>
      </c>
      <c r="AE2292" s="217" t="s">
        <v>334</v>
      </c>
    </row>
    <row r="2293" spans="28:31">
      <c r="AB2293" s="231" t="s">
        <v>2682</v>
      </c>
      <c r="AC2293" s="217" t="s">
        <v>333</v>
      </c>
      <c r="AD2293" s="217" t="s">
        <v>334</v>
      </c>
      <c r="AE2293" s="217" t="s">
        <v>334</v>
      </c>
    </row>
    <row r="2294" spans="28:31">
      <c r="AB2294" s="231" t="s">
        <v>2683</v>
      </c>
      <c r="AC2294" s="217" t="s">
        <v>333</v>
      </c>
      <c r="AD2294" s="217" t="s">
        <v>334</v>
      </c>
      <c r="AE2294" s="217" t="s">
        <v>334</v>
      </c>
    </row>
    <row r="2295" spans="28:31">
      <c r="AB2295" s="231" t="s">
        <v>2684</v>
      </c>
      <c r="AC2295" s="217" t="s">
        <v>333</v>
      </c>
      <c r="AD2295" s="217" t="s">
        <v>334</v>
      </c>
      <c r="AE2295" s="217" t="s">
        <v>334</v>
      </c>
    </row>
    <row r="2296" spans="28:31">
      <c r="AB2296" s="231" t="s">
        <v>2685</v>
      </c>
      <c r="AC2296" s="217" t="s">
        <v>333</v>
      </c>
      <c r="AD2296" s="217" t="s">
        <v>334</v>
      </c>
      <c r="AE2296" s="217" t="s">
        <v>334</v>
      </c>
    </row>
    <row r="2297" spans="28:31">
      <c r="AB2297" s="231" t="s">
        <v>2686</v>
      </c>
      <c r="AC2297" s="217" t="s">
        <v>333</v>
      </c>
      <c r="AD2297" s="217" t="s">
        <v>334</v>
      </c>
      <c r="AE2297" s="217" t="s">
        <v>334</v>
      </c>
    </row>
    <row r="2298" spans="28:31">
      <c r="AB2298" s="231" t="s">
        <v>2687</v>
      </c>
      <c r="AC2298" s="217" t="s">
        <v>333</v>
      </c>
      <c r="AD2298" s="217" t="s">
        <v>334</v>
      </c>
      <c r="AE2298" s="217" t="s">
        <v>334</v>
      </c>
    </row>
    <row r="2299" spans="28:31">
      <c r="AB2299" s="231" t="s">
        <v>2688</v>
      </c>
      <c r="AC2299" s="217" t="s">
        <v>333</v>
      </c>
      <c r="AD2299" s="217" t="s">
        <v>334</v>
      </c>
      <c r="AE2299" s="217" t="s">
        <v>334</v>
      </c>
    </row>
    <row r="2300" spans="28:31">
      <c r="AB2300" s="231" t="s">
        <v>2689</v>
      </c>
      <c r="AC2300" s="217" t="s">
        <v>333</v>
      </c>
      <c r="AD2300" s="217" t="s">
        <v>334</v>
      </c>
      <c r="AE2300" s="217" t="s">
        <v>334</v>
      </c>
    </row>
    <row r="2301" spans="28:31">
      <c r="AB2301" s="231" t="s">
        <v>2690</v>
      </c>
      <c r="AC2301" s="217" t="s">
        <v>333</v>
      </c>
      <c r="AD2301" s="217" t="s">
        <v>334</v>
      </c>
      <c r="AE2301" s="217" t="s">
        <v>334</v>
      </c>
    </row>
    <row r="2302" spans="28:31">
      <c r="AB2302" s="231" t="s">
        <v>2691</v>
      </c>
      <c r="AC2302" s="217" t="s">
        <v>333</v>
      </c>
      <c r="AD2302" s="217" t="s">
        <v>334</v>
      </c>
      <c r="AE2302" s="217" t="s">
        <v>334</v>
      </c>
    </row>
    <row r="2303" spans="28:31">
      <c r="AB2303" s="231" t="s">
        <v>2692</v>
      </c>
      <c r="AC2303" s="217" t="s">
        <v>333</v>
      </c>
      <c r="AD2303" s="217" t="s">
        <v>334</v>
      </c>
      <c r="AE2303" s="217" t="s">
        <v>334</v>
      </c>
    </row>
    <row r="2304" spans="28:31">
      <c r="AB2304" s="231" t="s">
        <v>2693</v>
      </c>
      <c r="AC2304" s="217" t="s">
        <v>333</v>
      </c>
      <c r="AD2304" s="217" t="s">
        <v>334</v>
      </c>
      <c r="AE2304" s="217" t="s">
        <v>334</v>
      </c>
    </row>
    <row r="2305" spans="28:31">
      <c r="AB2305" s="231" t="s">
        <v>2694</v>
      </c>
      <c r="AC2305" s="217" t="s">
        <v>333</v>
      </c>
      <c r="AD2305" s="217" t="s">
        <v>334</v>
      </c>
      <c r="AE2305" s="217" t="s">
        <v>334</v>
      </c>
    </row>
    <row r="2306" spans="28:31">
      <c r="AB2306" s="231" t="s">
        <v>2695</v>
      </c>
      <c r="AC2306" s="217" t="s">
        <v>333</v>
      </c>
      <c r="AD2306" s="217" t="s">
        <v>334</v>
      </c>
      <c r="AE2306" s="217" t="s">
        <v>334</v>
      </c>
    </row>
    <row r="2307" spans="28:31">
      <c r="AB2307" s="231" t="s">
        <v>2696</v>
      </c>
      <c r="AC2307" s="217" t="s">
        <v>333</v>
      </c>
      <c r="AD2307" s="217" t="s">
        <v>334</v>
      </c>
      <c r="AE2307" s="217" t="s">
        <v>334</v>
      </c>
    </row>
    <row r="2308" spans="28:31">
      <c r="AB2308" s="231" t="s">
        <v>2697</v>
      </c>
      <c r="AC2308" s="217" t="s">
        <v>333</v>
      </c>
      <c r="AD2308" s="217" t="s">
        <v>334</v>
      </c>
      <c r="AE2308" s="217" t="s">
        <v>334</v>
      </c>
    </row>
    <row r="2309" spans="28:31">
      <c r="AB2309" s="231" t="s">
        <v>2698</v>
      </c>
      <c r="AC2309" s="217" t="s">
        <v>333</v>
      </c>
      <c r="AD2309" s="217" t="s">
        <v>334</v>
      </c>
      <c r="AE2309" s="217" t="s">
        <v>334</v>
      </c>
    </row>
    <row r="2310" spans="28:31">
      <c r="AB2310" s="231" t="s">
        <v>2699</v>
      </c>
      <c r="AC2310" s="217" t="s">
        <v>333</v>
      </c>
      <c r="AD2310" s="217" t="s">
        <v>334</v>
      </c>
      <c r="AE2310" s="217" t="s">
        <v>334</v>
      </c>
    </row>
    <row r="2311" spans="28:31">
      <c r="AB2311" s="231" t="s">
        <v>2700</v>
      </c>
      <c r="AC2311" s="217" t="s">
        <v>333</v>
      </c>
      <c r="AD2311" s="217" t="s">
        <v>334</v>
      </c>
      <c r="AE2311" s="217" t="s">
        <v>334</v>
      </c>
    </row>
    <row r="2312" spans="28:31">
      <c r="AB2312" s="231" t="s">
        <v>2701</v>
      </c>
      <c r="AC2312" s="217" t="s">
        <v>333</v>
      </c>
      <c r="AD2312" s="217" t="s">
        <v>334</v>
      </c>
      <c r="AE2312" s="217" t="s">
        <v>334</v>
      </c>
    </row>
    <row r="2313" spans="28:31">
      <c r="AB2313" s="231" t="s">
        <v>2702</v>
      </c>
      <c r="AC2313" s="217" t="s">
        <v>333</v>
      </c>
      <c r="AD2313" s="217" t="s">
        <v>334</v>
      </c>
      <c r="AE2313" s="217" t="s">
        <v>334</v>
      </c>
    </row>
    <row r="2314" spans="28:31">
      <c r="AB2314" s="231" t="s">
        <v>2703</v>
      </c>
      <c r="AC2314" s="217" t="s">
        <v>333</v>
      </c>
      <c r="AD2314" s="217" t="s">
        <v>334</v>
      </c>
      <c r="AE2314" s="217" t="s">
        <v>334</v>
      </c>
    </row>
    <row r="2315" spans="28:31">
      <c r="AB2315" s="231" t="s">
        <v>2704</v>
      </c>
      <c r="AC2315" s="217" t="s">
        <v>333</v>
      </c>
      <c r="AD2315" s="217" t="s">
        <v>334</v>
      </c>
      <c r="AE2315" s="217" t="s">
        <v>334</v>
      </c>
    </row>
    <row r="2316" spans="28:31">
      <c r="AB2316" s="231" t="s">
        <v>2705</v>
      </c>
      <c r="AC2316" s="217" t="s">
        <v>333</v>
      </c>
      <c r="AD2316" s="217" t="s">
        <v>334</v>
      </c>
      <c r="AE2316" s="217" t="s">
        <v>334</v>
      </c>
    </row>
    <row r="2317" spans="28:31">
      <c r="AB2317" s="231" t="s">
        <v>2706</v>
      </c>
      <c r="AC2317" s="217" t="s">
        <v>333</v>
      </c>
      <c r="AD2317" s="217" t="s">
        <v>334</v>
      </c>
      <c r="AE2317" s="217" t="s">
        <v>334</v>
      </c>
    </row>
    <row r="2318" spans="28:31">
      <c r="AB2318" s="231" t="s">
        <v>2707</v>
      </c>
      <c r="AC2318" s="217" t="s">
        <v>333</v>
      </c>
      <c r="AD2318" s="217" t="s">
        <v>334</v>
      </c>
      <c r="AE2318" s="217" t="s">
        <v>334</v>
      </c>
    </row>
    <row r="2319" spans="28:31">
      <c r="AB2319" s="231" t="s">
        <v>2708</v>
      </c>
      <c r="AC2319" s="217" t="s">
        <v>333</v>
      </c>
      <c r="AD2319" s="217" t="s">
        <v>334</v>
      </c>
      <c r="AE2319" s="217" t="s">
        <v>334</v>
      </c>
    </row>
    <row r="2320" spans="28:31">
      <c r="AB2320" s="231" t="s">
        <v>2709</v>
      </c>
      <c r="AC2320" s="217" t="s">
        <v>333</v>
      </c>
      <c r="AD2320" s="217" t="s">
        <v>334</v>
      </c>
      <c r="AE2320" s="217" t="s">
        <v>334</v>
      </c>
    </row>
    <row r="2321" spans="28:31">
      <c r="AB2321" s="231" t="s">
        <v>2710</v>
      </c>
      <c r="AC2321" s="217" t="s">
        <v>333</v>
      </c>
      <c r="AD2321" s="217" t="s">
        <v>334</v>
      </c>
      <c r="AE2321" s="217" t="s">
        <v>334</v>
      </c>
    </row>
    <row r="2322" spans="28:31">
      <c r="AB2322" s="231" t="s">
        <v>2711</v>
      </c>
      <c r="AC2322" s="217" t="s">
        <v>333</v>
      </c>
      <c r="AD2322" s="217" t="s">
        <v>334</v>
      </c>
      <c r="AE2322" s="217" t="s">
        <v>334</v>
      </c>
    </row>
    <row r="2323" spans="28:31">
      <c r="AB2323" s="231" t="s">
        <v>2712</v>
      </c>
      <c r="AC2323" s="217" t="s">
        <v>333</v>
      </c>
      <c r="AD2323" s="217" t="s">
        <v>334</v>
      </c>
      <c r="AE2323" s="217" t="s">
        <v>334</v>
      </c>
    </row>
    <row r="2324" spans="28:31">
      <c r="AB2324" s="231" t="s">
        <v>2713</v>
      </c>
      <c r="AC2324" s="217" t="s">
        <v>333</v>
      </c>
      <c r="AD2324" s="217" t="s">
        <v>334</v>
      </c>
      <c r="AE2324" s="217" t="s">
        <v>334</v>
      </c>
    </row>
    <row r="2325" spans="28:31">
      <c r="AB2325" s="231" t="s">
        <v>2714</v>
      </c>
      <c r="AC2325" s="217" t="s">
        <v>333</v>
      </c>
      <c r="AD2325" s="217" t="s">
        <v>334</v>
      </c>
      <c r="AE2325" s="217" t="s">
        <v>334</v>
      </c>
    </row>
    <row r="2326" spans="28:31">
      <c r="AB2326" s="231" t="s">
        <v>2715</v>
      </c>
      <c r="AC2326" s="217" t="s">
        <v>333</v>
      </c>
      <c r="AD2326" s="217" t="s">
        <v>334</v>
      </c>
      <c r="AE2326" s="217" t="s">
        <v>334</v>
      </c>
    </row>
    <row r="2327" spans="28:31">
      <c r="AB2327" s="231" t="s">
        <v>2716</v>
      </c>
      <c r="AC2327" s="217" t="s">
        <v>333</v>
      </c>
      <c r="AD2327" s="217" t="s">
        <v>334</v>
      </c>
      <c r="AE2327" s="217" t="s">
        <v>334</v>
      </c>
    </row>
    <row r="2328" spans="28:31">
      <c r="AB2328" s="231" t="s">
        <v>2717</v>
      </c>
      <c r="AC2328" s="217" t="s">
        <v>333</v>
      </c>
      <c r="AD2328" s="217" t="s">
        <v>334</v>
      </c>
      <c r="AE2328" s="217" t="s">
        <v>334</v>
      </c>
    </row>
    <row r="2329" spans="28:31">
      <c r="AB2329" s="231" t="s">
        <v>2718</v>
      </c>
      <c r="AC2329" s="217" t="s">
        <v>333</v>
      </c>
      <c r="AD2329" s="217" t="s">
        <v>334</v>
      </c>
      <c r="AE2329" s="217" t="s">
        <v>334</v>
      </c>
    </row>
    <row r="2330" spans="28:31">
      <c r="AB2330" s="231" t="s">
        <v>2719</v>
      </c>
      <c r="AC2330" s="217" t="s">
        <v>333</v>
      </c>
      <c r="AD2330" s="217" t="s">
        <v>334</v>
      </c>
      <c r="AE2330" s="217" t="s">
        <v>334</v>
      </c>
    </row>
    <row r="2331" spans="28:31">
      <c r="AB2331" s="231" t="s">
        <v>2720</v>
      </c>
      <c r="AC2331" s="217" t="s">
        <v>333</v>
      </c>
      <c r="AD2331" s="217" t="s">
        <v>334</v>
      </c>
      <c r="AE2331" s="217" t="s">
        <v>334</v>
      </c>
    </row>
    <row r="2332" spans="28:31">
      <c r="AB2332" s="231" t="s">
        <v>2721</v>
      </c>
      <c r="AC2332" s="217" t="s">
        <v>333</v>
      </c>
      <c r="AD2332" s="217" t="s">
        <v>334</v>
      </c>
      <c r="AE2332" s="217" t="s">
        <v>334</v>
      </c>
    </row>
    <row r="2333" spans="28:31">
      <c r="AB2333" s="231" t="s">
        <v>2722</v>
      </c>
      <c r="AC2333" s="217" t="s">
        <v>333</v>
      </c>
      <c r="AD2333" s="217" t="s">
        <v>334</v>
      </c>
      <c r="AE2333" s="217" t="s">
        <v>334</v>
      </c>
    </row>
    <row r="2334" spans="28:31">
      <c r="AB2334" s="231" t="s">
        <v>2723</v>
      </c>
      <c r="AC2334" s="217" t="s">
        <v>333</v>
      </c>
      <c r="AD2334" s="217" t="s">
        <v>334</v>
      </c>
      <c r="AE2334" s="217" t="s">
        <v>334</v>
      </c>
    </row>
    <row r="2335" spans="28:31">
      <c r="AB2335" s="231" t="s">
        <v>2724</v>
      </c>
      <c r="AC2335" s="217" t="s">
        <v>333</v>
      </c>
      <c r="AD2335" s="217" t="s">
        <v>334</v>
      </c>
      <c r="AE2335" s="217" t="s">
        <v>334</v>
      </c>
    </row>
    <row r="2336" spans="28:31">
      <c r="AB2336" s="231" t="s">
        <v>2725</v>
      </c>
      <c r="AC2336" s="217" t="s">
        <v>333</v>
      </c>
      <c r="AD2336" s="217" t="s">
        <v>334</v>
      </c>
      <c r="AE2336" s="217" t="s">
        <v>334</v>
      </c>
    </row>
    <row r="2337" spans="28:31">
      <c r="AB2337" s="231" t="s">
        <v>2726</v>
      </c>
      <c r="AC2337" s="217" t="s">
        <v>333</v>
      </c>
      <c r="AD2337" s="217" t="s">
        <v>334</v>
      </c>
      <c r="AE2337" s="217" t="s">
        <v>334</v>
      </c>
    </row>
    <row r="2338" spans="28:31">
      <c r="AB2338" s="231" t="s">
        <v>2727</v>
      </c>
      <c r="AC2338" s="217" t="s">
        <v>333</v>
      </c>
      <c r="AD2338" s="217" t="s">
        <v>334</v>
      </c>
      <c r="AE2338" s="217" t="s">
        <v>334</v>
      </c>
    </row>
    <row r="2339" spans="28:31">
      <c r="AB2339" s="231" t="s">
        <v>2728</v>
      </c>
      <c r="AC2339" s="217" t="s">
        <v>333</v>
      </c>
      <c r="AD2339" s="217" t="s">
        <v>334</v>
      </c>
      <c r="AE2339" s="217" t="s">
        <v>334</v>
      </c>
    </row>
    <row r="2340" spans="28:31">
      <c r="AB2340" s="231" t="s">
        <v>2729</v>
      </c>
      <c r="AC2340" s="217" t="s">
        <v>333</v>
      </c>
      <c r="AD2340" s="217" t="s">
        <v>334</v>
      </c>
      <c r="AE2340" s="217" t="s">
        <v>334</v>
      </c>
    </row>
    <row r="2341" spans="28:31">
      <c r="AB2341" s="231" t="s">
        <v>2730</v>
      </c>
      <c r="AC2341" s="217" t="s">
        <v>333</v>
      </c>
      <c r="AD2341" s="217" t="s">
        <v>334</v>
      </c>
      <c r="AE2341" s="217" t="s">
        <v>334</v>
      </c>
    </row>
    <row r="2342" spans="28:31">
      <c r="AB2342" s="231" t="s">
        <v>2731</v>
      </c>
      <c r="AC2342" s="217" t="s">
        <v>333</v>
      </c>
      <c r="AD2342" s="217" t="s">
        <v>334</v>
      </c>
      <c r="AE2342" s="217" t="s">
        <v>334</v>
      </c>
    </row>
    <row r="2343" spans="28:31">
      <c r="AB2343" s="231" t="s">
        <v>2732</v>
      </c>
      <c r="AC2343" s="217" t="s">
        <v>333</v>
      </c>
      <c r="AD2343" s="217" t="s">
        <v>334</v>
      </c>
      <c r="AE2343" s="217" t="s">
        <v>334</v>
      </c>
    </row>
    <row r="2344" spans="28:31">
      <c r="AB2344" s="231" t="s">
        <v>2733</v>
      </c>
      <c r="AC2344" s="217" t="s">
        <v>333</v>
      </c>
      <c r="AD2344" s="217" t="s">
        <v>334</v>
      </c>
      <c r="AE2344" s="217" t="s">
        <v>334</v>
      </c>
    </row>
    <row r="2345" spans="28:31">
      <c r="AB2345" s="231" t="s">
        <v>2734</v>
      </c>
      <c r="AC2345" s="217" t="s">
        <v>333</v>
      </c>
      <c r="AD2345" s="217" t="s">
        <v>334</v>
      </c>
      <c r="AE2345" s="217" t="s">
        <v>334</v>
      </c>
    </row>
    <row r="2346" spans="28:31">
      <c r="AB2346" s="231" t="s">
        <v>2735</v>
      </c>
      <c r="AC2346" s="217" t="s">
        <v>333</v>
      </c>
      <c r="AD2346" s="217" t="s">
        <v>334</v>
      </c>
      <c r="AE2346" s="217" t="s">
        <v>334</v>
      </c>
    </row>
    <row r="2347" spans="28:31">
      <c r="AB2347" s="231" t="s">
        <v>2736</v>
      </c>
      <c r="AC2347" s="217" t="s">
        <v>333</v>
      </c>
      <c r="AD2347" s="217" t="s">
        <v>334</v>
      </c>
      <c r="AE2347" s="217" t="s">
        <v>334</v>
      </c>
    </row>
    <row r="2348" spans="28:31">
      <c r="AB2348" s="231" t="s">
        <v>2737</v>
      </c>
      <c r="AC2348" s="217" t="s">
        <v>333</v>
      </c>
      <c r="AD2348" s="217" t="s">
        <v>334</v>
      </c>
      <c r="AE2348" s="217" t="s">
        <v>334</v>
      </c>
    </row>
    <row r="2349" spans="28:31">
      <c r="AB2349" s="231" t="s">
        <v>2738</v>
      </c>
      <c r="AC2349" s="217" t="s">
        <v>333</v>
      </c>
      <c r="AD2349" s="217" t="s">
        <v>334</v>
      </c>
      <c r="AE2349" s="217" t="s">
        <v>334</v>
      </c>
    </row>
    <row r="2350" spans="28:31">
      <c r="AB2350" s="231" t="s">
        <v>2739</v>
      </c>
      <c r="AC2350" s="217" t="s">
        <v>333</v>
      </c>
      <c r="AD2350" s="217" t="s">
        <v>334</v>
      </c>
      <c r="AE2350" s="217" t="s">
        <v>334</v>
      </c>
    </row>
    <row r="2351" spans="28:31">
      <c r="AB2351" s="231" t="s">
        <v>2740</v>
      </c>
      <c r="AC2351" s="217" t="s">
        <v>333</v>
      </c>
      <c r="AD2351" s="217" t="s">
        <v>334</v>
      </c>
      <c r="AE2351" s="217" t="s">
        <v>334</v>
      </c>
    </row>
    <row r="2352" spans="28:31">
      <c r="AB2352" s="231" t="s">
        <v>2741</v>
      </c>
      <c r="AC2352" s="217" t="s">
        <v>333</v>
      </c>
      <c r="AD2352" s="217" t="s">
        <v>334</v>
      </c>
      <c r="AE2352" s="217" t="s">
        <v>334</v>
      </c>
    </row>
    <row r="2353" spans="28:31">
      <c r="AB2353" s="231" t="s">
        <v>2742</v>
      </c>
      <c r="AC2353" s="217" t="s">
        <v>333</v>
      </c>
      <c r="AD2353" s="217" t="s">
        <v>334</v>
      </c>
      <c r="AE2353" s="217" t="s">
        <v>334</v>
      </c>
    </row>
    <row r="2354" spans="28:31">
      <c r="AB2354" s="231" t="s">
        <v>2743</v>
      </c>
      <c r="AC2354" s="217" t="s">
        <v>333</v>
      </c>
      <c r="AD2354" s="217" t="s">
        <v>334</v>
      </c>
      <c r="AE2354" s="217" t="s">
        <v>334</v>
      </c>
    </row>
    <row r="2355" spans="28:31">
      <c r="AB2355" s="231" t="s">
        <v>2744</v>
      </c>
      <c r="AC2355" s="217" t="s">
        <v>333</v>
      </c>
      <c r="AD2355" s="217" t="s">
        <v>334</v>
      </c>
      <c r="AE2355" s="217" t="s">
        <v>334</v>
      </c>
    </row>
    <row r="2356" spans="28:31">
      <c r="AB2356" s="231" t="s">
        <v>2745</v>
      </c>
      <c r="AC2356" s="217" t="s">
        <v>333</v>
      </c>
      <c r="AD2356" s="217" t="s">
        <v>334</v>
      </c>
      <c r="AE2356" s="217" t="s">
        <v>334</v>
      </c>
    </row>
    <row r="2357" spans="28:31">
      <c r="AB2357" s="231" t="s">
        <v>2746</v>
      </c>
      <c r="AC2357" s="217" t="s">
        <v>333</v>
      </c>
      <c r="AD2357" s="217" t="s">
        <v>334</v>
      </c>
      <c r="AE2357" s="217" t="s">
        <v>334</v>
      </c>
    </row>
    <row r="2358" spans="28:31">
      <c r="AB2358" s="231" t="s">
        <v>2747</v>
      </c>
      <c r="AC2358" s="217" t="s">
        <v>333</v>
      </c>
      <c r="AD2358" s="217" t="s">
        <v>334</v>
      </c>
      <c r="AE2358" s="217" t="s">
        <v>334</v>
      </c>
    </row>
    <row r="2359" spans="28:31">
      <c r="AB2359" s="231" t="s">
        <v>2748</v>
      </c>
      <c r="AC2359" s="217" t="s">
        <v>333</v>
      </c>
      <c r="AD2359" s="217" t="s">
        <v>334</v>
      </c>
      <c r="AE2359" s="217" t="s">
        <v>334</v>
      </c>
    </row>
    <row r="2360" spans="28:31">
      <c r="AB2360" s="231" t="s">
        <v>2749</v>
      </c>
      <c r="AC2360" s="217" t="s">
        <v>333</v>
      </c>
      <c r="AD2360" s="217" t="s">
        <v>334</v>
      </c>
      <c r="AE2360" s="217" t="s">
        <v>334</v>
      </c>
    </row>
    <row r="2361" spans="28:31">
      <c r="AB2361" s="231" t="s">
        <v>2750</v>
      </c>
      <c r="AC2361" s="217" t="s">
        <v>333</v>
      </c>
      <c r="AD2361" s="217" t="s">
        <v>334</v>
      </c>
      <c r="AE2361" s="217" t="s">
        <v>334</v>
      </c>
    </row>
    <row r="2362" spans="28:31">
      <c r="AB2362" s="231" t="s">
        <v>2751</v>
      </c>
      <c r="AC2362" s="217" t="s">
        <v>333</v>
      </c>
      <c r="AD2362" s="217" t="s">
        <v>334</v>
      </c>
      <c r="AE2362" s="217" t="s">
        <v>334</v>
      </c>
    </row>
    <row r="2363" spans="28:31">
      <c r="AB2363" s="231" t="s">
        <v>2752</v>
      </c>
      <c r="AC2363" s="217" t="s">
        <v>333</v>
      </c>
      <c r="AD2363" s="217" t="s">
        <v>334</v>
      </c>
      <c r="AE2363" s="217" t="s">
        <v>334</v>
      </c>
    </row>
    <row r="2364" spans="28:31">
      <c r="AB2364" s="231" t="s">
        <v>2753</v>
      </c>
      <c r="AC2364" s="217" t="s">
        <v>333</v>
      </c>
      <c r="AD2364" s="217" t="s">
        <v>334</v>
      </c>
      <c r="AE2364" s="217" t="s">
        <v>334</v>
      </c>
    </row>
    <row r="2365" spans="28:31">
      <c r="AB2365" s="231" t="s">
        <v>2754</v>
      </c>
      <c r="AC2365" s="217" t="s">
        <v>333</v>
      </c>
      <c r="AD2365" s="217" t="s">
        <v>334</v>
      </c>
      <c r="AE2365" s="217" t="s">
        <v>334</v>
      </c>
    </row>
    <row r="2366" spans="28:31">
      <c r="AB2366" s="231" t="s">
        <v>2755</v>
      </c>
      <c r="AC2366" s="217" t="s">
        <v>333</v>
      </c>
      <c r="AD2366" s="217" t="s">
        <v>334</v>
      </c>
      <c r="AE2366" s="217" t="s">
        <v>334</v>
      </c>
    </row>
    <row r="2367" spans="28:31">
      <c r="AB2367" s="231" t="s">
        <v>2756</v>
      </c>
      <c r="AC2367" s="217" t="s">
        <v>333</v>
      </c>
      <c r="AD2367" s="217" t="s">
        <v>334</v>
      </c>
      <c r="AE2367" s="217" t="s">
        <v>334</v>
      </c>
    </row>
    <row r="2368" spans="28:31">
      <c r="AB2368" s="231" t="s">
        <v>2757</v>
      </c>
      <c r="AC2368" s="217" t="s">
        <v>333</v>
      </c>
      <c r="AD2368" s="217" t="s">
        <v>334</v>
      </c>
      <c r="AE2368" s="217" t="s">
        <v>334</v>
      </c>
    </row>
    <row r="2369" spans="28:31">
      <c r="AB2369" s="231" t="s">
        <v>2758</v>
      </c>
      <c r="AC2369" s="217" t="s">
        <v>333</v>
      </c>
      <c r="AD2369" s="217" t="s">
        <v>334</v>
      </c>
      <c r="AE2369" s="217" t="s">
        <v>334</v>
      </c>
    </row>
    <row r="2370" spans="28:31">
      <c r="AB2370" s="231" t="s">
        <v>2759</v>
      </c>
      <c r="AC2370" s="217" t="s">
        <v>333</v>
      </c>
      <c r="AD2370" s="217" t="s">
        <v>334</v>
      </c>
      <c r="AE2370" s="217" t="s">
        <v>334</v>
      </c>
    </row>
    <row r="2371" spans="28:31">
      <c r="AB2371" s="231" t="s">
        <v>2760</v>
      </c>
      <c r="AC2371" s="217" t="s">
        <v>333</v>
      </c>
      <c r="AD2371" s="217" t="s">
        <v>334</v>
      </c>
      <c r="AE2371" s="217" t="s">
        <v>334</v>
      </c>
    </row>
    <row r="2372" spans="28:31">
      <c r="AB2372" s="231" t="s">
        <v>2761</v>
      </c>
      <c r="AC2372" s="217" t="s">
        <v>333</v>
      </c>
      <c r="AD2372" s="217" t="s">
        <v>334</v>
      </c>
      <c r="AE2372" s="217" t="s">
        <v>334</v>
      </c>
    </row>
    <row r="2373" spans="28:31">
      <c r="AB2373" s="231" t="s">
        <v>2762</v>
      </c>
      <c r="AC2373" s="217" t="s">
        <v>333</v>
      </c>
      <c r="AD2373" s="217" t="s">
        <v>334</v>
      </c>
      <c r="AE2373" s="217" t="s">
        <v>334</v>
      </c>
    </row>
    <row r="2374" spans="28:31">
      <c r="AB2374" s="231" t="s">
        <v>2763</v>
      </c>
      <c r="AC2374" s="217" t="s">
        <v>333</v>
      </c>
      <c r="AD2374" s="217" t="s">
        <v>334</v>
      </c>
      <c r="AE2374" s="217" t="s">
        <v>334</v>
      </c>
    </row>
    <row r="2375" spans="28:31">
      <c r="AB2375" s="231" t="s">
        <v>2764</v>
      </c>
      <c r="AC2375" s="217" t="s">
        <v>333</v>
      </c>
      <c r="AD2375" s="217" t="s">
        <v>334</v>
      </c>
      <c r="AE2375" s="217" t="s">
        <v>334</v>
      </c>
    </row>
    <row r="2376" spans="28:31">
      <c r="AB2376" s="231" t="s">
        <v>2765</v>
      </c>
      <c r="AC2376" s="217" t="s">
        <v>333</v>
      </c>
      <c r="AD2376" s="217" t="s">
        <v>334</v>
      </c>
      <c r="AE2376" s="217" t="s">
        <v>334</v>
      </c>
    </row>
    <row r="2377" spans="28:31">
      <c r="AB2377" s="231" t="s">
        <v>2766</v>
      </c>
      <c r="AC2377" s="217" t="s">
        <v>333</v>
      </c>
      <c r="AD2377" s="217" t="s">
        <v>334</v>
      </c>
      <c r="AE2377" s="217" t="s">
        <v>334</v>
      </c>
    </row>
    <row r="2378" spans="28:31">
      <c r="AB2378" s="231" t="s">
        <v>2767</v>
      </c>
      <c r="AC2378" s="217" t="s">
        <v>333</v>
      </c>
      <c r="AD2378" s="217" t="s">
        <v>334</v>
      </c>
      <c r="AE2378" s="217" t="s">
        <v>334</v>
      </c>
    </row>
    <row r="2379" spans="28:31">
      <c r="AB2379" s="231" t="s">
        <v>2768</v>
      </c>
      <c r="AC2379" s="217" t="s">
        <v>333</v>
      </c>
      <c r="AD2379" s="217" t="s">
        <v>334</v>
      </c>
      <c r="AE2379" s="217" t="s">
        <v>334</v>
      </c>
    </row>
    <row r="2380" spans="28:31">
      <c r="AB2380" s="231" t="s">
        <v>2769</v>
      </c>
      <c r="AC2380" s="217" t="s">
        <v>333</v>
      </c>
      <c r="AD2380" s="217" t="s">
        <v>334</v>
      </c>
      <c r="AE2380" s="217" t="s">
        <v>334</v>
      </c>
    </row>
    <row r="2381" spans="28:31">
      <c r="AB2381" s="231" t="s">
        <v>2770</v>
      </c>
      <c r="AC2381" s="217" t="s">
        <v>333</v>
      </c>
      <c r="AD2381" s="217" t="s">
        <v>334</v>
      </c>
      <c r="AE2381" s="217" t="s">
        <v>334</v>
      </c>
    </row>
    <row r="2382" spans="28:31">
      <c r="AB2382" s="231" t="s">
        <v>2771</v>
      </c>
      <c r="AC2382" s="217" t="s">
        <v>333</v>
      </c>
      <c r="AD2382" s="217" t="s">
        <v>334</v>
      </c>
      <c r="AE2382" s="217" t="s">
        <v>334</v>
      </c>
    </row>
    <row r="2383" spans="28:31">
      <c r="AB2383" s="231" t="s">
        <v>2772</v>
      </c>
      <c r="AC2383" s="217" t="s">
        <v>333</v>
      </c>
      <c r="AD2383" s="217" t="s">
        <v>334</v>
      </c>
      <c r="AE2383" s="217" t="s">
        <v>334</v>
      </c>
    </row>
    <row r="2384" spans="28:31">
      <c r="AB2384" s="231" t="s">
        <v>2773</v>
      </c>
      <c r="AC2384" s="217" t="s">
        <v>333</v>
      </c>
      <c r="AD2384" s="217" t="s">
        <v>334</v>
      </c>
      <c r="AE2384" s="217" t="s">
        <v>334</v>
      </c>
    </row>
    <row r="2385" spans="28:31">
      <c r="AB2385" s="231" t="s">
        <v>2774</v>
      </c>
      <c r="AC2385" s="217" t="s">
        <v>333</v>
      </c>
      <c r="AD2385" s="217" t="s">
        <v>334</v>
      </c>
      <c r="AE2385" s="217" t="s">
        <v>334</v>
      </c>
    </row>
    <row r="2386" spans="28:31">
      <c r="AB2386" s="231" t="s">
        <v>2775</v>
      </c>
      <c r="AC2386" s="217" t="s">
        <v>333</v>
      </c>
      <c r="AD2386" s="217" t="s">
        <v>334</v>
      </c>
      <c r="AE2386" s="217" t="s">
        <v>334</v>
      </c>
    </row>
    <row r="2387" spans="28:31">
      <c r="AB2387" s="231" t="s">
        <v>2776</v>
      </c>
      <c r="AC2387" s="217" t="s">
        <v>333</v>
      </c>
      <c r="AD2387" s="217" t="s">
        <v>334</v>
      </c>
      <c r="AE2387" s="217" t="s">
        <v>334</v>
      </c>
    </row>
    <row r="2388" spans="28:31">
      <c r="AB2388" s="231" t="s">
        <v>2777</v>
      </c>
      <c r="AC2388" s="217" t="s">
        <v>333</v>
      </c>
      <c r="AD2388" s="217" t="s">
        <v>334</v>
      </c>
      <c r="AE2388" s="217" t="s">
        <v>334</v>
      </c>
    </row>
    <row r="2389" spans="28:31">
      <c r="AB2389" s="231" t="s">
        <v>2778</v>
      </c>
      <c r="AC2389" s="217" t="s">
        <v>333</v>
      </c>
      <c r="AD2389" s="217" t="s">
        <v>334</v>
      </c>
      <c r="AE2389" s="217" t="s">
        <v>334</v>
      </c>
    </row>
    <row r="2390" spans="28:31">
      <c r="AB2390" s="231" t="s">
        <v>2779</v>
      </c>
      <c r="AC2390" s="217" t="s">
        <v>333</v>
      </c>
      <c r="AD2390" s="217" t="s">
        <v>334</v>
      </c>
      <c r="AE2390" s="217" t="s">
        <v>334</v>
      </c>
    </row>
    <row r="2391" spans="28:31">
      <c r="AB2391" s="231" t="s">
        <v>2780</v>
      </c>
      <c r="AC2391" s="217" t="s">
        <v>333</v>
      </c>
      <c r="AD2391" s="217" t="s">
        <v>334</v>
      </c>
      <c r="AE2391" s="217" t="s">
        <v>334</v>
      </c>
    </row>
    <row r="2392" spans="28:31">
      <c r="AB2392" s="231" t="s">
        <v>2781</v>
      </c>
      <c r="AC2392" s="217" t="s">
        <v>333</v>
      </c>
      <c r="AD2392" s="217" t="s">
        <v>334</v>
      </c>
      <c r="AE2392" s="217" t="s">
        <v>334</v>
      </c>
    </row>
    <row r="2393" spans="28:31">
      <c r="AB2393" s="231" t="s">
        <v>2782</v>
      </c>
      <c r="AC2393" s="217" t="s">
        <v>333</v>
      </c>
      <c r="AD2393" s="217" t="s">
        <v>334</v>
      </c>
      <c r="AE2393" s="217" t="s">
        <v>334</v>
      </c>
    </row>
    <row r="2394" spans="28:31">
      <c r="AB2394" s="231" t="s">
        <v>2783</v>
      </c>
      <c r="AC2394" s="217" t="s">
        <v>333</v>
      </c>
      <c r="AD2394" s="217" t="s">
        <v>334</v>
      </c>
      <c r="AE2394" s="217" t="s">
        <v>334</v>
      </c>
    </row>
    <row r="2395" spans="28:31">
      <c r="AB2395" s="231" t="s">
        <v>2784</v>
      </c>
      <c r="AC2395" s="217" t="s">
        <v>333</v>
      </c>
      <c r="AD2395" s="217" t="s">
        <v>334</v>
      </c>
      <c r="AE2395" s="217" t="s">
        <v>334</v>
      </c>
    </row>
    <row r="2396" spans="28:31">
      <c r="AB2396" s="231" t="s">
        <v>2785</v>
      </c>
      <c r="AC2396" s="217" t="s">
        <v>333</v>
      </c>
      <c r="AD2396" s="217" t="s">
        <v>334</v>
      </c>
      <c r="AE2396" s="217" t="s">
        <v>334</v>
      </c>
    </row>
    <row r="2397" spans="28:31">
      <c r="AB2397" s="231" t="s">
        <v>2786</v>
      </c>
      <c r="AC2397" s="217" t="s">
        <v>333</v>
      </c>
      <c r="AD2397" s="217" t="s">
        <v>334</v>
      </c>
      <c r="AE2397" s="217" t="s">
        <v>334</v>
      </c>
    </row>
    <row r="2398" spans="28:31">
      <c r="AB2398" s="231" t="s">
        <v>2787</v>
      </c>
      <c r="AC2398" s="217" t="s">
        <v>333</v>
      </c>
      <c r="AD2398" s="217" t="s">
        <v>334</v>
      </c>
      <c r="AE2398" s="217" t="s">
        <v>334</v>
      </c>
    </row>
    <row r="2399" spans="28:31">
      <c r="AB2399" s="231" t="s">
        <v>2788</v>
      </c>
      <c r="AC2399" s="217" t="s">
        <v>333</v>
      </c>
      <c r="AD2399" s="217" t="s">
        <v>334</v>
      </c>
      <c r="AE2399" s="217" t="s">
        <v>334</v>
      </c>
    </row>
    <row r="2400" spans="28:31">
      <c r="AB2400" s="231" t="s">
        <v>2789</v>
      </c>
      <c r="AC2400" s="217" t="s">
        <v>333</v>
      </c>
      <c r="AD2400" s="217" t="s">
        <v>334</v>
      </c>
      <c r="AE2400" s="217" t="s">
        <v>334</v>
      </c>
    </row>
    <row r="2401" spans="28:31">
      <c r="AB2401" s="231" t="s">
        <v>2790</v>
      </c>
      <c r="AC2401" s="217" t="s">
        <v>333</v>
      </c>
      <c r="AD2401" s="217" t="s">
        <v>334</v>
      </c>
      <c r="AE2401" s="217" t="s">
        <v>334</v>
      </c>
    </row>
    <row r="2402" spans="28:31">
      <c r="AB2402" s="231" t="s">
        <v>2791</v>
      </c>
      <c r="AC2402" s="217" t="s">
        <v>333</v>
      </c>
      <c r="AD2402" s="217" t="s">
        <v>334</v>
      </c>
      <c r="AE2402" s="217" t="s">
        <v>334</v>
      </c>
    </row>
    <row r="2403" spans="28:31">
      <c r="AB2403" s="231" t="s">
        <v>2792</v>
      </c>
      <c r="AC2403" s="217" t="s">
        <v>333</v>
      </c>
      <c r="AD2403" s="217" t="s">
        <v>334</v>
      </c>
      <c r="AE2403" s="217" t="s">
        <v>334</v>
      </c>
    </row>
    <row r="2404" spans="28:31">
      <c r="AB2404" s="231" t="s">
        <v>2793</v>
      </c>
      <c r="AC2404" s="217" t="s">
        <v>333</v>
      </c>
      <c r="AD2404" s="217" t="s">
        <v>334</v>
      </c>
      <c r="AE2404" s="217" t="s">
        <v>334</v>
      </c>
    </row>
    <row r="2405" spans="28:31">
      <c r="AB2405" s="231" t="s">
        <v>2794</v>
      </c>
      <c r="AC2405" s="217" t="s">
        <v>333</v>
      </c>
      <c r="AD2405" s="217" t="s">
        <v>334</v>
      </c>
      <c r="AE2405" s="217" t="s">
        <v>334</v>
      </c>
    </row>
    <row r="2406" spans="28:31">
      <c r="AB2406" s="231" t="s">
        <v>2795</v>
      </c>
      <c r="AC2406" s="217" t="s">
        <v>333</v>
      </c>
      <c r="AD2406" s="217" t="s">
        <v>334</v>
      </c>
      <c r="AE2406" s="217" t="s">
        <v>334</v>
      </c>
    </row>
    <row r="2407" spans="28:31">
      <c r="AB2407" s="231" t="s">
        <v>2796</v>
      </c>
      <c r="AC2407" s="217" t="s">
        <v>333</v>
      </c>
      <c r="AD2407" s="217" t="s">
        <v>334</v>
      </c>
      <c r="AE2407" s="217" t="s">
        <v>334</v>
      </c>
    </row>
    <row r="2408" spans="28:31">
      <c r="AB2408" s="231" t="s">
        <v>2797</v>
      </c>
      <c r="AC2408" s="217" t="s">
        <v>333</v>
      </c>
      <c r="AD2408" s="217" t="s">
        <v>334</v>
      </c>
      <c r="AE2408" s="217" t="s">
        <v>334</v>
      </c>
    </row>
    <row r="2409" spans="28:31">
      <c r="AB2409" s="231" t="s">
        <v>2798</v>
      </c>
      <c r="AC2409" s="217" t="s">
        <v>333</v>
      </c>
      <c r="AD2409" s="217" t="s">
        <v>334</v>
      </c>
      <c r="AE2409" s="217" t="s">
        <v>334</v>
      </c>
    </row>
    <row r="2410" spans="28:31">
      <c r="AB2410" s="231" t="s">
        <v>2799</v>
      </c>
      <c r="AC2410" s="217" t="s">
        <v>333</v>
      </c>
      <c r="AD2410" s="217" t="s">
        <v>334</v>
      </c>
      <c r="AE2410" s="217" t="s">
        <v>334</v>
      </c>
    </row>
    <row r="2411" spans="28:31">
      <c r="AB2411" s="231" t="s">
        <v>2800</v>
      </c>
      <c r="AC2411" s="217" t="s">
        <v>333</v>
      </c>
      <c r="AD2411" s="217" t="s">
        <v>334</v>
      </c>
      <c r="AE2411" s="217" t="s">
        <v>334</v>
      </c>
    </row>
    <row r="2412" spans="28:31">
      <c r="AB2412" s="231" t="s">
        <v>2801</v>
      </c>
      <c r="AC2412" s="217" t="s">
        <v>333</v>
      </c>
      <c r="AD2412" s="217" t="s">
        <v>334</v>
      </c>
      <c r="AE2412" s="217" t="s">
        <v>334</v>
      </c>
    </row>
    <row r="2413" spans="28:31">
      <c r="AB2413" s="231" t="s">
        <v>2802</v>
      </c>
      <c r="AC2413" s="217" t="s">
        <v>333</v>
      </c>
      <c r="AD2413" s="217" t="s">
        <v>334</v>
      </c>
      <c r="AE2413" s="217" t="s">
        <v>334</v>
      </c>
    </row>
    <row r="2414" spans="28:31">
      <c r="AB2414" s="231" t="s">
        <v>2803</v>
      </c>
      <c r="AC2414" s="217" t="s">
        <v>333</v>
      </c>
      <c r="AD2414" s="217" t="s">
        <v>334</v>
      </c>
      <c r="AE2414" s="217" t="s">
        <v>334</v>
      </c>
    </row>
    <row r="2415" spans="28:31">
      <c r="AB2415" s="231" t="s">
        <v>2804</v>
      </c>
      <c r="AC2415" s="217" t="s">
        <v>333</v>
      </c>
      <c r="AD2415" s="217" t="s">
        <v>334</v>
      </c>
      <c r="AE2415" s="217" t="s">
        <v>334</v>
      </c>
    </row>
    <row r="2416" spans="28:31">
      <c r="AB2416" s="231" t="s">
        <v>2805</v>
      </c>
      <c r="AC2416" s="217" t="s">
        <v>333</v>
      </c>
      <c r="AD2416" s="217" t="s">
        <v>334</v>
      </c>
      <c r="AE2416" s="217" t="s">
        <v>334</v>
      </c>
    </row>
    <row r="2417" spans="28:31">
      <c r="AB2417" s="231" t="s">
        <v>2806</v>
      </c>
      <c r="AC2417" s="217" t="s">
        <v>333</v>
      </c>
      <c r="AD2417" s="217" t="s">
        <v>334</v>
      </c>
      <c r="AE2417" s="217" t="s">
        <v>334</v>
      </c>
    </row>
    <row r="2418" spans="28:31">
      <c r="AB2418" s="231" t="s">
        <v>2807</v>
      </c>
      <c r="AC2418" s="217" t="s">
        <v>333</v>
      </c>
      <c r="AD2418" s="217" t="s">
        <v>334</v>
      </c>
      <c r="AE2418" s="217" t="s">
        <v>334</v>
      </c>
    </row>
    <row r="2419" spans="28:31">
      <c r="AB2419" s="231" t="s">
        <v>2808</v>
      </c>
      <c r="AC2419" s="217" t="s">
        <v>333</v>
      </c>
      <c r="AD2419" s="217" t="s">
        <v>334</v>
      </c>
      <c r="AE2419" s="217" t="s">
        <v>334</v>
      </c>
    </row>
    <row r="2420" spans="28:31">
      <c r="AB2420" s="231" t="s">
        <v>2809</v>
      </c>
      <c r="AC2420" s="217" t="s">
        <v>333</v>
      </c>
      <c r="AD2420" s="217" t="s">
        <v>334</v>
      </c>
      <c r="AE2420" s="217" t="s">
        <v>334</v>
      </c>
    </row>
    <row r="2421" spans="28:31">
      <c r="AB2421" s="231" t="s">
        <v>2810</v>
      </c>
      <c r="AC2421" s="217" t="s">
        <v>333</v>
      </c>
      <c r="AD2421" s="217" t="s">
        <v>334</v>
      </c>
      <c r="AE2421" s="217" t="s">
        <v>334</v>
      </c>
    </row>
    <row r="2422" spans="28:31">
      <c r="AB2422" s="231" t="s">
        <v>2811</v>
      </c>
      <c r="AC2422" s="217" t="s">
        <v>333</v>
      </c>
      <c r="AD2422" s="217" t="s">
        <v>334</v>
      </c>
      <c r="AE2422" s="217" t="s">
        <v>334</v>
      </c>
    </row>
    <row r="2423" spans="28:31">
      <c r="AB2423" s="231" t="s">
        <v>2812</v>
      </c>
      <c r="AC2423" s="217" t="s">
        <v>333</v>
      </c>
      <c r="AD2423" s="217" t="s">
        <v>334</v>
      </c>
      <c r="AE2423" s="217" t="s">
        <v>334</v>
      </c>
    </row>
    <row r="2424" spans="28:31">
      <c r="AB2424" s="231" t="s">
        <v>2813</v>
      </c>
      <c r="AC2424" s="217" t="s">
        <v>333</v>
      </c>
      <c r="AD2424" s="217" t="s">
        <v>334</v>
      </c>
      <c r="AE2424" s="217" t="s">
        <v>334</v>
      </c>
    </row>
    <row r="2425" spans="28:31">
      <c r="AB2425" s="231" t="s">
        <v>2814</v>
      </c>
      <c r="AC2425" s="217" t="s">
        <v>333</v>
      </c>
      <c r="AD2425" s="217" t="s">
        <v>334</v>
      </c>
      <c r="AE2425" s="217" t="s">
        <v>334</v>
      </c>
    </row>
    <row r="2426" spans="28:31">
      <c r="AB2426" s="231" t="s">
        <v>2815</v>
      </c>
      <c r="AC2426" s="217" t="s">
        <v>333</v>
      </c>
      <c r="AD2426" s="217" t="s">
        <v>334</v>
      </c>
      <c r="AE2426" s="217" t="s">
        <v>334</v>
      </c>
    </row>
    <row r="2427" spans="28:31">
      <c r="AB2427" s="231" t="s">
        <v>2816</v>
      </c>
      <c r="AC2427" s="217" t="s">
        <v>333</v>
      </c>
      <c r="AD2427" s="217" t="s">
        <v>334</v>
      </c>
      <c r="AE2427" s="217" t="s">
        <v>334</v>
      </c>
    </row>
    <row r="2428" spans="28:31">
      <c r="AB2428" s="231" t="s">
        <v>2817</v>
      </c>
      <c r="AC2428" s="217" t="s">
        <v>333</v>
      </c>
      <c r="AD2428" s="217" t="s">
        <v>334</v>
      </c>
      <c r="AE2428" s="217" t="s">
        <v>334</v>
      </c>
    </row>
    <row r="2429" spans="28:31">
      <c r="AB2429" s="231" t="s">
        <v>2818</v>
      </c>
      <c r="AC2429" s="217" t="s">
        <v>333</v>
      </c>
      <c r="AD2429" s="217" t="s">
        <v>334</v>
      </c>
      <c r="AE2429" s="217" t="s">
        <v>334</v>
      </c>
    </row>
    <row r="2430" spans="28:31">
      <c r="AB2430" s="231" t="s">
        <v>2819</v>
      </c>
      <c r="AC2430" s="217" t="s">
        <v>333</v>
      </c>
      <c r="AD2430" s="217" t="s">
        <v>334</v>
      </c>
      <c r="AE2430" s="217" t="s">
        <v>334</v>
      </c>
    </row>
    <row r="2431" spans="28:31">
      <c r="AB2431" s="231" t="s">
        <v>2820</v>
      </c>
      <c r="AC2431" s="217" t="s">
        <v>333</v>
      </c>
      <c r="AD2431" s="217" t="s">
        <v>334</v>
      </c>
      <c r="AE2431" s="217" t="s">
        <v>334</v>
      </c>
    </row>
    <row r="2432" spans="28:31">
      <c r="AB2432" s="231" t="s">
        <v>2821</v>
      </c>
      <c r="AC2432" s="217" t="s">
        <v>333</v>
      </c>
      <c r="AD2432" s="217" t="s">
        <v>334</v>
      </c>
      <c r="AE2432" s="217" t="s">
        <v>334</v>
      </c>
    </row>
    <row r="2433" spans="28:31">
      <c r="AB2433" s="231" t="s">
        <v>2822</v>
      </c>
      <c r="AC2433" s="217" t="s">
        <v>333</v>
      </c>
      <c r="AD2433" s="217" t="s">
        <v>334</v>
      </c>
      <c r="AE2433" s="217" t="s">
        <v>334</v>
      </c>
    </row>
    <row r="2434" spans="28:31">
      <c r="AB2434" s="231" t="s">
        <v>2823</v>
      </c>
      <c r="AC2434" s="217" t="s">
        <v>333</v>
      </c>
      <c r="AD2434" s="217" t="s">
        <v>334</v>
      </c>
      <c r="AE2434" s="217" t="s">
        <v>334</v>
      </c>
    </row>
    <row r="2435" spans="28:31">
      <c r="AB2435" s="231" t="s">
        <v>2824</v>
      </c>
      <c r="AC2435" s="217" t="s">
        <v>333</v>
      </c>
      <c r="AD2435" s="217" t="s">
        <v>334</v>
      </c>
      <c r="AE2435" s="217" t="s">
        <v>334</v>
      </c>
    </row>
    <row r="2436" spans="28:31">
      <c r="AB2436" s="231" t="s">
        <v>2825</v>
      </c>
      <c r="AC2436" s="217" t="s">
        <v>333</v>
      </c>
      <c r="AD2436" s="217" t="s">
        <v>334</v>
      </c>
      <c r="AE2436" s="217" t="s">
        <v>334</v>
      </c>
    </row>
    <row r="2437" spans="28:31">
      <c r="AB2437" s="231" t="s">
        <v>2826</v>
      </c>
      <c r="AC2437" s="217" t="s">
        <v>333</v>
      </c>
      <c r="AD2437" s="217" t="s">
        <v>334</v>
      </c>
      <c r="AE2437" s="217" t="s">
        <v>334</v>
      </c>
    </row>
    <row r="2438" spans="28:31">
      <c r="AB2438" s="231" t="s">
        <v>2827</v>
      </c>
      <c r="AC2438" s="217" t="s">
        <v>333</v>
      </c>
      <c r="AD2438" s="217" t="s">
        <v>334</v>
      </c>
      <c r="AE2438" s="217" t="s">
        <v>334</v>
      </c>
    </row>
    <row r="2439" spans="28:31">
      <c r="AB2439" s="231" t="s">
        <v>2828</v>
      </c>
      <c r="AC2439" s="217" t="s">
        <v>333</v>
      </c>
      <c r="AD2439" s="217" t="s">
        <v>334</v>
      </c>
      <c r="AE2439" s="217" t="s">
        <v>334</v>
      </c>
    </row>
    <row r="2440" spans="28:31">
      <c r="AB2440" s="231" t="s">
        <v>2829</v>
      </c>
      <c r="AC2440" s="217" t="s">
        <v>333</v>
      </c>
      <c r="AD2440" s="217" t="s">
        <v>334</v>
      </c>
      <c r="AE2440" s="217" t="s">
        <v>334</v>
      </c>
    </row>
    <row r="2441" spans="28:31">
      <c r="AB2441" s="231" t="s">
        <v>2830</v>
      </c>
      <c r="AC2441" s="217" t="s">
        <v>333</v>
      </c>
      <c r="AD2441" s="217" t="s">
        <v>334</v>
      </c>
      <c r="AE2441" s="217" t="s">
        <v>334</v>
      </c>
    </row>
    <row r="2442" spans="28:31">
      <c r="AB2442" s="231" t="s">
        <v>2831</v>
      </c>
      <c r="AC2442" s="217" t="s">
        <v>333</v>
      </c>
      <c r="AD2442" s="217" t="s">
        <v>334</v>
      </c>
      <c r="AE2442" s="217" t="s">
        <v>334</v>
      </c>
    </row>
    <row r="2443" spans="28:31">
      <c r="AB2443" s="231" t="s">
        <v>2832</v>
      </c>
      <c r="AC2443" s="217" t="s">
        <v>333</v>
      </c>
      <c r="AD2443" s="217" t="s">
        <v>334</v>
      </c>
      <c r="AE2443" s="217" t="s">
        <v>334</v>
      </c>
    </row>
    <row r="2444" spans="28:31">
      <c r="AB2444" s="231" t="s">
        <v>2833</v>
      </c>
      <c r="AC2444" s="217" t="s">
        <v>333</v>
      </c>
      <c r="AD2444" s="217" t="s">
        <v>334</v>
      </c>
      <c r="AE2444" s="217" t="s">
        <v>334</v>
      </c>
    </row>
    <row r="2445" spans="28:31">
      <c r="AB2445" s="231" t="s">
        <v>2834</v>
      </c>
      <c r="AC2445" s="217" t="s">
        <v>333</v>
      </c>
      <c r="AD2445" s="217" t="s">
        <v>334</v>
      </c>
      <c r="AE2445" s="217" t="s">
        <v>334</v>
      </c>
    </row>
    <row r="2446" spans="28:31">
      <c r="AB2446" s="231" t="s">
        <v>2835</v>
      </c>
      <c r="AC2446" s="217" t="s">
        <v>333</v>
      </c>
      <c r="AD2446" s="217" t="s">
        <v>334</v>
      </c>
      <c r="AE2446" s="217" t="s">
        <v>334</v>
      </c>
    </row>
    <row r="2447" spans="28:31">
      <c r="AB2447" s="231" t="s">
        <v>2836</v>
      </c>
      <c r="AC2447" s="217" t="s">
        <v>333</v>
      </c>
      <c r="AD2447" s="217" t="s">
        <v>334</v>
      </c>
      <c r="AE2447" s="217" t="s">
        <v>334</v>
      </c>
    </row>
    <row r="2448" spans="28:31">
      <c r="AB2448" s="231" t="s">
        <v>2837</v>
      </c>
      <c r="AC2448" s="217" t="s">
        <v>333</v>
      </c>
      <c r="AD2448" s="217" t="s">
        <v>334</v>
      </c>
      <c r="AE2448" s="217" t="s">
        <v>334</v>
      </c>
    </row>
    <row r="2449" spans="28:31">
      <c r="AB2449" s="231" t="s">
        <v>2838</v>
      </c>
      <c r="AC2449" s="217" t="s">
        <v>333</v>
      </c>
      <c r="AD2449" s="217" t="s">
        <v>334</v>
      </c>
      <c r="AE2449" s="217" t="s">
        <v>334</v>
      </c>
    </row>
    <row r="2450" spans="28:31">
      <c r="AB2450" s="231" t="s">
        <v>2839</v>
      </c>
      <c r="AC2450" s="217" t="s">
        <v>333</v>
      </c>
      <c r="AD2450" s="217" t="s">
        <v>334</v>
      </c>
      <c r="AE2450" s="217" t="s">
        <v>334</v>
      </c>
    </row>
    <row r="2451" spans="28:31">
      <c r="AB2451" s="231" t="s">
        <v>2840</v>
      </c>
      <c r="AC2451" s="217" t="s">
        <v>333</v>
      </c>
      <c r="AD2451" s="217" t="s">
        <v>334</v>
      </c>
      <c r="AE2451" s="217" t="s">
        <v>334</v>
      </c>
    </row>
    <row r="2452" spans="28:31">
      <c r="AB2452" s="231" t="s">
        <v>2841</v>
      </c>
      <c r="AC2452" s="217" t="s">
        <v>333</v>
      </c>
      <c r="AD2452" s="217" t="s">
        <v>334</v>
      </c>
      <c r="AE2452" s="217" t="s">
        <v>334</v>
      </c>
    </row>
    <row r="2453" spans="28:31">
      <c r="AB2453" s="231" t="s">
        <v>2842</v>
      </c>
      <c r="AC2453" s="217" t="s">
        <v>333</v>
      </c>
      <c r="AD2453" s="217" t="s">
        <v>334</v>
      </c>
      <c r="AE2453" s="217" t="s">
        <v>334</v>
      </c>
    </row>
    <row r="2454" spans="28:31">
      <c r="AB2454" s="231" t="s">
        <v>2843</v>
      </c>
      <c r="AC2454" s="217" t="s">
        <v>333</v>
      </c>
      <c r="AD2454" s="217" t="s">
        <v>334</v>
      </c>
      <c r="AE2454" s="217" t="s">
        <v>334</v>
      </c>
    </row>
    <row r="2455" spans="28:31">
      <c r="AB2455" s="231" t="s">
        <v>2844</v>
      </c>
      <c r="AC2455" s="217" t="s">
        <v>333</v>
      </c>
      <c r="AD2455" s="217" t="s">
        <v>334</v>
      </c>
      <c r="AE2455" s="217" t="s">
        <v>334</v>
      </c>
    </row>
    <row r="2456" spans="28:31">
      <c r="AB2456" s="231" t="s">
        <v>2845</v>
      </c>
      <c r="AC2456" s="217" t="s">
        <v>333</v>
      </c>
      <c r="AD2456" s="217" t="s">
        <v>334</v>
      </c>
      <c r="AE2456" s="217" t="s">
        <v>334</v>
      </c>
    </row>
    <row r="2457" spans="28:31">
      <c r="AB2457" s="231" t="s">
        <v>2846</v>
      </c>
      <c r="AC2457" s="217" t="s">
        <v>333</v>
      </c>
      <c r="AD2457" s="217" t="s">
        <v>334</v>
      </c>
      <c r="AE2457" s="217" t="s">
        <v>334</v>
      </c>
    </row>
    <row r="2458" spans="28:31">
      <c r="AB2458" s="231" t="s">
        <v>2847</v>
      </c>
      <c r="AC2458" s="217" t="s">
        <v>333</v>
      </c>
      <c r="AD2458" s="217" t="s">
        <v>334</v>
      </c>
      <c r="AE2458" s="217" t="s">
        <v>334</v>
      </c>
    </row>
    <row r="2459" spans="28:31">
      <c r="AB2459" s="231" t="s">
        <v>2848</v>
      </c>
      <c r="AC2459" s="217" t="s">
        <v>333</v>
      </c>
      <c r="AD2459" s="217" t="s">
        <v>334</v>
      </c>
      <c r="AE2459" s="217" t="s">
        <v>334</v>
      </c>
    </row>
    <row r="2460" spans="28:31">
      <c r="AB2460" s="231" t="s">
        <v>2849</v>
      </c>
      <c r="AC2460" s="217" t="s">
        <v>333</v>
      </c>
      <c r="AD2460" s="217" t="s">
        <v>334</v>
      </c>
      <c r="AE2460" s="217" t="s">
        <v>334</v>
      </c>
    </row>
    <row r="2461" spans="28:31">
      <c r="AB2461" s="231" t="s">
        <v>2850</v>
      </c>
      <c r="AC2461" s="217" t="s">
        <v>333</v>
      </c>
      <c r="AD2461" s="217" t="s">
        <v>334</v>
      </c>
      <c r="AE2461" s="217" t="s">
        <v>334</v>
      </c>
    </row>
    <row r="2462" spans="28:31">
      <c r="AB2462" s="231" t="s">
        <v>2851</v>
      </c>
      <c r="AC2462" s="217" t="s">
        <v>333</v>
      </c>
      <c r="AD2462" s="217" t="s">
        <v>334</v>
      </c>
      <c r="AE2462" s="217" t="s">
        <v>334</v>
      </c>
    </row>
    <row r="2463" spans="28:31">
      <c r="AB2463" s="231" t="s">
        <v>2852</v>
      </c>
      <c r="AC2463" s="217" t="s">
        <v>333</v>
      </c>
      <c r="AD2463" s="217" t="s">
        <v>334</v>
      </c>
      <c r="AE2463" s="217" t="s">
        <v>334</v>
      </c>
    </row>
    <row r="2464" spans="28:31">
      <c r="AB2464" s="231" t="s">
        <v>2853</v>
      </c>
      <c r="AC2464" s="217" t="s">
        <v>333</v>
      </c>
      <c r="AD2464" s="217" t="s">
        <v>334</v>
      </c>
      <c r="AE2464" s="217" t="s">
        <v>334</v>
      </c>
    </row>
    <row r="2465" spans="28:31">
      <c r="AB2465" s="231" t="s">
        <v>2854</v>
      </c>
      <c r="AC2465" s="217" t="s">
        <v>333</v>
      </c>
      <c r="AD2465" s="217" t="s">
        <v>334</v>
      </c>
      <c r="AE2465" s="217" t="s">
        <v>334</v>
      </c>
    </row>
    <row r="2466" spans="28:31">
      <c r="AB2466" s="231" t="s">
        <v>2855</v>
      </c>
      <c r="AC2466" s="217" t="s">
        <v>333</v>
      </c>
      <c r="AD2466" s="217" t="s">
        <v>334</v>
      </c>
      <c r="AE2466" s="217" t="s">
        <v>334</v>
      </c>
    </row>
    <row r="2467" spans="28:31">
      <c r="AB2467" s="231" t="s">
        <v>2856</v>
      </c>
      <c r="AC2467" s="217" t="s">
        <v>333</v>
      </c>
      <c r="AD2467" s="217" t="s">
        <v>334</v>
      </c>
      <c r="AE2467" s="217" t="s">
        <v>334</v>
      </c>
    </row>
    <row r="2468" spans="28:31">
      <c r="AB2468" s="231" t="s">
        <v>2857</v>
      </c>
      <c r="AC2468" s="217" t="s">
        <v>333</v>
      </c>
      <c r="AD2468" s="217" t="s">
        <v>334</v>
      </c>
      <c r="AE2468" s="217" t="s">
        <v>334</v>
      </c>
    </row>
    <row r="2469" spans="28:31">
      <c r="AB2469" s="231" t="s">
        <v>2858</v>
      </c>
      <c r="AC2469" s="217" t="s">
        <v>333</v>
      </c>
      <c r="AD2469" s="217" t="s">
        <v>334</v>
      </c>
      <c r="AE2469" s="217" t="s">
        <v>334</v>
      </c>
    </row>
    <row r="2470" spans="28:31">
      <c r="AB2470" s="231" t="s">
        <v>2859</v>
      </c>
      <c r="AC2470" s="217" t="s">
        <v>333</v>
      </c>
      <c r="AD2470" s="217" t="s">
        <v>334</v>
      </c>
      <c r="AE2470" s="217" t="s">
        <v>334</v>
      </c>
    </row>
    <row r="2471" spans="28:31">
      <c r="AB2471" s="231" t="s">
        <v>2860</v>
      </c>
      <c r="AC2471" s="217" t="s">
        <v>333</v>
      </c>
      <c r="AD2471" s="217" t="s">
        <v>334</v>
      </c>
      <c r="AE2471" s="217" t="s">
        <v>334</v>
      </c>
    </row>
    <row r="2472" spans="28:31">
      <c r="AB2472" s="231" t="s">
        <v>2861</v>
      </c>
      <c r="AC2472" s="217" t="s">
        <v>333</v>
      </c>
      <c r="AD2472" s="217" t="s">
        <v>334</v>
      </c>
      <c r="AE2472" s="217" t="s">
        <v>334</v>
      </c>
    </row>
    <row r="2473" spans="28:31">
      <c r="AB2473" s="231" t="s">
        <v>2862</v>
      </c>
      <c r="AC2473" s="217" t="s">
        <v>333</v>
      </c>
      <c r="AD2473" s="217" t="s">
        <v>334</v>
      </c>
      <c r="AE2473" s="217" t="s">
        <v>334</v>
      </c>
    </row>
    <row r="2474" spans="28:31">
      <c r="AB2474" s="231" t="s">
        <v>2863</v>
      </c>
      <c r="AC2474" s="217" t="s">
        <v>333</v>
      </c>
      <c r="AD2474" s="217" t="s">
        <v>334</v>
      </c>
      <c r="AE2474" s="217" t="s">
        <v>334</v>
      </c>
    </row>
    <row r="2475" spans="28:31">
      <c r="AB2475" s="231" t="s">
        <v>2864</v>
      </c>
      <c r="AC2475" s="217" t="s">
        <v>333</v>
      </c>
      <c r="AD2475" s="217" t="s">
        <v>334</v>
      </c>
      <c r="AE2475" s="217" t="s">
        <v>334</v>
      </c>
    </row>
    <row r="2476" spans="28:31">
      <c r="AB2476" s="231" t="s">
        <v>2865</v>
      </c>
      <c r="AC2476" s="217" t="s">
        <v>333</v>
      </c>
      <c r="AD2476" s="217" t="s">
        <v>334</v>
      </c>
      <c r="AE2476" s="217" t="s">
        <v>334</v>
      </c>
    </row>
    <row r="2477" spans="28:31">
      <c r="AB2477" s="231" t="s">
        <v>2866</v>
      </c>
      <c r="AC2477" s="217" t="s">
        <v>333</v>
      </c>
      <c r="AD2477" s="217" t="s">
        <v>334</v>
      </c>
      <c r="AE2477" s="217" t="s">
        <v>334</v>
      </c>
    </row>
    <row r="2478" spans="28:31">
      <c r="AB2478" s="231" t="s">
        <v>2867</v>
      </c>
      <c r="AC2478" s="217" t="s">
        <v>333</v>
      </c>
      <c r="AD2478" s="217" t="s">
        <v>334</v>
      </c>
      <c r="AE2478" s="217" t="s">
        <v>334</v>
      </c>
    </row>
    <row r="2479" spans="28:31">
      <c r="AB2479" s="231" t="s">
        <v>2868</v>
      </c>
      <c r="AC2479" s="217" t="s">
        <v>333</v>
      </c>
      <c r="AD2479" s="217" t="s">
        <v>334</v>
      </c>
      <c r="AE2479" s="217" t="s">
        <v>334</v>
      </c>
    </row>
    <row r="2480" spans="28:31">
      <c r="AB2480" s="231" t="s">
        <v>2869</v>
      </c>
      <c r="AC2480" s="217" t="s">
        <v>333</v>
      </c>
      <c r="AD2480" s="217" t="s">
        <v>334</v>
      </c>
      <c r="AE2480" s="217" t="s">
        <v>334</v>
      </c>
    </row>
    <row r="2481" spans="28:31">
      <c r="AB2481" s="231" t="s">
        <v>2870</v>
      </c>
      <c r="AC2481" s="217" t="s">
        <v>333</v>
      </c>
      <c r="AD2481" s="217" t="s">
        <v>334</v>
      </c>
      <c r="AE2481" s="217" t="s">
        <v>334</v>
      </c>
    </row>
    <row r="2482" spans="28:31">
      <c r="AB2482" s="231" t="s">
        <v>2871</v>
      </c>
      <c r="AC2482" s="217" t="s">
        <v>333</v>
      </c>
      <c r="AD2482" s="217" t="s">
        <v>334</v>
      </c>
      <c r="AE2482" s="217" t="s">
        <v>334</v>
      </c>
    </row>
    <row r="2483" spans="28:31">
      <c r="AB2483" s="231" t="s">
        <v>2872</v>
      </c>
      <c r="AC2483" s="217" t="s">
        <v>333</v>
      </c>
      <c r="AD2483" s="217" t="s">
        <v>334</v>
      </c>
      <c r="AE2483" s="217" t="s">
        <v>334</v>
      </c>
    </row>
    <row r="2484" spans="28:31">
      <c r="AB2484" s="231" t="s">
        <v>2873</v>
      </c>
      <c r="AC2484" s="217" t="s">
        <v>333</v>
      </c>
      <c r="AD2484" s="217" t="s">
        <v>334</v>
      </c>
      <c r="AE2484" s="217" t="s">
        <v>334</v>
      </c>
    </row>
    <row r="2485" spans="28:31">
      <c r="AB2485" s="231" t="s">
        <v>2874</v>
      </c>
      <c r="AC2485" s="217" t="s">
        <v>333</v>
      </c>
      <c r="AD2485" s="217" t="s">
        <v>334</v>
      </c>
      <c r="AE2485" s="217" t="s">
        <v>334</v>
      </c>
    </row>
    <row r="2486" spans="28:31">
      <c r="AB2486" s="231" t="s">
        <v>2875</v>
      </c>
      <c r="AC2486" s="217" t="s">
        <v>333</v>
      </c>
      <c r="AD2486" s="217" t="s">
        <v>334</v>
      </c>
      <c r="AE2486" s="217" t="s">
        <v>334</v>
      </c>
    </row>
    <row r="2487" spans="28:31">
      <c r="AB2487" s="231" t="s">
        <v>2876</v>
      </c>
      <c r="AC2487" s="217" t="s">
        <v>333</v>
      </c>
      <c r="AD2487" s="217" t="s">
        <v>334</v>
      </c>
      <c r="AE2487" s="217" t="s">
        <v>334</v>
      </c>
    </row>
    <row r="2488" spans="28:31">
      <c r="AB2488" s="231" t="s">
        <v>2877</v>
      </c>
      <c r="AC2488" s="217" t="s">
        <v>333</v>
      </c>
      <c r="AD2488" s="217" t="s">
        <v>334</v>
      </c>
      <c r="AE2488" s="217" t="s">
        <v>334</v>
      </c>
    </row>
    <row r="2489" spans="28:31">
      <c r="AB2489" s="231" t="s">
        <v>2878</v>
      </c>
      <c r="AC2489" s="217" t="s">
        <v>333</v>
      </c>
      <c r="AD2489" s="217" t="s">
        <v>334</v>
      </c>
      <c r="AE2489" s="217" t="s">
        <v>334</v>
      </c>
    </row>
    <row r="2490" spans="28:31">
      <c r="AB2490" s="231" t="s">
        <v>2879</v>
      </c>
      <c r="AC2490" s="217" t="s">
        <v>333</v>
      </c>
      <c r="AD2490" s="217" t="s">
        <v>334</v>
      </c>
      <c r="AE2490" s="217" t="s">
        <v>334</v>
      </c>
    </row>
    <row r="2491" spans="28:31">
      <c r="AB2491" s="231" t="s">
        <v>2880</v>
      </c>
      <c r="AC2491" s="217" t="s">
        <v>333</v>
      </c>
      <c r="AD2491" s="217" t="s">
        <v>334</v>
      </c>
      <c r="AE2491" s="217" t="s">
        <v>334</v>
      </c>
    </row>
    <row r="2492" spans="28:31">
      <c r="AB2492" s="231" t="s">
        <v>2881</v>
      </c>
      <c r="AC2492" s="217" t="s">
        <v>333</v>
      </c>
      <c r="AD2492" s="217" t="s">
        <v>334</v>
      </c>
      <c r="AE2492" s="217" t="s">
        <v>334</v>
      </c>
    </row>
    <row r="2493" spans="28:31">
      <c r="AB2493" s="231" t="s">
        <v>2882</v>
      </c>
      <c r="AC2493" s="217" t="s">
        <v>333</v>
      </c>
      <c r="AD2493" s="217" t="s">
        <v>334</v>
      </c>
      <c r="AE2493" s="217" t="s">
        <v>334</v>
      </c>
    </row>
    <row r="2494" spans="28:31">
      <c r="AB2494" s="231" t="s">
        <v>2883</v>
      </c>
      <c r="AC2494" s="217" t="s">
        <v>333</v>
      </c>
      <c r="AD2494" s="217" t="s">
        <v>334</v>
      </c>
      <c r="AE2494" s="217" t="s">
        <v>334</v>
      </c>
    </row>
    <row r="2495" spans="28:31">
      <c r="AB2495" s="231" t="s">
        <v>2884</v>
      </c>
      <c r="AC2495" s="217" t="s">
        <v>333</v>
      </c>
      <c r="AD2495" s="217" t="s">
        <v>334</v>
      </c>
      <c r="AE2495" s="217" t="s">
        <v>334</v>
      </c>
    </row>
    <row r="2496" spans="28:31">
      <c r="AB2496" s="231" t="s">
        <v>2885</v>
      </c>
      <c r="AC2496" s="217" t="s">
        <v>333</v>
      </c>
      <c r="AD2496" s="217" t="s">
        <v>334</v>
      </c>
      <c r="AE2496" s="217" t="s">
        <v>334</v>
      </c>
    </row>
    <row r="2497" spans="28:31">
      <c r="AB2497" s="231" t="s">
        <v>2886</v>
      </c>
      <c r="AC2497" s="217" t="s">
        <v>333</v>
      </c>
      <c r="AD2497" s="217" t="s">
        <v>334</v>
      </c>
      <c r="AE2497" s="217" t="s">
        <v>334</v>
      </c>
    </row>
    <row r="2498" spans="28:31">
      <c r="AB2498" s="231" t="s">
        <v>2887</v>
      </c>
      <c r="AC2498" s="217" t="s">
        <v>333</v>
      </c>
      <c r="AD2498" s="217" t="s">
        <v>334</v>
      </c>
      <c r="AE2498" s="217" t="s">
        <v>334</v>
      </c>
    </row>
    <row r="2499" spans="28:31">
      <c r="AB2499" s="231" t="s">
        <v>2888</v>
      </c>
      <c r="AC2499" s="217" t="s">
        <v>333</v>
      </c>
      <c r="AD2499" s="217" t="s">
        <v>334</v>
      </c>
      <c r="AE2499" s="217" t="s">
        <v>334</v>
      </c>
    </row>
    <row r="2500" spans="28:31">
      <c r="AB2500" s="231" t="s">
        <v>2889</v>
      </c>
      <c r="AC2500" s="217" t="s">
        <v>333</v>
      </c>
      <c r="AD2500" s="217" t="s">
        <v>334</v>
      </c>
      <c r="AE2500" s="217" t="s">
        <v>334</v>
      </c>
    </row>
    <row r="2501" spans="28:31">
      <c r="AB2501" s="231" t="s">
        <v>2890</v>
      </c>
      <c r="AC2501" s="217" t="s">
        <v>333</v>
      </c>
      <c r="AD2501" s="217" t="s">
        <v>334</v>
      </c>
      <c r="AE2501" s="217" t="s">
        <v>334</v>
      </c>
    </row>
    <row r="2502" spans="28:31">
      <c r="AB2502" s="231" t="s">
        <v>2891</v>
      </c>
      <c r="AC2502" s="217" t="s">
        <v>333</v>
      </c>
      <c r="AD2502" s="217" t="s">
        <v>334</v>
      </c>
      <c r="AE2502" s="217" t="s">
        <v>334</v>
      </c>
    </row>
    <row r="2503" spans="28:31">
      <c r="AB2503" s="231" t="s">
        <v>2892</v>
      </c>
      <c r="AC2503" s="217" t="s">
        <v>333</v>
      </c>
      <c r="AD2503" s="217" t="s">
        <v>334</v>
      </c>
      <c r="AE2503" s="217" t="s">
        <v>334</v>
      </c>
    </row>
    <row r="2504" spans="28:31">
      <c r="AB2504" s="231" t="s">
        <v>2893</v>
      </c>
      <c r="AC2504" s="217" t="s">
        <v>333</v>
      </c>
      <c r="AD2504" s="217" t="s">
        <v>334</v>
      </c>
      <c r="AE2504" s="217" t="s">
        <v>334</v>
      </c>
    </row>
    <row r="2505" spans="28:31">
      <c r="AB2505" s="231" t="s">
        <v>2894</v>
      </c>
      <c r="AC2505" s="217" t="s">
        <v>333</v>
      </c>
      <c r="AD2505" s="217" t="s">
        <v>334</v>
      </c>
      <c r="AE2505" s="217" t="s">
        <v>334</v>
      </c>
    </row>
    <row r="2506" spans="28:31">
      <c r="AB2506" s="231" t="s">
        <v>2895</v>
      </c>
      <c r="AC2506" s="217" t="s">
        <v>333</v>
      </c>
      <c r="AD2506" s="217" t="s">
        <v>334</v>
      </c>
      <c r="AE2506" s="217" t="s">
        <v>334</v>
      </c>
    </row>
    <row r="2507" spans="28:31">
      <c r="AB2507" s="231" t="s">
        <v>2896</v>
      </c>
      <c r="AC2507" s="217" t="s">
        <v>333</v>
      </c>
      <c r="AD2507" s="217" t="s">
        <v>334</v>
      </c>
      <c r="AE2507" s="217" t="s">
        <v>334</v>
      </c>
    </row>
    <row r="2508" spans="28:31">
      <c r="AB2508" s="231" t="s">
        <v>2897</v>
      </c>
      <c r="AC2508" s="217" t="s">
        <v>333</v>
      </c>
      <c r="AD2508" s="217" t="s">
        <v>334</v>
      </c>
      <c r="AE2508" s="217" t="s">
        <v>334</v>
      </c>
    </row>
    <row r="2509" spans="28:31">
      <c r="AB2509" s="231" t="s">
        <v>2898</v>
      </c>
      <c r="AC2509" s="217" t="s">
        <v>333</v>
      </c>
      <c r="AD2509" s="217" t="s">
        <v>334</v>
      </c>
      <c r="AE2509" s="217" t="s">
        <v>334</v>
      </c>
    </row>
    <row r="2510" spans="28:31">
      <c r="AB2510" s="231" t="s">
        <v>2899</v>
      </c>
      <c r="AC2510" s="217" t="s">
        <v>333</v>
      </c>
      <c r="AD2510" s="217" t="s">
        <v>334</v>
      </c>
      <c r="AE2510" s="217" t="s">
        <v>334</v>
      </c>
    </row>
    <row r="2511" spans="28:31">
      <c r="AB2511" s="231" t="s">
        <v>2900</v>
      </c>
      <c r="AC2511" s="217" t="s">
        <v>333</v>
      </c>
      <c r="AD2511" s="217" t="s">
        <v>334</v>
      </c>
      <c r="AE2511" s="217" t="s">
        <v>334</v>
      </c>
    </row>
    <row r="2512" spans="28:31">
      <c r="AB2512" s="231" t="s">
        <v>2901</v>
      </c>
      <c r="AC2512" s="217" t="s">
        <v>333</v>
      </c>
      <c r="AD2512" s="217" t="s">
        <v>334</v>
      </c>
      <c r="AE2512" s="217" t="s">
        <v>334</v>
      </c>
    </row>
    <row r="2513" spans="28:31">
      <c r="AB2513" s="231" t="s">
        <v>2902</v>
      </c>
      <c r="AC2513" s="217" t="s">
        <v>333</v>
      </c>
      <c r="AD2513" s="217" t="s">
        <v>334</v>
      </c>
      <c r="AE2513" s="217" t="s">
        <v>334</v>
      </c>
    </row>
    <row r="2514" spans="28:31">
      <c r="AB2514" s="231" t="s">
        <v>2903</v>
      </c>
      <c r="AC2514" s="217" t="s">
        <v>333</v>
      </c>
      <c r="AD2514" s="217" t="s">
        <v>334</v>
      </c>
      <c r="AE2514" s="217" t="s">
        <v>334</v>
      </c>
    </row>
    <row r="2515" spans="28:31">
      <c r="AB2515" s="231" t="s">
        <v>2904</v>
      </c>
      <c r="AC2515" s="217" t="s">
        <v>333</v>
      </c>
      <c r="AD2515" s="217" t="s">
        <v>334</v>
      </c>
      <c r="AE2515" s="217" t="s">
        <v>334</v>
      </c>
    </row>
    <row r="2516" spans="28:31">
      <c r="AB2516" s="231" t="s">
        <v>2905</v>
      </c>
      <c r="AC2516" s="217" t="s">
        <v>333</v>
      </c>
      <c r="AD2516" s="217" t="s">
        <v>334</v>
      </c>
      <c r="AE2516" s="217" t="s">
        <v>334</v>
      </c>
    </row>
    <row r="2517" spans="28:31">
      <c r="AB2517" s="231" t="s">
        <v>2906</v>
      </c>
      <c r="AC2517" s="217" t="s">
        <v>333</v>
      </c>
      <c r="AD2517" s="217" t="s">
        <v>334</v>
      </c>
      <c r="AE2517" s="217" t="s">
        <v>334</v>
      </c>
    </row>
    <row r="2518" spans="28:31">
      <c r="AB2518" s="231" t="s">
        <v>2907</v>
      </c>
      <c r="AC2518" s="217" t="s">
        <v>333</v>
      </c>
      <c r="AD2518" s="217" t="s">
        <v>334</v>
      </c>
      <c r="AE2518" s="217" t="s">
        <v>334</v>
      </c>
    </row>
    <row r="2519" spans="28:31">
      <c r="AB2519" s="231" t="s">
        <v>2908</v>
      </c>
      <c r="AC2519" s="217" t="s">
        <v>333</v>
      </c>
      <c r="AD2519" s="217" t="s">
        <v>334</v>
      </c>
      <c r="AE2519" s="217" t="s">
        <v>334</v>
      </c>
    </row>
    <row r="2520" spans="28:31">
      <c r="AB2520" s="231" t="s">
        <v>2909</v>
      </c>
      <c r="AC2520" s="217" t="s">
        <v>333</v>
      </c>
      <c r="AD2520" s="217" t="s">
        <v>334</v>
      </c>
      <c r="AE2520" s="217" t="s">
        <v>334</v>
      </c>
    </row>
    <row r="2521" spans="28:31">
      <c r="AB2521" s="231" t="s">
        <v>2910</v>
      </c>
      <c r="AC2521" s="217" t="s">
        <v>333</v>
      </c>
      <c r="AD2521" s="217" t="s">
        <v>334</v>
      </c>
      <c r="AE2521" s="217" t="s">
        <v>334</v>
      </c>
    </row>
    <row r="2522" spans="28:31">
      <c r="AB2522" s="231" t="s">
        <v>2911</v>
      </c>
      <c r="AC2522" s="217" t="s">
        <v>333</v>
      </c>
      <c r="AD2522" s="217" t="s">
        <v>334</v>
      </c>
      <c r="AE2522" s="217" t="s">
        <v>334</v>
      </c>
    </row>
    <row r="2523" spans="28:31">
      <c r="AB2523" s="231" t="s">
        <v>2912</v>
      </c>
      <c r="AC2523" s="217" t="s">
        <v>333</v>
      </c>
      <c r="AD2523" s="217" t="s">
        <v>334</v>
      </c>
      <c r="AE2523" s="217" t="s">
        <v>334</v>
      </c>
    </row>
    <row r="2524" spans="28:31">
      <c r="AB2524" s="231" t="s">
        <v>2913</v>
      </c>
      <c r="AC2524" s="217" t="s">
        <v>333</v>
      </c>
      <c r="AD2524" s="217" t="s">
        <v>334</v>
      </c>
      <c r="AE2524" s="217" t="s">
        <v>334</v>
      </c>
    </row>
    <row r="2525" spans="28:31">
      <c r="AB2525" s="231" t="s">
        <v>2914</v>
      </c>
      <c r="AC2525" s="217" t="s">
        <v>333</v>
      </c>
      <c r="AD2525" s="217" t="s">
        <v>334</v>
      </c>
      <c r="AE2525" s="217" t="s">
        <v>334</v>
      </c>
    </row>
    <row r="2526" spans="28:31">
      <c r="AB2526" s="231" t="s">
        <v>2915</v>
      </c>
      <c r="AC2526" s="217" t="s">
        <v>333</v>
      </c>
      <c r="AD2526" s="217" t="s">
        <v>334</v>
      </c>
      <c r="AE2526" s="217" t="s">
        <v>334</v>
      </c>
    </row>
    <row r="2527" spans="28:31">
      <c r="AB2527" s="231" t="s">
        <v>2916</v>
      </c>
      <c r="AC2527" s="217" t="s">
        <v>333</v>
      </c>
      <c r="AD2527" s="217" t="s">
        <v>334</v>
      </c>
      <c r="AE2527" s="217" t="s">
        <v>334</v>
      </c>
    </row>
    <row r="2528" spans="28:31">
      <c r="AB2528" s="231" t="s">
        <v>2917</v>
      </c>
      <c r="AC2528" s="217" t="s">
        <v>333</v>
      </c>
      <c r="AD2528" s="217" t="s">
        <v>334</v>
      </c>
      <c r="AE2528" s="217" t="s">
        <v>334</v>
      </c>
    </row>
    <row r="2529" spans="28:31">
      <c r="AB2529" s="231" t="s">
        <v>2918</v>
      </c>
      <c r="AC2529" s="217" t="s">
        <v>333</v>
      </c>
      <c r="AD2529" s="217" t="s">
        <v>334</v>
      </c>
      <c r="AE2529" s="217" t="s">
        <v>334</v>
      </c>
    </row>
    <row r="2530" spans="28:31">
      <c r="AB2530" s="231" t="s">
        <v>2919</v>
      </c>
      <c r="AC2530" s="217" t="s">
        <v>333</v>
      </c>
      <c r="AD2530" s="217" t="s">
        <v>334</v>
      </c>
      <c r="AE2530" s="217" t="s">
        <v>334</v>
      </c>
    </row>
    <row r="2531" spans="28:31">
      <c r="AB2531" s="231" t="s">
        <v>2920</v>
      </c>
      <c r="AC2531" s="217" t="s">
        <v>333</v>
      </c>
      <c r="AD2531" s="217" t="s">
        <v>334</v>
      </c>
      <c r="AE2531" s="217" t="s">
        <v>334</v>
      </c>
    </row>
    <row r="2532" spans="28:31">
      <c r="AB2532" s="231" t="s">
        <v>2921</v>
      </c>
      <c r="AC2532" s="217" t="s">
        <v>333</v>
      </c>
      <c r="AD2532" s="217" t="s">
        <v>334</v>
      </c>
      <c r="AE2532" s="217" t="s">
        <v>334</v>
      </c>
    </row>
    <row r="2533" spans="28:31">
      <c r="AB2533" s="231" t="s">
        <v>2922</v>
      </c>
      <c r="AC2533" s="217" t="s">
        <v>333</v>
      </c>
      <c r="AD2533" s="217" t="s">
        <v>334</v>
      </c>
      <c r="AE2533" s="217" t="s">
        <v>334</v>
      </c>
    </row>
    <row r="2534" spans="28:31">
      <c r="AB2534" s="231" t="s">
        <v>2923</v>
      </c>
      <c r="AC2534" s="217" t="s">
        <v>333</v>
      </c>
      <c r="AD2534" s="217" t="s">
        <v>334</v>
      </c>
      <c r="AE2534" s="217" t="s">
        <v>334</v>
      </c>
    </row>
    <row r="2535" spans="28:31">
      <c r="AB2535" s="231" t="s">
        <v>2924</v>
      </c>
      <c r="AC2535" s="217" t="s">
        <v>333</v>
      </c>
      <c r="AD2535" s="217" t="s">
        <v>334</v>
      </c>
      <c r="AE2535" s="217" t="s">
        <v>334</v>
      </c>
    </row>
    <row r="2536" spans="28:31">
      <c r="AB2536" s="231" t="s">
        <v>2925</v>
      </c>
      <c r="AC2536" s="217" t="s">
        <v>333</v>
      </c>
      <c r="AD2536" s="217" t="s">
        <v>334</v>
      </c>
      <c r="AE2536" s="217" t="s">
        <v>334</v>
      </c>
    </row>
    <row r="2537" spans="28:31">
      <c r="AB2537" s="231" t="s">
        <v>2926</v>
      </c>
      <c r="AC2537" s="217" t="s">
        <v>333</v>
      </c>
      <c r="AD2537" s="217" t="s">
        <v>334</v>
      </c>
      <c r="AE2537" s="217" t="s">
        <v>334</v>
      </c>
    </row>
    <row r="2538" spans="28:31">
      <c r="AB2538" s="231" t="s">
        <v>2927</v>
      </c>
      <c r="AC2538" s="217" t="s">
        <v>333</v>
      </c>
      <c r="AD2538" s="217" t="s">
        <v>334</v>
      </c>
      <c r="AE2538" s="217" t="s">
        <v>334</v>
      </c>
    </row>
    <row r="2539" spans="28:31">
      <c r="AB2539" s="231" t="s">
        <v>2928</v>
      </c>
      <c r="AC2539" s="217" t="s">
        <v>333</v>
      </c>
      <c r="AD2539" s="217" t="s">
        <v>334</v>
      </c>
      <c r="AE2539" s="217" t="s">
        <v>334</v>
      </c>
    </row>
    <row r="2540" spans="28:31">
      <c r="AB2540" s="231" t="s">
        <v>2929</v>
      </c>
      <c r="AC2540" s="217" t="s">
        <v>333</v>
      </c>
      <c r="AD2540" s="217" t="s">
        <v>334</v>
      </c>
      <c r="AE2540" s="217" t="s">
        <v>334</v>
      </c>
    </row>
    <row r="2541" spans="28:31">
      <c r="AB2541" s="231" t="s">
        <v>2930</v>
      </c>
      <c r="AC2541" s="217" t="s">
        <v>333</v>
      </c>
      <c r="AD2541" s="217" t="s">
        <v>334</v>
      </c>
      <c r="AE2541" s="217" t="s">
        <v>334</v>
      </c>
    </row>
    <row r="2542" spans="28:31">
      <c r="AB2542" s="231" t="s">
        <v>2931</v>
      </c>
      <c r="AC2542" s="217" t="s">
        <v>333</v>
      </c>
      <c r="AD2542" s="217" t="s">
        <v>334</v>
      </c>
      <c r="AE2542" s="217" t="s">
        <v>334</v>
      </c>
    </row>
    <row r="2543" spans="28:31">
      <c r="AB2543" s="231" t="s">
        <v>2932</v>
      </c>
      <c r="AC2543" s="217" t="s">
        <v>333</v>
      </c>
      <c r="AD2543" s="217" t="s">
        <v>334</v>
      </c>
      <c r="AE2543" s="217" t="s">
        <v>334</v>
      </c>
    </row>
    <row r="2544" spans="28:31">
      <c r="AB2544" s="231" t="s">
        <v>2933</v>
      </c>
      <c r="AC2544" s="217" t="s">
        <v>333</v>
      </c>
      <c r="AD2544" s="217" t="s">
        <v>334</v>
      </c>
      <c r="AE2544" s="217" t="s">
        <v>334</v>
      </c>
    </row>
    <row r="2545" spans="28:31">
      <c r="AB2545" s="231" t="s">
        <v>2934</v>
      </c>
      <c r="AC2545" s="217" t="s">
        <v>333</v>
      </c>
      <c r="AD2545" s="217" t="s">
        <v>334</v>
      </c>
      <c r="AE2545" s="217" t="s">
        <v>334</v>
      </c>
    </row>
    <row r="2546" spans="28:31">
      <c r="AB2546" s="231" t="s">
        <v>2935</v>
      </c>
      <c r="AC2546" s="217" t="s">
        <v>333</v>
      </c>
      <c r="AD2546" s="217" t="s">
        <v>334</v>
      </c>
      <c r="AE2546" s="217" t="s">
        <v>334</v>
      </c>
    </row>
    <row r="2547" spans="28:31">
      <c r="AB2547" s="231" t="s">
        <v>2936</v>
      </c>
      <c r="AC2547" s="217" t="s">
        <v>333</v>
      </c>
      <c r="AD2547" s="217" t="s">
        <v>334</v>
      </c>
      <c r="AE2547" s="217" t="s">
        <v>334</v>
      </c>
    </row>
    <row r="2548" spans="28:31">
      <c r="AB2548" s="231" t="s">
        <v>2937</v>
      </c>
      <c r="AC2548" s="217" t="s">
        <v>333</v>
      </c>
      <c r="AD2548" s="217" t="s">
        <v>334</v>
      </c>
      <c r="AE2548" s="217" t="s">
        <v>334</v>
      </c>
    </row>
    <row r="2549" spans="28:31">
      <c r="AB2549" s="231" t="s">
        <v>2938</v>
      </c>
      <c r="AC2549" s="217" t="s">
        <v>333</v>
      </c>
      <c r="AD2549" s="217" t="s">
        <v>334</v>
      </c>
      <c r="AE2549" s="217" t="s">
        <v>334</v>
      </c>
    </row>
    <row r="2550" spans="28:31">
      <c r="AB2550" s="231" t="s">
        <v>2939</v>
      </c>
      <c r="AC2550" s="217" t="s">
        <v>333</v>
      </c>
      <c r="AD2550" s="217" t="s">
        <v>334</v>
      </c>
      <c r="AE2550" s="217" t="s">
        <v>334</v>
      </c>
    </row>
    <row r="2551" spans="28:31">
      <c r="AB2551" s="231" t="s">
        <v>2940</v>
      </c>
      <c r="AC2551" s="217" t="s">
        <v>333</v>
      </c>
      <c r="AD2551" s="217" t="s">
        <v>334</v>
      </c>
      <c r="AE2551" s="217" t="s">
        <v>334</v>
      </c>
    </row>
    <row r="2552" spans="28:31">
      <c r="AB2552" s="231" t="s">
        <v>2941</v>
      </c>
      <c r="AC2552" s="217" t="s">
        <v>333</v>
      </c>
      <c r="AD2552" s="217" t="s">
        <v>334</v>
      </c>
      <c r="AE2552" s="217" t="s">
        <v>334</v>
      </c>
    </row>
    <row r="2553" spans="28:31">
      <c r="AB2553" s="231" t="s">
        <v>2942</v>
      </c>
      <c r="AC2553" s="217" t="s">
        <v>333</v>
      </c>
      <c r="AD2553" s="217" t="s">
        <v>334</v>
      </c>
      <c r="AE2553" s="217" t="s">
        <v>334</v>
      </c>
    </row>
    <row r="2554" spans="28:31">
      <c r="AB2554" s="231" t="s">
        <v>2943</v>
      </c>
      <c r="AC2554" s="217" t="s">
        <v>333</v>
      </c>
      <c r="AD2554" s="217" t="s">
        <v>334</v>
      </c>
      <c r="AE2554" s="217" t="s">
        <v>334</v>
      </c>
    </row>
    <row r="2555" spans="28:31">
      <c r="AB2555" s="231" t="s">
        <v>2944</v>
      </c>
      <c r="AC2555" s="217" t="s">
        <v>333</v>
      </c>
      <c r="AD2555" s="217" t="s">
        <v>334</v>
      </c>
      <c r="AE2555" s="217" t="s">
        <v>334</v>
      </c>
    </row>
    <row r="2556" spans="28:31">
      <c r="AB2556" s="231" t="s">
        <v>2945</v>
      </c>
      <c r="AC2556" s="217" t="s">
        <v>333</v>
      </c>
      <c r="AD2556" s="217" t="s">
        <v>334</v>
      </c>
      <c r="AE2556" s="217" t="s">
        <v>334</v>
      </c>
    </row>
    <row r="2557" spans="28:31">
      <c r="AB2557" s="231" t="s">
        <v>2946</v>
      </c>
      <c r="AC2557" s="217" t="s">
        <v>333</v>
      </c>
      <c r="AD2557" s="217" t="s">
        <v>334</v>
      </c>
      <c r="AE2557" s="217" t="s">
        <v>334</v>
      </c>
    </row>
    <row r="2558" spans="28:31">
      <c r="AB2558" s="231" t="s">
        <v>2947</v>
      </c>
      <c r="AC2558" s="217" t="s">
        <v>333</v>
      </c>
      <c r="AD2558" s="217" t="s">
        <v>334</v>
      </c>
      <c r="AE2558" s="217" t="s">
        <v>334</v>
      </c>
    </row>
    <row r="2559" spans="28:31">
      <c r="AB2559" s="231" t="s">
        <v>2948</v>
      </c>
      <c r="AC2559" s="217" t="s">
        <v>333</v>
      </c>
      <c r="AD2559" s="217" t="s">
        <v>334</v>
      </c>
      <c r="AE2559" s="217" t="s">
        <v>334</v>
      </c>
    </row>
    <row r="2560" spans="28:31">
      <c r="AB2560" s="231" t="s">
        <v>2949</v>
      </c>
      <c r="AC2560" s="217" t="s">
        <v>333</v>
      </c>
      <c r="AD2560" s="217" t="s">
        <v>334</v>
      </c>
      <c r="AE2560" s="217" t="s">
        <v>334</v>
      </c>
    </row>
    <row r="2561" spans="28:31">
      <c r="AB2561" s="231" t="s">
        <v>2950</v>
      </c>
      <c r="AC2561" s="217" t="s">
        <v>333</v>
      </c>
      <c r="AD2561" s="217" t="s">
        <v>334</v>
      </c>
      <c r="AE2561" s="217" t="s">
        <v>334</v>
      </c>
    </row>
    <row r="2562" spans="28:31">
      <c r="AB2562" s="231" t="s">
        <v>2951</v>
      </c>
      <c r="AC2562" s="217" t="s">
        <v>333</v>
      </c>
      <c r="AD2562" s="217" t="s">
        <v>334</v>
      </c>
      <c r="AE2562" s="217" t="s">
        <v>334</v>
      </c>
    </row>
    <row r="2563" spans="28:31">
      <c r="AB2563" s="231" t="s">
        <v>2952</v>
      </c>
      <c r="AC2563" s="217" t="s">
        <v>333</v>
      </c>
      <c r="AD2563" s="217" t="s">
        <v>334</v>
      </c>
      <c r="AE2563" s="217" t="s">
        <v>334</v>
      </c>
    </row>
    <row r="2564" spans="28:31">
      <c r="AB2564" s="231" t="s">
        <v>2953</v>
      </c>
      <c r="AC2564" s="217" t="s">
        <v>333</v>
      </c>
      <c r="AD2564" s="217" t="s">
        <v>334</v>
      </c>
      <c r="AE2564" s="217" t="s">
        <v>334</v>
      </c>
    </row>
    <row r="2565" spans="28:31">
      <c r="AB2565" s="231" t="s">
        <v>2954</v>
      </c>
      <c r="AC2565" s="217" t="s">
        <v>333</v>
      </c>
      <c r="AD2565" s="217" t="s">
        <v>334</v>
      </c>
      <c r="AE2565" s="217" t="s">
        <v>334</v>
      </c>
    </row>
    <row r="2566" spans="28:31">
      <c r="AB2566" s="231" t="s">
        <v>2955</v>
      </c>
      <c r="AC2566" s="217" t="s">
        <v>333</v>
      </c>
      <c r="AD2566" s="217" t="s">
        <v>334</v>
      </c>
      <c r="AE2566" s="217" t="s">
        <v>334</v>
      </c>
    </row>
    <row r="2567" spans="28:31">
      <c r="AB2567" s="231" t="s">
        <v>2956</v>
      </c>
      <c r="AC2567" s="217" t="s">
        <v>333</v>
      </c>
      <c r="AD2567" s="217" t="s">
        <v>334</v>
      </c>
      <c r="AE2567" s="217" t="s">
        <v>334</v>
      </c>
    </row>
    <row r="2568" spans="28:31">
      <c r="AB2568" s="231" t="s">
        <v>2957</v>
      </c>
      <c r="AC2568" s="217" t="s">
        <v>333</v>
      </c>
      <c r="AD2568" s="217" t="s">
        <v>334</v>
      </c>
      <c r="AE2568" s="217" t="s">
        <v>334</v>
      </c>
    </row>
    <row r="2569" spans="28:31">
      <c r="AB2569" s="231" t="s">
        <v>2958</v>
      </c>
      <c r="AC2569" s="217" t="s">
        <v>333</v>
      </c>
      <c r="AD2569" s="217" t="s">
        <v>334</v>
      </c>
      <c r="AE2569" s="217" t="s">
        <v>334</v>
      </c>
    </row>
    <row r="2570" spans="28:31">
      <c r="AB2570" s="231" t="s">
        <v>2959</v>
      </c>
      <c r="AC2570" s="217" t="s">
        <v>333</v>
      </c>
      <c r="AD2570" s="217" t="s">
        <v>334</v>
      </c>
      <c r="AE2570" s="217" t="s">
        <v>334</v>
      </c>
    </row>
    <row r="2571" spans="28:31">
      <c r="AB2571" s="231" t="s">
        <v>2960</v>
      </c>
      <c r="AC2571" s="217" t="s">
        <v>333</v>
      </c>
      <c r="AD2571" s="217" t="s">
        <v>334</v>
      </c>
      <c r="AE2571" s="217" t="s">
        <v>334</v>
      </c>
    </row>
    <row r="2572" spans="28:31">
      <c r="AB2572" s="231" t="s">
        <v>2961</v>
      </c>
      <c r="AC2572" s="217" t="s">
        <v>333</v>
      </c>
      <c r="AD2572" s="217" t="s">
        <v>334</v>
      </c>
      <c r="AE2572" s="217" t="s">
        <v>334</v>
      </c>
    </row>
    <row r="2573" spans="28:31">
      <c r="AB2573" s="231" t="s">
        <v>2962</v>
      </c>
      <c r="AC2573" s="217" t="s">
        <v>333</v>
      </c>
      <c r="AD2573" s="217" t="s">
        <v>334</v>
      </c>
      <c r="AE2573" s="217" t="s">
        <v>334</v>
      </c>
    </row>
    <row r="2574" spans="28:31">
      <c r="AB2574" s="231" t="s">
        <v>2963</v>
      </c>
      <c r="AC2574" s="217" t="s">
        <v>333</v>
      </c>
      <c r="AD2574" s="217" t="s">
        <v>334</v>
      </c>
      <c r="AE2574" s="217" t="s">
        <v>334</v>
      </c>
    </row>
    <row r="2575" spans="28:31">
      <c r="AB2575" s="231" t="s">
        <v>2964</v>
      </c>
      <c r="AC2575" s="217" t="s">
        <v>333</v>
      </c>
      <c r="AD2575" s="217" t="s">
        <v>334</v>
      </c>
      <c r="AE2575" s="217" t="s">
        <v>334</v>
      </c>
    </row>
    <row r="2576" spans="28:31">
      <c r="AB2576" s="231" t="s">
        <v>2965</v>
      </c>
      <c r="AC2576" s="217" t="s">
        <v>333</v>
      </c>
      <c r="AD2576" s="217" t="s">
        <v>334</v>
      </c>
      <c r="AE2576" s="217" t="s">
        <v>334</v>
      </c>
    </row>
    <row r="2577" spans="28:31">
      <c r="AB2577" s="231" t="s">
        <v>2966</v>
      </c>
      <c r="AC2577" s="217" t="s">
        <v>333</v>
      </c>
      <c r="AD2577" s="217" t="s">
        <v>334</v>
      </c>
      <c r="AE2577" s="217" t="s">
        <v>334</v>
      </c>
    </row>
    <row r="2578" spans="28:31">
      <c r="AB2578" s="231" t="s">
        <v>2967</v>
      </c>
      <c r="AC2578" s="217" t="s">
        <v>333</v>
      </c>
      <c r="AD2578" s="217" t="s">
        <v>334</v>
      </c>
      <c r="AE2578" s="217" t="s">
        <v>334</v>
      </c>
    </row>
    <row r="2579" spans="28:31">
      <c r="AB2579" s="231" t="s">
        <v>2968</v>
      </c>
      <c r="AC2579" s="217" t="s">
        <v>333</v>
      </c>
      <c r="AD2579" s="217" t="s">
        <v>334</v>
      </c>
      <c r="AE2579" s="217" t="s">
        <v>334</v>
      </c>
    </row>
    <row r="2580" spans="28:31">
      <c r="AB2580" s="231" t="s">
        <v>2969</v>
      </c>
      <c r="AC2580" s="217" t="s">
        <v>333</v>
      </c>
      <c r="AD2580" s="217" t="s">
        <v>334</v>
      </c>
      <c r="AE2580" s="217" t="s">
        <v>334</v>
      </c>
    </row>
    <row r="2581" spans="28:31">
      <c r="AB2581" s="231" t="s">
        <v>2970</v>
      </c>
      <c r="AC2581" s="217" t="s">
        <v>333</v>
      </c>
      <c r="AD2581" s="217" t="s">
        <v>334</v>
      </c>
      <c r="AE2581" s="217" t="s">
        <v>334</v>
      </c>
    </row>
    <row r="2582" spans="28:31">
      <c r="AB2582" s="231" t="s">
        <v>2971</v>
      </c>
      <c r="AC2582" s="217" t="s">
        <v>333</v>
      </c>
      <c r="AD2582" s="217" t="s">
        <v>334</v>
      </c>
      <c r="AE2582" s="217" t="s">
        <v>334</v>
      </c>
    </row>
    <row r="2583" spans="28:31">
      <c r="AB2583" s="231" t="s">
        <v>2972</v>
      </c>
      <c r="AC2583" s="217" t="s">
        <v>333</v>
      </c>
      <c r="AD2583" s="217" t="s">
        <v>334</v>
      </c>
      <c r="AE2583" s="217" t="s">
        <v>334</v>
      </c>
    </row>
    <row r="2584" spans="28:31">
      <c r="AB2584" s="231" t="s">
        <v>2973</v>
      </c>
      <c r="AC2584" s="217" t="s">
        <v>333</v>
      </c>
      <c r="AD2584" s="217" t="s">
        <v>334</v>
      </c>
      <c r="AE2584" s="217" t="s">
        <v>334</v>
      </c>
    </row>
    <row r="2585" spans="28:31">
      <c r="AB2585" s="231" t="s">
        <v>2974</v>
      </c>
      <c r="AC2585" s="217" t="s">
        <v>333</v>
      </c>
      <c r="AD2585" s="217" t="s">
        <v>334</v>
      </c>
      <c r="AE2585" s="217" t="s">
        <v>334</v>
      </c>
    </row>
    <row r="2586" spans="28:31">
      <c r="AB2586" s="231" t="s">
        <v>2975</v>
      </c>
      <c r="AC2586" s="217" t="s">
        <v>333</v>
      </c>
      <c r="AD2586" s="217" t="s">
        <v>334</v>
      </c>
      <c r="AE2586" s="217" t="s">
        <v>334</v>
      </c>
    </row>
    <row r="2587" spans="28:31">
      <c r="AB2587" s="231" t="s">
        <v>2976</v>
      </c>
      <c r="AC2587" s="217" t="s">
        <v>333</v>
      </c>
      <c r="AD2587" s="217" t="s">
        <v>334</v>
      </c>
      <c r="AE2587" s="217" t="s">
        <v>334</v>
      </c>
    </row>
    <row r="2588" spans="28:31">
      <c r="AB2588" s="231" t="s">
        <v>2977</v>
      </c>
      <c r="AC2588" s="217" t="s">
        <v>333</v>
      </c>
      <c r="AD2588" s="217" t="s">
        <v>334</v>
      </c>
      <c r="AE2588" s="217" t="s">
        <v>334</v>
      </c>
    </row>
    <row r="2589" spans="28:31">
      <c r="AB2589" s="231" t="s">
        <v>2978</v>
      </c>
      <c r="AC2589" s="217" t="s">
        <v>333</v>
      </c>
      <c r="AD2589" s="217" t="s">
        <v>334</v>
      </c>
      <c r="AE2589" s="217" t="s">
        <v>334</v>
      </c>
    </row>
    <row r="2590" spans="28:31">
      <c r="AB2590" s="231" t="s">
        <v>2979</v>
      </c>
      <c r="AC2590" s="217" t="s">
        <v>333</v>
      </c>
      <c r="AD2590" s="217" t="s">
        <v>334</v>
      </c>
      <c r="AE2590" s="217" t="s">
        <v>334</v>
      </c>
    </row>
    <row r="2591" spans="28:31">
      <c r="AB2591" s="231" t="s">
        <v>2980</v>
      </c>
      <c r="AC2591" s="217" t="s">
        <v>333</v>
      </c>
      <c r="AD2591" s="217" t="s">
        <v>334</v>
      </c>
      <c r="AE2591" s="217" t="s">
        <v>334</v>
      </c>
    </row>
    <row r="2592" spans="28:31">
      <c r="AB2592" s="231" t="s">
        <v>2981</v>
      </c>
      <c r="AC2592" s="217" t="s">
        <v>333</v>
      </c>
      <c r="AD2592" s="217" t="s">
        <v>334</v>
      </c>
      <c r="AE2592" s="217" t="s">
        <v>334</v>
      </c>
    </row>
    <row r="2593" spans="28:31">
      <c r="AB2593" s="231" t="s">
        <v>2982</v>
      </c>
      <c r="AC2593" s="217" t="s">
        <v>333</v>
      </c>
      <c r="AD2593" s="217" t="s">
        <v>334</v>
      </c>
      <c r="AE2593" s="217" t="s">
        <v>334</v>
      </c>
    </row>
    <row r="2594" spans="28:31">
      <c r="AB2594" s="231" t="s">
        <v>2983</v>
      </c>
      <c r="AC2594" s="217" t="s">
        <v>333</v>
      </c>
      <c r="AD2594" s="217" t="s">
        <v>334</v>
      </c>
      <c r="AE2594" s="217" t="s">
        <v>334</v>
      </c>
    </row>
    <row r="2595" spans="28:31">
      <c r="AB2595" s="231" t="s">
        <v>2984</v>
      </c>
      <c r="AC2595" s="217" t="s">
        <v>333</v>
      </c>
      <c r="AD2595" s="217" t="s">
        <v>334</v>
      </c>
      <c r="AE2595" s="217" t="s">
        <v>334</v>
      </c>
    </row>
    <row r="2596" spans="28:31">
      <c r="AB2596" s="231" t="s">
        <v>2985</v>
      </c>
      <c r="AC2596" s="217" t="s">
        <v>333</v>
      </c>
      <c r="AD2596" s="217" t="s">
        <v>334</v>
      </c>
      <c r="AE2596" s="217" t="s">
        <v>334</v>
      </c>
    </row>
    <row r="2597" spans="28:31">
      <c r="AB2597" s="231" t="s">
        <v>2986</v>
      </c>
      <c r="AC2597" s="217" t="s">
        <v>333</v>
      </c>
      <c r="AD2597" s="217" t="s">
        <v>334</v>
      </c>
      <c r="AE2597" s="217" t="s">
        <v>334</v>
      </c>
    </row>
    <row r="2598" spans="28:31">
      <c r="AB2598" s="231" t="s">
        <v>2987</v>
      </c>
      <c r="AC2598" s="217" t="s">
        <v>333</v>
      </c>
      <c r="AD2598" s="217" t="s">
        <v>334</v>
      </c>
      <c r="AE2598" s="217" t="s">
        <v>334</v>
      </c>
    </row>
    <row r="2599" spans="28:31">
      <c r="AB2599" s="231" t="s">
        <v>2988</v>
      </c>
      <c r="AC2599" s="217" t="s">
        <v>333</v>
      </c>
      <c r="AD2599" s="217" t="s">
        <v>334</v>
      </c>
      <c r="AE2599" s="217" t="s">
        <v>334</v>
      </c>
    </row>
    <row r="2600" spans="28:31">
      <c r="AB2600" s="231" t="s">
        <v>2989</v>
      </c>
      <c r="AC2600" s="217" t="s">
        <v>333</v>
      </c>
      <c r="AD2600" s="217" t="s">
        <v>334</v>
      </c>
      <c r="AE2600" s="217" t="s">
        <v>334</v>
      </c>
    </row>
    <row r="2601" spans="28:31">
      <c r="AB2601" s="231" t="s">
        <v>2990</v>
      </c>
      <c r="AC2601" s="217" t="s">
        <v>333</v>
      </c>
      <c r="AD2601" s="217" t="s">
        <v>334</v>
      </c>
      <c r="AE2601" s="217" t="s">
        <v>334</v>
      </c>
    </row>
    <row r="2602" spans="28:31">
      <c r="AB2602" s="231" t="s">
        <v>2991</v>
      </c>
      <c r="AC2602" s="217" t="s">
        <v>333</v>
      </c>
      <c r="AD2602" s="217" t="s">
        <v>334</v>
      </c>
      <c r="AE2602" s="217" t="s">
        <v>334</v>
      </c>
    </row>
    <row r="2603" spans="28:31">
      <c r="AB2603" s="231" t="s">
        <v>2992</v>
      </c>
      <c r="AC2603" s="217" t="s">
        <v>333</v>
      </c>
      <c r="AD2603" s="217" t="s">
        <v>334</v>
      </c>
      <c r="AE2603" s="217" t="s">
        <v>334</v>
      </c>
    </row>
    <row r="2604" spans="28:31">
      <c r="AB2604" s="231" t="s">
        <v>2993</v>
      </c>
      <c r="AC2604" s="217" t="s">
        <v>333</v>
      </c>
      <c r="AD2604" s="217" t="s">
        <v>334</v>
      </c>
      <c r="AE2604" s="217" t="s">
        <v>334</v>
      </c>
    </row>
    <row r="2605" spans="28:31">
      <c r="AB2605" s="231" t="s">
        <v>2994</v>
      </c>
      <c r="AC2605" s="217" t="s">
        <v>333</v>
      </c>
      <c r="AD2605" s="217" t="s">
        <v>334</v>
      </c>
      <c r="AE2605" s="217" t="s">
        <v>334</v>
      </c>
    </row>
    <row r="2606" spans="28:31">
      <c r="AB2606" s="231" t="s">
        <v>2995</v>
      </c>
      <c r="AC2606" s="217" t="s">
        <v>333</v>
      </c>
      <c r="AD2606" s="217" t="s">
        <v>334</v>
      </c>
      <c r="AE2606" s="217" t="s">
        <v>334</v>
      </c>
    </row>
    <row r="2607" spans="28:31">
      <c r="AB2607" s="231" t="s">
        <v>2996</v>
      </c>
      <c r="AC2607" s="217" t="s">
        <v>333</v>
      </c>
      <c r="AD2607" s="217" t="s">
        <v>334</v>
      </c>
      <c r="AE2607" s="217" t="s">
        <v>334</v>
      </c>
    </row>
    <row r="2608" spans="28:31">
      <c r="AB2608" s="231" t="s">
        <v>2997</v>
      </c>
      <c r="AC2608" s="217" t="s">
        <v>333</v>
      </c>
      <c r="AD2608" s="217" t="s">
        <v>334</v>
      </c>
      <c r="AE2608" s="217" t="s">
        <v>334</v>
      </c>
    </row>
    <row r="2609" spans="28:31">
      <c r="AB2609" s="231" t="s">
        <v>2998</v>
      </c>
      <c r="AC2609" s="217" t="s">
        <v>333</v>
      </c>
      <c r="AD2609" s="217" t="s">
        <v>334</v>
      </c>
      <c r="AE2609" s="217" t="s">
        <v>334</v>
      </c>
    </row>
    <row r="2610" spans="28:31">
      <c r="AB2610" s="231" t="s">
        <v>2999</v>
      </c>
      <c r="AC2610" s="217" t="s">
        <v>333</v>
      </c>
      <c r="AD2610" s="217" t="s">
        <v>334</v>
      </c>
      <c r="AE2610" s="217" t="s">
        <v>334</v>
      </c>
    </row>
    <row r="2611" spans="28:31">
      <c r="AB2611" s="231" t="s">
        <v>3000</v>
      </c>
      <c r="AC2611" s="217" t="s">
        <v>333</v>
      </c>
      <c r="AD2611" s="217" t="s">
        <v>334</v>
      </c>
      <c r="AE2611" s="217" t="s">
        <v>334</v>
      </c>
    </row>
    <row r="2612" spans="28:31">
      <c r="AB2612" s="231" t="s">
        <v>3001</v>
      </c>
      <c r="AC2612" s="217" t="s">
        <v>333</v>
      </c>
      <c r="AD2612" s="217" t="s">
        <v>334</v>
      </c>
      <c r="AE2612" s="217" t="s">
        <v>334</v>
      </c>
    </row>
    <row r="2613" spans="28:31">
      <c r="AB2613" s="231" t="s">
        <v>3002</v>
      </c>
      <c r="AC2613" s="217" t="s">
        <v>333</v>
      </c>
      <c r="AD2613" s="217" t="s">
        <v>334</v>
      </c>
      <c r="AE2613" s="217" t="s">
        <v>334</v>
      </c>
    </row>
    <row r="2614" spans="28:31">
      <c r="AB2614" s="231" t="s">
        <v>3003</v>
      </c>
      <c r="AC2614" s="217" t="s">
        <v>333</v>
      </c>
      <c r="AD2614" s="217" t="s">
        <v>334</v>
      </c>
      <c r="AE2614" s="217" t="s">
        <v>334</v>
      </c>
    </row>
    <row r="2615" spans="28:31">
      <c r="AB2615" s="231" t="s">
        <v>3004</v>
      </c>
      <c r="AC2615" s="217" t="s">
        <v>333</v>
      </c>
      <c r="AD2615" s="217" t="s">
        <v>334</v>
      </c>
      <c r="AE2615" s="217" t="s">
        <v>334</v>
      </c>
    </row>
    <row r="2616" spans="28:31">
      <c r="AB2616" s="231" t="s">
        <v>3005</v>
      </c>
      <c r="AC2616" s="217" t="s">
        <v>333</v>
      </c>
      <c r="AD2616" s="217" t="s">
        <v>334</v>
      </c>
      <c r="AE2616" s="217" t="s">
        <v>334</v>
      </c>
    </row>
    <row r="2617" spans="28:31">
      <c r="AB2617" s="231" t="s">
        <v>3006</v>
      </c>
      <c r="AC2617" s="217" t="s">
        <v>333</v>
      </c>
      <c r="AD2617" s="217" t="s">
        <v>334</v>
      </c>
      <c r="AE2617" s="217" t="s">
        <v>334</v>
      </c>
    </row>
    <row r="2618" spans="28:31">
      <c r="AB2618" s="231" t="s">
        <v>3007</v>
      </c>
      <c r="AC2618" s="217" t="s">
        <v>333</v>
      </c>
      <c r="AD2618" s="217" t="s">
        <v>334</v>
      </c>
      <c r="AE2618" s="217" t="s">
        <v>334</v>
      </c>
    </row>
    <row r="2619" spans="28:31">
      <c r="AB2619" s="231" t="s">
        <v>3008</v>
      </c>
      <c r="AC2619" s="217" t="s">
        <v>333</v>
      </c>
      <c r="AD2619" s="217" t="s">
        <v>334</v>
      </c>
      <c r="AE2619" s="217" t="s">
        <v>334</v>
      </c>
    </row>
    <row r="2620" spans="28:31">
      <c r="AB2620" s="231" t="s">
        <v>3009</v>
      </c>
      <c r="AC2620" s="217" t="s">
        <v>333</v>
      </c>
      <c r="AD2620" s="217" t="s">
        <v>334</v>
      </c>
      <c r="AE2620" s="217" t="s">
        <v>334</v>
      </c>
    </row>
    <row r="2621" spans="28:31">
      <c r="AB2621" s="231" t="s">
        <v>3010</v>
      </c>
      <c r="AC2621" s="217" t="s">
        <v>333</v>
      </c>
      <c r="AD2621" s="217" t="s">
        <v>334</v>
      </c>
      <c r="AE2621" s="217" t="s">
        <v>334</v>
      </c>
    </row>
    <row r="2622" spans="28:31">
      <c r="AB2622" s="231" t="s">
        <v>3011</v>
      </c>
      <c r="AC2622" s="217" t="s">
        <v>333</v>
      </c>
      <c r="AD2622" s="217" t="s">
        <v>334</v>
      </c>
      <c r="AE2622" s="217" t="s">
        <v>334</v>
      </c>
    </row>
    <row r="2623" spans="28:31">
      <c r="AB2623" s="231" t="s">
        <v>3012</v>
      </c>
      <c r="AC2623" s="217" t="s">
        <v>333</v>
      </c>
      <c r="AD2623" s="217" t="s">
        <v>334</v>
      </c>
      <c r="AE2623" s="217" t="s">
        <v>334</v>
      </c>
    </row>
    <row r="2624" spans="28:31">
      <c r="AB2624" s="231" t="s">
        <v>3013</v>
      </c>
      <c r="AC2624" s="217" t="s">
        <v>333</v>
      </c>
      <c r="AD2624" s="217" t="s">
        <v>334</v>
      </c>
      <c r="AE2624" s="217" t="s">
        <v>334</v>
      </c>
    </row>
    <row r="2625" spans="28:31">
      <c r="AB2625" s="231" t="s">
        <v>3014</v>
      </c>
      <c r="AC2625" s="217" t="s">
        <v>333</v>
      </c>
      <c r="AD2625" s="217" t="s">
        <v>334</v>
      </c>
      <c r="AE2625" s="217" t="s">
        <v>334</v>
      </c>
    </row>
    <row r="2626" spans="28:31">
      <c r="AB2626" s="231" t="s">
        <v>3015</v>
      </c>
      <c r="AC2626" s="217" t="s">
        <v>333</v>
      </c>
      <c r="AD2626" s="217" t="s">
        <v>334</v>
      </c>
      <c r="AE2626" s="217" t="s">
        <v>334</v>
      </c>
    </row>
    <row r="2627" spans="28:31">
      <c r="AB2627" s="231" t="s">
        <v>3016</v>
      </c>
      <c r="AC2627" s="217" t="s">
        <v>333</v>
      </c>
      <c r="AD2627" s="217" t="s">
        <v>334</v>
      </c>
      <c r="AE2627" s="217" t="s">
        <v>334</v>
      </c>
    </row>
    <row r="2628" spans="28:31">
      <c r="AB2628" s="231" t="s">
        <v>3017</v>
      </c>
      <c r="AC2628" s="217" t="s">
        <v>333</v>
      </c>
      <c r="AD2628" s="217" t="s">
        <v>334</v>
      </c>
      <c r="AE2628" s="217" t="s">
        <v>334</v>
      </c>
    </row>
    <row r="2629" spans="28:31">
      <c r="AB2629" s="231" t="s">
        <v>3018</v>
      </c>
      <c r="AC2629" s="217" t="s">
        <v>333</v>
      </c>
      <c r="AD2629" s="217" t="s">
        <v>334</v>
      </c>
      <c r="AE2629" s="217" t="s">
        <v>334</v>
      </c>
    </row>
    <row r="2630" spans="28:31">
      <c r="AB2630" s="231" t="s">
        <v>3019</v>
      </c>
      <c r="AC2630" s="217" t="s">
        <v>333</v>
      </c>
      <c r="AD2630" s="217" t="s">
        <v>334</v>
      </c>
      <c r="AE2630" s="217" t="s">
        <v>334</v>
      </c>
    </row>
    <row r="2631" spans="28:31">
      <c r="AB2631" s="231" t="s">
        <v>3020</v>
      </c>
      <c r="AC2631" s="217" t="s">
        <v>333</v>
      </c>
      <c r="AD2631" s="217" t="s">
        <v>334</v>
      </c>
      <c r="AE2631" s="217" t="s">
        <v>334</v>
      </c>
    </row>
    <row r="2632" spans="28:31">
      <c r="AB2632" s="231" t="s">
        <v>3021</v>
      </c>
      <c r="AC2632" s="217" t="s">
        <v>333</v>
      </c>
      <c r="AD2632" s="217" t="s">
        <v>334</v>
      </c>
      <c r="AE2632" s="217" t="s">
        <v>334</v>
      </c>
    </row>
    <row r="2633" spans="28:31">
      <c r="AB2633" s="231" t="s">
        <v>3022</v>
      </c>
      <c r="AC2633" s="217" t="s">
        <v>333</v>
      </c>
      <c r="AD2633" s="217" t="s">
        <v>334</v>
      </c>
      <c r="AE2633" s="217" t="s">
        <v>334</v>
      </c>
    </row>
    <row r="2634" spans="28:31">
      <c r="AB2634" s="231" t="s">
        <v>3023</v>
      </c>
      <c r="AC2634" s="217" t="s">
        <v>333</v>
      </c>
      <c r="AD2634" s="217" t="s">
        <v>334</v>
      </c>
      <c r="AE2634" s="217" t="s">
        <v>334</v>
      </c>
    </row>
    <row r="2635" spans="28:31">
      <c r="AB2635" s="231" t="s">
        <v>3024</v>
      </c>
      <c r="AC2635" s="217" t="s">
        <v>333</v>
      </c>
      <c r="AD2635" s="217" t="s">
        <v>334</v>
      </c>
      <c r="AE2635" s="217" t="s">
        <v>334</v>
      </c>
    </row>
    <row r="2636" spans="28:31">
      <c r="AB2636" s="231" t="s">
        <v>3025</v>
      </c>
      <c r="AC2636" s="217" t="s">
        <v>333</v>
      </c>
      <c r="AD2636" s="217" t="s">
        <v>334</v>
      </c>
      <c r="AE2636" s="217" t="s">
        <v>334</v>
      </c>
    </row>
    <row r="2637" spans="28:31">
      <c r="AB2637" s="231" t="s">
        <v>3026</v>
      </c>
      <c r="AC2637" s="217" t="s">
        <v>333</v>
      </c>
      <c r="AD2637" s="217" t="s">
        <v>334</v>
      </c>
      <c r="AE2637" s="217" t="s">
        <v>334</v>
      </c>
    </row>
    <row r="2638" spans="28:31">
      <c r="AB2638" s="231" t="s">
        <v>3027</v>
      </c>
      <c r="AC2638" s="217" t="s">
        <v>333</v>
      </c>
      <c r="AD2638" s="217" t="s">
        <v>334</v>
      </c>
      <c r="AE2638" s="217" t="s">
        <v>334</v>
      </c>
    </row>
    <row r="2639" spans="28:31">
      <c r="AB2639" s="231" t="s">
        <v>3028</v>
      </c>
      <c r="AC2639" s="217" t="s">
        <v>333</v>
      </c>
      <c r="AD2639" s="217" t="s">
        <v>334</v>
      </c>
      <c r="AE2639" s="217" t="s">
        <v>334</v>
      </c>
    </row>
    <row r="2640" spans="28:31">
      <c r="AB2640" s="231" t="s">
        <v>3029</v>
      </c>
      <c r="AC2640" s="217" t="s">
        <v>333</v>
      </c>
      <c r="AD2640" s="217" t="s">
        <v>334</v>
      </c>
      <c r="AE2640" s="217" t="s">
        <v>334</v>
      </c>
    </row>
    <row r="2641" spans="28:31">
      <c r="AB2641" s="231" t="s">
        <v>3030</v>
      </c>
      <c r="AC2641" s="217" t="s">
        <v>333</v>
      </c>
      <c r="AD2641" s="217" t="s">
        <v>334</v>
      </c>
      <c r="AE2641" s="217" t="s">
        <v>334</v>
      </c>
    </row>
    <row r="2642" spans="28:31">
      <c r="AB2642" s="231" t="s">
        <v>3031</v>
      </c>
      <c r="AC2642" s="217" t="s">
        <v>333</v>
      </c>
      <c r="AD2642" s="217" t="s">
        <v>334</v>
      </c>
      <c r="AE2642" s="217" t="s">
        <v>334</v>
      </c>
    </row>
    <row r="2643" spans="28:31">
      <c r="AB2643" s="231" t="s">
        <v>3032</v>
      </c>
      <c r="AC2643" s="217" t="s">
        <v>333</v>
      </c>
      <c r="AD2643" s="217" t="s">
        <v>334</v>
      </c>
      <c r="AE2643" s="217" t="s">
        <v>334</v>
      </c>
    </row>
    <row r="2644" spans="28:31">
      <c r="AB2644" s="231" t="s">
        <v>3033</v>
      </c>
      <c r="AC2644" s="217" t="s">
        <v>333</v>
      </c>
      <c r="AD2644" s="217" t="s">
        <v>334</v>
      </c>
      <c r="AE2644" s="217" t="s">
        <v>334</v>
      </c>
    </row>
    <row r="2645" spans="28:31">
      <c r="AB2645" s="231" t="s">
        <v>3034</v>
      </c>
      <c r="AC2645" s="217" t="s">
        <v>333</v>
      </c>
      <c r="AD2645" s="217" t="s">
        <v>334</v>
      </c>
      <c r="AE2645" s="217" t="s">
        <v>334</v>
      </c>
    </row>
    <row r="2646" spans="28:31">
      <c r="AB2646" s="231" t="s">
        <v>3035</v>
      </c>
      <c r="AC2646" s="217" t="s">
        <v>333</v>
      </c>
      <c r="AD2646" s="217" t="s">
        <v>334</v>
      </c>
      <c r="AE2646" s="217" t="s">
        <v>334</v>
      </c>
    </row>
    <row r="2647" spans="28:31">
      <c r="AB2647" s="231" t="s">
        <v>3036</v>
      </c>
      <c r="AC2647" s="217" t="s">
        <v>333</v>
      </c>
      <c r="AD2647" s="217" t="s">
        <v>334</v>
      </c>
      <c r="AE2647" s="217" t="s">
        <v>334</v>
      </c>
    </row>
    <row r="2648" spans="28:31">
      <c r="AB2648" s="231" t="s">
        <v>3037</v>
      </c>
      <c r="AC2648" s="217" t="s">
        <v>333</v>
      </c>
      <c r="AD2648" s="217" t="s">
        <v>334</v>
      </c>
      <c r="AE2648" s="217" t="s">
        <v>334</v>
      </c>
    </row>
    <row r="2649" spans="28:31">
      <c r="AB2649" s="231" t="s">
        <v>3038</v>
      </c>
      <c r="AC2649" s="217" t="s">
        <v>333</v>
      </c>
      <c r="AD2649" s="217" t="s">
        <v>334</v>
      </c>
      <c r="AE2649" s="217" t="s">
        <v>334</v>
      </c>
    </row>
    <row r="2650" spans="28:31">
      <c r="AB2650" s="231" t="s">
        <v>3039</v>
      </c>
      <c r="AC2650" s="217" t="s">
        <v>333</v>
      </c>
      <c r="AD2650" s="217" t="s">
        <v>334</v>
      </c>
      <c r="AE2650" s="217" t="s">
        <v>334</v>
      </c>
    </row>
    <row r="2651" spans="28:31">
      <c r="AB2651" s="231" t="s">
        <v>3040</v>
      </c>
      <c r="AC2651" s="217" t="s">
        <v>333</v>
      </c>
      <c r="AD2651" s="217" t="s">
        <v>334</v>
      </c>
      <c r="AE2651" s="217" t="s">
        <v>334</v>
      </c>
    </row>
    <row r="2652" spans="28:31">
      <c r="AB2652" s="231" t="s">
        <v>3041</v>
      </c>
      <c r="AC2652" s="217" t="s">
        <v>333</v>
      </c>
      <c r="AD2652" s="217" t="s">
        <v>334</v>
      </c>
      <c r="AE2652" s="217" t="s">
        <v>334</v>
      </c>
    </row>
    <row r="2653" spans="28:31">
      <c r="AB2653" s="231" t="s">
        <v>3042</v>
      </c>
      <c r="AC2653" s="217" t="s">
        <v>333</v>
      </c>
      <c r="AD2653" s="217" t="s">
        <v>334</v>
      </c>
      <c r="AE2653" s="217" t="s">
        <v>334</v>
      </c>
    </row>
    <row r="2654" spans="28:31">
      <c r="AB2654" s="231" t="s">
        <v>3043</v>
      </c>
      <c r="AC2654" s="217" t="s">
        <v>333</v>
      </c>
      <c r="AD2654" s="217" t="s">
        <v>334</v>
      </c>
      <c r="AE2654" s="217" t="s">
        <v>334</v>
      </c>
    </row>
    <row r="2655" spans="28:31">
      <c r="AB2655" s="231" t="s">
        <v>3044</v>
      </c>
      <c r="AC2655" s="217" t="s">
        <v>333</v>
      </c>
      <c r="AD2655" s="217" t="s">
        <v>334</v>
      </c>
      <c r="AE2655" s="217" t="s">
        <v>334</v>
      </c>
    </row>
    <row r="2656" spans="28:31">
      <c r="AB2656" s="231" t="s">
        <v>3045</v>
      </c>
      <c r="AC2656" s="217" t="s">
        <v>333</v>
      </c>
      <c r="AD2656" s="217" t="s">
        <v>334</v>
      </c>
      <c r="AE2656" s="217" t="s">
        <v>334</v>
      </c>
    </row>
    <row r="2657" spans="28:31">
      <c r="AB2657" s="231" t="s">
        <v>3046</v>
      </c>
      <c r="AC2657" s="217" t="s">
        <v>333</v>
      </c>
      <c r="AD2657" s="217" t="s">
        <v>334</v>
      </c>
      <c r="AE2657" s="217" t="s">
        <v>334</v>
      </c>
    </row>
    <row r="2658" spans="28:31">
      <c r="AB2658" s="231" t="s">
        <v>3047</v>
      </c>
      <c r="AC2658" s="217" t="s">
        <v>333</v>
      </c>
      <c r="AD2658" s="217" t="s">
        <v>334</v>
      </c>
      <c r="AE2658" s="217" t="s">
        <v>334</v>
      </c>
    </row>
    <row r="2659" spans="28:31">
      <c r="AB2659" s="231" t="s">
        <v>3048</v>
      </c>
      <c r="AC2659" s="217" t="s">
        <v>333</v>
      </c>
      <c r="AD2659" s="217" t="s">
        <v>334</v>
      </c>
      <c r="AE2659" s="217" t="s">
        <v>334</v>
      </c>
    </row>
    <row r="2660" spans="28:31">
      <c r="AB2660" s="231" t="s">
        <v>3049</v>
      </c>
      <c r="AC2660" s="217" t="s">
        <v>333</v>
      </c>
      <c r="AD2660" s="217" t="s">
        <v>334</v>
      </c>
      <c r="AE2660" s="217" t="s">
        <v>334</v>
      </c>
    </row>
    <row r="2661" spans="28:31">
      <c r="AB2661" s="231" t="s">
        <v>3050</v>
      </c>
      <c r="AC2661" s="217" t="s">
        <v>333</v>
      </c>
      <c r="AD2661" s="217" t="s">
        <v>334</v>
      </c>
      <c r="AE2661" s="217" t="s">
        <v>334</v>
      </c>
    </row>
    <row r="2662" spans="28:31">
      <c r="AB2662" s="231" t="s">
        <v>3051</v>
      </c>
      <c r="AC2662" s="217" t="s">
        <v>333</v>
      </c>
      <c r="AD2662" s="217" t="s">
        <v>334</v>
      </c>
      <c r="AE2662" s="217" t="s">
        <v>334</v>
      </c>
    </row>
    <row r="2663" spans="28:31">
      <c r="AB2663" s="231" t="s">
        <v>3052</v>
      </c>
      <c r="AC2663" s="217" t="s">
        <v>333</v>
      </c>
      <c r="AD2663" s="217" t="s">
        <v>334</v>
      </c>
      <c r="AE2663" s="217" t="s">
        <v>334</v>
      </c>
    </row>
    <row r="2664" spans="28:31">
      <c r="AB2664" s="231" t="s">
        <v>3053</v>
      </c>
      <c r="AC2664" s="217" t="s">
        <v>333</v>
      </c>
      <c r="AD2664" s="217" t="s">
        <v>334</v>
      </c>
      <c r="AE2664" s="217" t="s">
        <v>334</v>
      </c>
    </row>
    <row r="2665" spans="28:31">
      <c r="AB2665" s="231" t="s">
        <v>3054</v>
      </c>
      <c r="AC2665" s="217" t="s">
        <v>333</v>
      </c>
      <c r="AD2665" s="217" t="s">
        <v>334</v>
      </c>
      <c r="AE2665" s="217" t="s">
        <v>334</v>
      </c>
    </row>
    <row r="2666" spans="28:31">
      <c r="AB2666" s="231" t="s">
        <v>3055</v>
      </c>
      <c r="AC2666" s="217" t="s">
        <v>333</v>
      </c>
      <c r="AD2666" s="217" t="s">
        <v>334</v>
      </c>
      <c r="AE2666" s="217" t="s">
        <v>334</v>
      </c>
    </row>
    <row r="2667" spans="28:31">
      <c r="AB2667" s="231" t="s">
        <v>3056</v>
      </c>
      <c r="AC2667" s="217" t="s">
        <v>333</v>
      </c>
      <c r="AD2667" s="217" t="s">
        <v>334</v>
      </c>
      <c r="AE2667" s="217" t="s">
        <v>334</v>
      </c>
    </row>
    <row r="2668" spans="28:31">
      <c r="AB2668" s="231" t="s">
        <v>3057</v>
      </c>
      <c r="AC2668" s="217" t="s">
        <v>333</v>
      </c>
      <c r="AD2668" s="217" t="s">
        <v>334</v>
      </c>
      <c r="AE2668" s="217" t="s">
        <v>334</v>
      </c>
    </row>
    <row r="2669" spans="28:31">
      <c r="AB2669" s="231" t="s">
        <v>3058</v>
      </c>
      <c r="AC2669" s="217" t="s">
        <v>333</v>
      </c>
      <c r="AD2669" s="217" t="s">
        <v>334</v>
      </c>
      <c r="AE2669" s="217" t="s">
        <v>334</v>
      </c>
    </row>
    <row r="2670" spans="28:31">
      <c r="AB2670" s="231" t="s">
        <v>3059</v>
      </c>
      <c r="AC2670" s="217" t="s">
        <v>333</v>
      </c>
      <c r="AD2670" s="217" t="s">
        <v>334</v>
      </c>
      <c r="AE2670" s="217" t="s">
        <v>334</v>
      </c>
    </row>
    <row r="2671" spans="28:31">
      <c r="AB2671" s="231" t="s">
        <v>3060</v>
      </c>
      <c r="AC2671" s="217" t="s">
        <v>333</v>
      </c>
      <c r="AD2671" s="217" t="s">
        <v>334</v>
      </c>
      <c r="AE2671" s="217" t="s">
        <v>334</v>
      </c>
    </row>
    <row r="2672" spans="28:31">
      <c r="AB2672" s="231" t="s">
        <v>3061</v>
      </c>
      <c r="AC2672" s="217" t="s">
        <v>333</v>
      </c>
      <c r="AD2672" s="217" t="s">
        <v>334</v>
      </c>
      <c r="AE2672" s="217" t="s">
        <v>334</v>
      </c>
    </row>
    <row r="2673" spans="28:31">
      <c r="AB2673" s="231" t="s">
        <v>3062</v>
      </c>
      <c r="AC2673" s="217" t="s">
        <v>333</v>
      </c>
      <c r="AD2673" s="217" t="s">
        <v>334</v>
      </c>
      <c r="AE2673" s="217" t="s">
        <v>334</v>
      </c>
    </row>
    <row r="2674" spans="28:31">
      <c r="AB2674" s="231" t="s">
        <v>3063</v>
      </c>
      <c r="AC2674" s="217" t="s">
        <v>333</v>
      </c>
      <c r="AD2674" s="217" t="s">
        <v>334</v>
      </c>
      <c r="AE2674" s="217" t="s">
        <v>334</v>
      </c>
    </row>
    <row r="2675" spans="28:31">
      <c r="AB2675" s="231" t="s">
        <v>3064</v>
      </c>
      <c r="AC2675" s="217" t="s">
        <v>333</v>
      </c>
      <c r="AD2675" s="217" t="s">
        <v>334</v>
      </c>
      <c r="AE2675" s="217" t="s">
        <v>334</v>
      </c>
    </row>
    <row r="2676" spans="28:31">
      <c r="AB2676" s="231" t="s">
        <v>3065</v>
      </c>
      <c r="AC2676" s="217" t="s">
        <v>333</v>
      </c>
      <c r="AD2676" s="217" t="s">
        <v>334</v>
      </c>
      <c r="AE2676" s="217" t="s">
        <v>334</v>
      </c>
    </row>
    <row r="2677" spans="28:31">
      <c r="AB2677" s="231" t="s">
        <v>3066</v>
      </c>
      <c r="AC2677" s="217" t="s">
        <v>333</v>
      </c>
      <c r="AD2677" s="217" t="s">
        <v>334</v>
      </c>
      <c r="AE2677" s="217" t="s">
        <v>334</v>
      </c>
    </row>
    <row r="2678" spans="28:31">
      <c r="AB2678" s="231" t="s">
        <v>3067</v>
      </c>
      <c r="AC2678" s="217" t="s">
        <v>333</v>
      </c>
      <c r="AD2678" s="217" t="s">
        <v>334</v>
      </c>
      <c r="AE2678" s="217" t="s">
        <v>334</v>
      </c>
    </row>
    <row r="2679" spans="28:31">
      <c r="AB2679" s="231" t="s">
        <v>3068</v>
      </c>
      <c r="AC2679" s="217" t="s">
        <v>333</v>
      </c>
      <c r="AD2679" s="217" t="s">
        <v>334</v>
      </c>
      <c r="AE2679" s="217" t="s">
        <v>334</v>
      </c>
    </row>
    <row r="2680" spans="28:31">
      <c r="AB2680" s="231" t="s">
        <v>3069</v>
      </c>
      <c r="AC2680" s="217" t="s">
        <v>333</v>
      </c>
      <c r="AD2680" s="217" t="s">
        <v>334</v>
      </c>
      <c r="AE2680" s="217" t="s">
        <v>334</v>
      </c>
    </row>
    <row r="2681" spans="28:31">
      <c r="AB2681" s="231" t="s">
        <v>3070</v>
      </c>
      <c r="AC2681" s="217" t="s">
        <v>333</v>
      </c>
      <c r="AD2681" s="217" t="s">
        <v>334</v>
      </c>
      <c r="AE2681" s="217" t="s">
        <v>334</v>
      </c>
    </row>
    <row r="2682" spans="28:31">
      <c r="AB2682" s="231" t="s">
        <v>3071</v>
      </c>
      <c r="AC2682" s="217" t="s">
        <v>333</v>
      </c>
      <c r="AD2682" s="217" t="s">
        <v>334</v>
      </c>
      <c r="AE2682" s="217" t="s">
        <v>334</v>
      </c>
    </row>
    <row r="2683" spans="28:31">
      <c r="AB2683" s="231" t="s">
        <v>3072</v>
      </c>
      <c r="AC2683" s="217" t="s">
        <v>333</v>
      </c>
      <c r="AD2683" s="217" t="s">
        <v>334</v>
      </c>
      <c r="AE2683" s="217" t="s">
        <v>334</v>
      </c>
    </row>
    <row r="2684" spans="28:31">
      <c r="AB2684" s="231" t="s">
        <v>3073</v>
      </c>
      <c r="AC2684" s="217" t="s">
        <v>333</v>
      </c>
      <c r="AD2684" s="217" t="s">
        <v>334</v>
      </c>
      <c r="AE2684" s="217" t="s">
        <v>334</v>
      </c>
    </row>
    <row r="2685" spans="28:31">
      <c r="AB2685" s="231" t="s">
        <v>3074</v>
      </c>
      <c r="AC2685" s="217" t="s">
        <v>333</v>
      </c>
      <c r="AD2685" s="217" t="s">
        <v>334</v>
      </c>
      <c r="AE2685" s="217" t="s">
        <v>334</v>
      </c>
    </row>
    <row r="2686" spans="28:31">
      <c r="AB2686" s="231" t="s">
        <v>3075</v>
      </c>
      <c r="AC2686" s="217" t="s">
        <v>333</v>
      </c>
      <c r="AD2686" s="217" t="s">
        <v>334</v>
      </c>
      <c r="AE2686" s="217" t="s">
        <v>334</v>
      </c>
    </row>
    <row r="2687" spans="28:31">
      <c r="AB2687" s="231" t="s">
        <v>3076</v>
      </c>
      <c r="AC2687" s="217" t="s">
        <v>333</v>
      </c>
      <c r="AD2687" s="217" t="s">
        <v>334</v>
      </c>
      <c r="AE2687" s="217" t="s">
        <v>334</v>
      </c>
    </row>
    <row r="2688" spans="28:31">
      <c r="AB2688" s="231" t="s">
        <v>3077</v>
      </c>
      <c r="AC2688" s="217" t="s">
        <v>333</v>
      </c>
      <c r="AD2688" s="217" t="s">
        <v>334</v>
      </c>
      <c r="AE2688" s="217" t="s">
        <v>334</v>
      </c>
    </row>
    <row r="2689" spans="28:31">
      <c r="AB2689" s="231" t="s">
        <v>3078</v>
      </c>
      <c r="AC2689" s="217" t="s">
        <v>333</v>
      </c>
      <c r="AD2689" s="217" t="s">
        <v>334</v>
      </c>
      <c r="AE2689" s="217" t="s">
        <v>334</v>
      </c>
    </row>
    <row r="2690" spans="28:31">
      <c r="AB2690" s="231" t="s">
        <v>3079</v>
      </c>
      <c r="AC2690" s="217" t="s">
        <v>333</v>
      </c>
      <c r="AD2690" s="217" t="s">
        <v>334</v>
      </c>
      <c r="AE2690" s="217" t="s">
        <v>334</v>
      </c>
    </row>
    <row r="2691" spans="28:31">
      <c r="AB2691" s="231" t="s">
        <v>3080</v>
      </c>
      <c r="AC2691" s="217" t="s">
        <v>333</v>
      </c>
      <c r="AD2691" s="217" t="s">
        <v>334</v>
      </c>
      <c r="AE2691" s="217" t="s">
        <v>334</v>
      </c>
    </row>
    <row r="2692" spans="28:31">
      <c r="AB2692" s="231" t="s">
        <v>3081</v>
      </c>
      <c r="AC2692" s="217" t="s">
        <v>333</v>
      </c>
      <c r="AD2692" s="217" t="s">
        <v>334</v>
      </c>
      <c r="AE2692" s="217" t="s">
        <v>334</v>
      </c>
    </row>
    <row r="2693" spans="28:31">
      <c r="AB2693" s="231" t="s">
        <v>3082</v>
      </c>
      <c r="AC2693" s="217" t="s">
        <v>333</v>
      </c>
      <c r="AD2693" s="217" t="s">
        <v>334</v>
      </c>
      <c r="AE2693" s="217" t="s">
        <v>334</v>
      </c>
    </row>
    <row r="2694" spans="28:31">
      <c r="AB2694" s="231" t="s">
        <v>3083</v>
      </c>
      <c r="AC2694" s="217" t="s">
        <v>333</v>
      </c>
      <c r="AD2694" s="217" t="s">
        <v>334</v>
      </c>
      <c r="AE2694" s="217" t="s">
        <v>334</v>
      </c>
    </row>
    <row r="2695" spans="28:31">
      <c r="AB2695" s="231" t="s">
        <v>3084</v>
      </c>
      <c r="AC2695" s="217" t="s">
        <v>333</v>
      </c>
      <c r="AD2695" s="217" t="s">
        <v>334</v>
      </c>
      <c r="AE2695" s="217" t="s">
        <v>334</v>
      </c>
    </row>
    <row r="2696" spans="28:31">
      <c r="AB2696" s="231" t="s">
        <v>3085</v>
      </c>
      <c r="AC2696" s="217" t="s">
        <v>333</v>
      </c>
      <c r="AD2696" s="217" t="s">
        <v>334</v>
      </c>
      <c r="AE2696" s="217" t="s">
        <v>334</v>
      </c>
    </row>
    <row r="2697" spans="28:31">
      <c r="AB2697" s="231" t="s">
        <v>3086</v>
      </c>
      <c r="AC2697" s="217" t="s">
        <v>333</v>
      </c>
      <c r="AD2697" s="217" t="s">
        <v>334</v>
      </c>
      <c r="AE2697" s="217" t="s">
        <v>334</v>
      </c>
    </row>
    <row r="2698" spans="28:31">
      <c r="AB2698" s="231" t="s">
        <v>3087</v>
      </c>
      <c r="AC2698" s="217" t="s">
        <v>333</v>
      </c>
      <c r="AD2698" s="217" t="s">
        <v>334</v>
      </c>
      <c r="AE2698" s="217" t="s">
        <v>334</v>
      </c>
    </row>
    <row r="2699" spans="28:31">
      <c r="AB2699" s="231" t="s">
        <v>3088</v>
      </c>
      <c r="AC2699" s="217" t="s">
        <v>333</v>
      </c>
      <c r="AD2699" s="217" t="s">
        <v>334</v>
      </c>
      <c r="AE2699" s="217" t="s">
        <v>334</v>
      </c>
    </row>
    <row r="2700" spans="28:31">
      <c r="AB2700" s="231" t="s">
        <v>3089</v>
      </c>
      <c r="AC2700" s="217" t="s">
        <v>333</v>
      </c>
      <c r="AD2700" s="217" t="s">
        <v>334</v>
      </c>
      <c r="AE2700" s="217" t="s">
        <v>334</v>
      </c>
    </row>
    <row r="2701" spans="28:31">
      <c r="AB2701" s="231" t="s">
        <v>3090</v>
      </c>
      <c r="AC2701" s="217" t="s">
        <v>333</v>
      </c>
      <c r="AD2701" s="217" t="s">
        <v>334</v>
      </c>
      <c r="AE2701" s="217" t="s">
        <v>334</v>
      </c>
    </row>
    <row r="2702" spans="28:31">
      <c r="AB2702" s="231" t="s">
        <v>3091</v>
      </c>
      <c r="AC2702" s="217" t="s">
        <v>333</v>
      </c>
      <c r="AD2702" s="217" t="s">
        <v>334</v>
      </c>
      <c r="AE2702" s="217" t="s">
        <v>334</v>
      </c>
    </row>
    <row r="2703" spans="28:31">
      <c r="AB2703" s="231" t="s">
        <v>3092</v>
      </c>
      <c r="AC2703" s="217" t="s">
        <v>333</v>
      </c>
      <c r="AD2703" s="217" t="s">
        <v>334</v>
      </c>
      <c r="AE2703" s="217" t="s">
        <v>334</v>
      </c>
    </row>
    <row r="2704" spans="28:31">
      <c r="AB2704" s="231" t="s">
        <v>3093</v>
      </c>
      <c r="AC2704" s="217" t="s">
        <v>333</v>
      </c>
      <c r="AD2704" s="217" t="s">
        <v>334</v>
      </c>
      <c r="AE2704" s="217" t="s">
        <v>334</v>
      </c>
    </row>
    <row r="2705" spans="28:31">
      <c r="AB2705" s="231" t="s">
        <v>3094</v>
      </c>
      <c r="AC2705" s="217" t="s">
        <v>333</v>
      </c>
      <c r="AD2705" s="217" t="s">
        <v>334</v>
      </c>
      <c r="AE2705" s="217" t="s">
        <v>334</v>
      </c>
    </row>
    <row r="2706" spans="28:31">
      <c r="AB2706" s="231" t="s">
        <v>3095</v>
      </c>
      <c r="AC2706" s="217" t="s">
        <v>333</v>
      </c>
      <c r="AD2706" s="217" t="s">
        <v>334</v>
      </c>
      <c r="AE2706" s="217" t="s">
        <v>334</v>
      </c>
    </row>
    <row r="2707" spans="28:31">
      <c r="AB2707" s="231" t="s">
        <v>3096</v>
      </c>
      <c r="AC2707" s="217" t="s">
        <v>333</v>
      </c>
      <c r="AD2707" s="217" t="s">
        <v>334</v>
      </c>
      <c r="AE2707" s="217" t="s">
        <v>334</v>
      </c>
    </row>
    <row r="2708" spans="28:31">
      <c r="AB2708" s="231" t="s">
        <v>3097</v>
      </c>
      <c r="AC2708" s="217" t="s">
        <v>333</v>
      </c>
      <c r="AD2708" s="217" t="s">
        <v>334</v>
      </c>
      <c r="AE2708" s="217" t="s">
        <v>334</v>
      </c>
    </row>
    <row r="2709" spans="28:31">
      <c r="AB2709" s="231" t="s">
        <v>3098</v>
      </c>
      <c r="AC2709" s="217" t="s">
        <v>333</v>
      </c>
      <c r="AD2709" s="217" t="s">
        <v>334</v>
      </c>
      <c r="AE2709" s="217" t="s">
        <v>334</v>
      </c>
    </row>
    <row r="2710" spans="28:31">
      <c r="AB2710" s="231" t="s">
        <v>3099</v>
      </c>
      <c r="AC2710" s="217" t="s">
        <v>333</v>
      </c>
      <c r="AD2710" s="217" t="s">
        <v>334</v>
      </c>
      <c r="AE2710" s="217" t="s">
        <v>334</v>
      </c>
    </row>
    <row r="2711" spans="28:31">
      <c r="AB2711" s="231" t="s">
        <v>3100</v>
      </c>
      <c r="AC2711" s="217" t="s">
        <v>333</v>
      </c>
      <c r="AD2711" s="217" t="s">
        <v>334</v>
      </c>
      <c r="AE2711" s="217" t="s">
        <v>334</v>
      </c>
    </row>
    <row r="2712" spans="28:31">
      <c r="AB2712" s="231" t="s">
        <v>3101</v>
      </c>
      <c r="AC2712" s="217" t="s">
        <v>333</v>
      </c>
      <c r="AD2712" s="217" t="s">
        <v>334</v>
      </c>
      <c r="AE2712" s="217" t="s">
        <v>334</v>
      </c>
    </row>
    <row r="2713" spans="28:31">
      <c r="AB2713" s="231" t="s">
        <v>3102</v>
      </c>
      <c r="AC2713" s="217" t="s">
        <v>333</v>
      </c>
      <c r="AD2713" s="217" t="s">
        <v>334</v>
      </c>
      <c r="AE2713" s="217" t="s">
        <v>334</v>
      </c>
    </row>
    <row r="2714" spans="28:31">
      <c r="AB2714" s="231" t="s">
        <v>3103</v>
      </c>
      <c r="AC2714" s="217" t="s">
        <v>333</v>
      </c>
      <c r="AD2714" s="217" t="s">
        <v>334</v>
      </c>
      <c r="AE2714" s="217" t="s">
        <v>334</v>
      </c>
    </row>
    <row r="2715" spans="28:31">
      <c r="AB2715" s="231" t="s">
        <v>3104</v>
      </c>
      <c r="AC2715" s="217" t="s">
        <v>333</v>
      </c>
      <c r="AD2715" s="217" t="s">
        <v>334</v>
      </c>
      <c r="AE2715" s="217" t="s">
        <v>334</v>
      </c>
    </row>
    <row r="2716" spans="28:31">
      <c r="AB2716" s="231" t="s">
        <v>3105</v>
      </c>
      <c r="AC2716" s="217" t="s">
        <v>333</v>
      </c>
      <c r="AD2716" s="217" t="s">
        <v>334</v>
      </c>
      <c r="AE2716" s="217" t="s">
        <v>334</v>
      </c>
    </row>
    <row r="2717" spans="28:31">
      <c r="AB2717" s="231" t="s">
        <v>3106</v>
      </c>
      <c r="AC2717" s="217" t="s">
        <v>333</v>
      </c>
      <c r="AD2717" s="217" t="s">
        <v>334</v>
      </c>
      <c r="AE2717" s="217" t="s">
        <v>334</v>
      </c>
    </row>
    <row r="2718" spans="28:31">
      <c r="AB2718" s="231" t="s">
        <v>3107</v>
      </c>
      <c r="AC2718" s="217" t="s">
        <v>333</v>
      </c>
      <c r="AD2718" s="217" t="s">
        <v>334</v>
      </c>
      <c r="AE2718" s="217" t="s">
        <v>334</v>
      </c>
    </row>
    <row r="2719" spans="28:31">
      <c r="AB2719" s="231" t="s">
        <v>3108</v>
      </c>
      <c r="AC2719" s="217" t="s">
        <v>333</v>
      </c>
      <c r="AD2719" s="217" t="s">
        <v>334</v>
      </c>
      <c r="AE2719" s="217" t="s">
        <v>334</v>
      </c>
    </row>
    <row r="2720" spans="28:31">
      <c r="AB2720" s="231" t="s">
        <v>3109</v>
      </c>
      <c r="AC2720" s="217" t="s">
        <v>333</v>
      </c>
      <c r="AD2720" s="217" t="s">
        <v>334</v>
      </c>
      <c r="AE2720" s="217" t="s">
        <v>334</v>
      </c>
    </row>
    <row r="2721" spans="28:31">
      <c r="AB2721" s="231" t="s">
        <v>3110</v>
      </c>
      <c r="AC2721" s="217" t="s">
        <v>333</v>
      </c>
      <c r="AD2721" s="217" t="s">
        <v>334</v>
      </c>
      <c r="AE2721" s="217" t="s">
        <v>334</v>
      </c>
    </row>
    <row r="2722" spans="28:31">
      <c r="AB2722" s="231" t="s">
        <v>3111</v>
      </c>
      <c r="AC2722" s="217" t="s">
        <v>333</v>
      </c>
      <c r="AD2722" s="217" t="s">
        <v>334</v>
      </c>
      <c r="AE2722" s="217" t="s">
        <v>334</v>
      </c>
    </row>
    <row r="2723" spans="28:31">
      <c r="AB2723" s="231" t="s">
        <v>3112</v>
      </c>
      <c r="AC2723" s="217" t="s">
        <v>333</v>
      </c>
      <c r="AD2723" s="217" t="s">
        <v>334</v>
      </c>
      <c r="AE2723" s="217" t="s">
        <v>334</v>
      </c>
    </row>
    <row r="2724" spans="28:31">
      <c r="AB2724" s="231" t="s">
        <v>3113</v>
      </c>
      <c r="AC2724" s="217" t="s">
        <v>333</v>
      </c>
      <c r="AD2724" s="217" t="s">
        <v>334</v>
      </c>
      <c r="AE2724" s="217" t="s">
        <v>334</v>
      </c>
    </row>
    <row r="2725" spans="28:31">
      <c r="AB2725" s="231" t="s">
        <v>3114</v>
      </c>
      <c r="AC2725" s="217" t="s">
        <v>333</v>
      </c>
      <c r="AD2725" s="217" t="s">
        <v>334</v>
      </c>
      <c r="AE2725" s="217" t="s">
        <v>334</v>
      </c>
    </row>
    <row r="2726" spans="28:31">
      <c r="AB2726" s="231" t="s">
        <v>3115</v>
      </c>
      <c r="AC2726" s="217" t="s">
        <v>333</v>
      </c>
      <c r="AD2726" s="217" t="s">
        <v>334</v>
      </c>
      <c r="AE2726" s="217" t="s">
        <v>334</v>
      </c>
    </row>
    <row r="2727" spans="28:31">
      <c r="AB2727" s="231" t="s">
        <v>3116</v>
      </c>
      <c r="AC2727" s="217" t="s">
        <v>333</v>
      </c>
      <c r="AD2727" s="217" t="s">
        <v>334</v>
      </c>
      <c r="AE2727" s="217" t="s">
        <v>334</v>
      </c>
    </row>
    <row r="2728" spans="28:31">
      <c r="AB2728" s="231" t="s">
        <v>3117</v>
      </c>
      <c r="AC2728" s="217" t="s">
        <v>333</v>
      </c>
      <c r="AD2728" s="217" t="s">
        <v>334</v>
      </c>
      <c r="AE2728" s="217" t="s">
        <v>334</v>
      </c>
    </row>
    <row r="2729" spans="28:31">
      <c r="AB2729" s="231" t="s">
        <v>3118</v>
      </c>
      <c r="AC2729" s="217" t="s">
        <v>333</v>
      </c>
      <c r="AD2729" s="217" t="s">
        <v>334</v>
      </c>
      <c r="AE2729" s="217" t="s">
        <v>334</v>
      </c>
    </row>
    <row r="2730" spans="28:31">
      <c r="AB2730" s="231" t="s">
        <v>3119</v>
      </c>
      <c r="AC2730" s="217" t="s">
        <v>333</v>
      </c>
      <c r="AD2730" s="217" t="s">
        <v>334</v>
      </c>
      <c r="AE2730" s="217" t="s">
        <v>334</v>
      </c>
    </row>
    <row r="2731" spans="28:31">
      <c r="AB2731" s="231" t="s">
        <v>3120</v>
      </c>
      <c r="AC2731" s="217" t="s">
        <v>333</v>
      </c>
      <c r="AD2731" s="217" t="s">
        <v>334</v>
      </c>
      <c r="AE2731" s="217" t="s">
        <v>334</v>
      </c>
    </row>
    <row r="2732" spans="28:31">
      <c r="AB2732" s="231" t="s">
        <v>3121</v>
      </c>
      <c r="AC2732" s="217" t="s">
        <v>333</v>
      </c>
      <c r="AD2732" s="217" t="s">
        <v>334</v>
      </c>
      <c r="AE2732" s="217" t="s">
        <v>334</v>
      </c>
    </row>
    <row r="2733" spans="28:31">
      <c r="AB2733" s="231" t="s">
        <v>3122</v>
      </c>
      <c r="AC2733" s="217" t="s">
        <v>333</v>
      </c>
      <c r="AD2733" s="217" t="s">
        <v>334</v>
      </c>
      <c r="AE2733" s="217" t="s">
        <v>334</v>
      </c>
    </row>
    <row r="2734" spans="28:31">
      <c r="AB2734" s="231" t="s">
        <v>3123</v>
      </c>
      <c r="AC2734" s="217" t="s">
        <v>333</v>
      </c>
      <c r="AD2734" s="217" t="s">
        <v>334</v>
      </c>
      <c r="AE2734" s="217" t="s">
        <v>334</v>
      </c>
    </row>
    <row r="2735" spans="28:31">
      <c r="AB2735" s="231" t="s">
        <v>3124</v>
      </c>
      <c r="AC2735" s="217" t="s">
        <v>333</v>
      </c>
      <c r="AD2735" s="217" t="s">
        <v>334</v>
      </c>
      <c r="AE2735" s="217" t="s">
        <v>334</v>
      </c>
    </row>
    <row r="2736" spans="28:31">
      <c r="AB2736" s="231" t="s">
        <v>3125</v>
      </c>
      <c r="AC2736" s="217" t="s">
        <v>333</v>
      </c>
      <c r="AD2736" s="217" t="s">
        <v>334</v>
      </c>
      <c r="AE2736" s="217" t="s">
        <v>334</v>
      </c>
    </row>
    <row r="2737" spans="28:31">
      <c r="AB2737" s="231" t="s">
        <v>3126</v>
      </c>
      <c r="AC2737" s="217" t="s">
        <v>333</v>
      </c>
      <c r="AD2737" s="217" t="s">
        <v>334</v>
      </c>
      <c r="AE2737" s="217" t="s">
        <v>334</v>
      </c>
    </row>
    <row r="2738" spans="28:31">
      <c r="AB2738" s="231" t="s">
        <v>3127</v>
      </c>
      <c r="AC2738" s="217" t="s">
        <v>333</v>
      </c>
      <c r="AD2738" s="217" t="s">
        <v>334</v>
      </c>
      <c r="AE2738" s="217" t="s">
        <v>334</v>
      </c>
    </row>
    <row r="2739" spans="28:31">
      <c r="AB2739" s="231" t="s">
        <v>3128</v>
      </c>
      <c r="AC2739" s="217" t="s">
        <v>333</v>
      </c>
      <c r="AD2739" s="217" t="s">
        <v>334</v>
      </c>
      <c r="AE2739" s="217" t="s">
        <v>334</v>
      </c>
    </row>
    <row r="2740" spans="28:31">
      <c r="AB2740" s="231" t="s">
        <v>3129</v>
      </c>
      <c r="AC2740" s="217" t="s">
        <v>333</v>
      </c>
      <c r="AD2740" s="217" t="s">
        <v>334</v>
      </c>
      <c r="AE2740" s="217" t="s">
        <v>334</v>
      </c>
    </row>
    <row r="2741" spans="28:31">
      <c r="AB2741" s="231" t="s">
        <v>3130</v>
      </c>
      <c r="AC2741" s="217" t="s">
        <v>333</v>
      </c>
      <c r="AD2741" s="217" t="s">
        <v>334</v>
      </c>
      <c r="AE2741" s="217" t="s">
        <v>334</v>
      </c>
    </row>
    <row r="2742" spans="28:31">
      <c r="AB2742" s="231" t="s">
        <v>3131</v>
      </c>
      <c r="AC2742" s="217" t="s">
        <v>333</v>
      </c>
      <c r="AD2742" s="217" t="s">
        <v>334</v>
      </c>
      <c r="AE2742" s="217" t="s">
        <v>334</v>
      </c>
    </row>
    <row r="2743" spans="28:31">
      <c r="AB2743" s="231" t="s">
        <v>3132</v>
      </c>
      <c r="AC2743" s="217" t="s">
        <v>333</v>
      </c>
      <c r="AD2743" s="217" t="s">
        <v>334</v>
      </c>
      <c r="AE2743" s="217" t="s">
        <v>334</v>
      </c>
    </row>
    <row r="2744" spans="28:31">
      <c r="AB2744" s="231" t="s">
        <v>3133</v>
      </c>
      <c r="AC2744" s="217" t="s">
        <v>333</v>
      </c>
      <c r="AD2744" s="217" t="s">
        <v>334</v>
      </c>
      <c r="AE2744" s="217" t="s">
        <v>334</v>
      </c>
    </row>
    <row r="2745" spans="28:31">
      <c r="AB2745" s="231" t="s">
        <v>3134</v>
      </c>
      <c r="AC2745" s="217" t="s">
        <v>333</v>
      </c>
      <c r="AD2745" s="217" t="s">
        <v>334</v>
      </c>
      <c r="AE2745" s="217" t="s">
        <v>334</v>
      </c>
    </row>
    <row r="2746" spans="28:31">
      <c r="AB2746" s="231" t="s">
        <v>3135</v>
      </c>
      <c r="AC2746" s="217" t="s">
        <v>333</v>
      </c>
      <c r="AD2746" s="217" t="s">
        <v>334</v>
      </c>
      <c r="AE2746" s="217" t="s">
        <v>334</v>
      </c>
    </row>
    <row r="2747" spans="28:31">
      <c r="AB2747" s="231" t="s">
        <v>3136</v>
      </c>
      <c r="AC2747" s="217" t="s">
        <v>333</v>
      </c>
      <c r="AD2747" s="217" t="s">
        <v>334</v>
      </c>
      <c r="AE2747" s="217" t="s">
        <v>334</v>
      </c>
    </row>
    <row r="2748" spans="28:31">
      <c r="AB2748" s="231" t="s">
        <v>3137</v>
      </c>
      <c r="AC2748" s="217" t="s">
        <v>333</v>
      </c>
      <c r="AD2748" s="217" t="s">
        <v>334</v>
      </c>
      <c r="AE2748" s="217" t="s">
        <v>334</v>
      </c>
    </row>
    <row r="2749" spans="28:31">
      <c r="AB2749" s="231" t="s">
        <v>3138</v>
      </c>
      <c r="AC2749" s="217" t="s">
        <v>333</v>
      </c>
      <c r="AD2749" s="217" t="s">
        <v>334</v>
      </c>
      <c r="AE2749" s="217" t="s">
        <v>334</v>
      </c>
    </row>
    <row r="2750" spans="28:31">
      <c r="AB2750" s="231" t="s">
        <v>3139</v>
      </c>
      <c r="AC2750" s="217" t="s">
        <v>333</v>
      </c>
      <c r="AD2750" s="217" t="s">
        <v>334</v>
      </c>
      <c r="AE2750" s="217" t="s">
        <v>334</v>
      </c>
    </row>
    <row r="2751" spans="28:31">
      <c r="AB2751" s="231" t="s">
        <v>3140</v>
      </c>
      <c r="AC2751" s="217" t="s">
        <v>333</v>
      </c>
      <c r="AD2751" s="217" t="s">
        <v>334</v>
      </c>
      <c r="AE2751" s="217" t="s">
        <v>334</v>
      </c>
    </row>
    <row r="2752" spans="28:31">
      <c r="AB2752" s="231" t="s">
        <v>3141</v>
      </c>
      <c r="AC2752" s="217" t="s">
        <v>333</v>
      </c>
      <c r="AD2752" s="217" t="s">
        <v>334</v>
      </c>
      <c r="AE2752" s="217" t="s">
        <v>334</v>
      </c>
    </row>
    <row r="2753" spans="28:31">
      <c r="AB2753" s="231" t="s">
        <v>3142</v>
      </c>
      <c r="AC2753" s="217" t="s">
        <v>333</v>
      </c>
      <c r="AD2753" s="217" t="s">
        <v>334</v>
      </c>
      <c r="AE2753" s="217" t="s">
        <v>334</v>
      </c>
    </row>
    <row r="2754" spans="28:31">
      <c r="AB2754" s="231" t="s">
        <v>3143</v>
      </c>
      <c r="AC2754" s="217" t="s">
        <v>333</v>
      </c>
      <c r="AD2754" s="217" t="s">
        <v>334</v>
      </c>
      <c r="AE2754" s="217" t="s">
        <v>334</v>
      </c>
    </row>
    <row r="2755" spans="28:31">
      <c r="AB2755" s="231" t="s">
        <v>3144</v>
      </c>
      <c r="AC2755" s="217" t="s">
        <v>333</v>
      </c>
      <c r="AD2755" s="217" t="s">
        <v>334</v>
      </c>
      <c r="AE2755" s="217" t="s">
        <v>334</v>
      </c>
    </row>
    <row r="2756" spans="28:31">
      <c r="AB2756" s="231" t="s">
        <v>3145</v>
      </c>
      <c r="AC2756" s="217" t="s">
        <v>333</v>
      </c>
      <c r="AD2756" s="217" t="s">
        <v>334</v>
      </c>
      <c r="AE2756" s="217" t="s">
        <v>334</v>
      </c>
    </row>
    <row r="2757" spans="28:31">
      <c r="AB2757" s="231" t="s">
        <v>3146</v>
      </c>
      <c r="AC2757" s="217" t="s">
        <v>333</v>
      </c>
      <c r="AD2757" s="217" t="s">
        <v>334</v>
      </c>
      <c r="AE2757" s="217" t="s">
        <v>334</v>
      </c>
    </row>
    <row r="2758" spans="28:31">
      <c r="AB2758" s="231" t="s">
        <v>3147</v>
      </c>
      <c r="AC2758" s="217" t="s">
        <v>333</v>
      </c>
      <c r="AD2758" s="217" t="s">
        <v>334</v>
      </c>
      <c r="AE2758" s="217" t="s">
        <v>334</v>
      </c>
    </row>
    <row r="2759" spans="28:31">
      <c r="AB2759" s="231" t="s">
        <v>3148</v>
      </c>
      <c r="AC2759" s="217" t="s">
        <v>333</v>
      </c>
      <c r="AD2759" s="217" t="s">
        <v>334</v>
      </c>
      <c r="AE2759" s="217" t="s">
        <v>334</v>
      </c>
    </row>
    <row r="2760" spans="28:31">
      <c r="AB2760" s="231" t="s">
        <v>3149</v>
      </c>
      <c r="AC2760" s="217" t="s">
        <v>333</v>
      </c>
      <c r="AD2760" s="217" t="s">
        <v>334</v>
      </c>
      <c r="AE2760" s="217" t="s">
        <v>334</v>
      </c>
    </row>
    <row r="2761" spans="28:31">
      <c r="AB2761" s="231" t="s">
        <v>3150</v>
      </c>
      <c r="AC2761" s="217" t="s">
        <v>333</v>
      </c>
      <c r="AD2761" s="217" t="s">
        <v>334</v>
      </c>
      <c r="AE2761" s="217" t="s">
        <v>334</v>
      </c>
    </row>
    <row r="2762" spans="28:31">
      <c r="AB2762" s="231" t="s">
        <v>3151</v>
      </c>
      <c r="AC2762" s="217" t="s">
        <v>333</v>
      </c>
      <c r="AD2762" s="217" t="s">
        <v>334</v>
      </c>
      <c r="AE2762" s="217" t="s">
        <v>334</v>
      </c>
    </row>
    <row r="2763" spans="28:31">
      <c r="AB2763" s="231" t="s">
        <v>3152</v>
      </c>
      <c r="AC2763" s="217" t="s">
        <v>333</v>
      </c>
      <c r="AD2763" s="217" t="s">
        <v>334</v>
      </c>
      <c r="AE2763" s="217" t="s">
        <v>334</v>
      </c>
    </row>
    <row r="2764" spans="28:31">
      <c r="AB2764" s="231" t="s">
        <v>3153</v>
      </c>
      <c r="AC2764" s="217" t="s">
        <v>333</v>
      </c>
      <c r="AD2764" s="217" t="s">
        <v>334</v>
      </c>
      <c r="AE2764" s="217" t="s">
        <v>334</v>
      </c>
    </row>
    <row r="2765" spans="28:31">
      <c r="AB2765" s="231" t="s">
        <v>3154</v>
      </c>
      <c r="AC2765" s="217" t="s">
        <v>333</v>
      </c>
      <c r="AD2765" s="217" t="s">
        <v>334</v>
      </c>
      <c r="AE2765" s="217" t="s">
        <v>334</v>
      </c>
    </row>
    <row r="2766" spans="28:31">
      <c r="AB2766" s="231" t="s">
        <v>3155</v>
      </c>
      <c r="AC2766" s="217" t="s">
        <v>333</v>
      </c>
      <c r="AD2766" s="217" t="s">
        <v>334</v>
      </c>
      <c r="AE2766" s="217" t="s">
        <v>334</v>
      </c>
    </row>
    <row r="2767" spans="28:31">
      <c r="AB2767" s="231" t="s">
        <v>3156</v>
      </c>
      <c r="AC2767" s="217" t="s">
        <v>333</v>
      </c>
      <c r="AD2767" s="217" t="s">
        <v>334</v>
      </c>
      <c r="AE2767" s="217" t="s">
        <v>334</v>
      </c>
    </row>
    <row r="2768" spans="28:31">
      <c r="AB2768" s="231" t="s">
        <v>3157</v>
      </c>
      <c r="AC2768" s="217" t="s">
        <v>333</v>
      </c>
      <c r="AD2768" s="217" t="s">
        <v>334</v>
      </c>
      <c r="AE2768" s="217" t="s">
        <v>334</v>
      </c>
    </row>
    <row r="2769" spans="28:31">
      <c r="AB2769" s="231" t="s">
        <v>3158</v>
      </c>
      <c r="AC2769" s="217" t="s">
        <v>333</v>
      </c>
      <c r="AD2769" s="217" t="s">
        <v>334</v>
      </c>
      <c r="AE2769" s="217" t="s">
        <v>334</v>
      </c>
    </row>
    <row r="2770" spans="28:31">
      <c r="AB2770" s="231" t="s">
        <v>3159</v>
      </c>
      <c r="AC2770" s="217" t="s">
        <v>333</v>
      </c>
      <c r="AD2770" s="217" t="s">
        <v>334</v>
      </c>
      <c r="AE2770" s="217" t="s">
        <v>334</v>
      </c>
    </row>
    <row r="2771" spans="28:31">
      <c r="AB2771" s="231" t="s">
        <v>3160</v>
      </c>
      <c r="AC2771" s="217" t="s">
        <v>333</v>
      </c>
      <c r="AD2771" s="217" t="s">
        <v>334</v>
      </c>
      <c r="AE2771" s="217" t="s">
        <v>334</v>
      </c>
    </row>
    <row r="2772" spans="28:31">
      <c r="AB2772" s="231" t="s">
        <v>3161</v>
      </c>
      <c r="AC2772" s="217" t="s">
        <v>333</v>
      </c>
      <c r="AD2772" s="217" t="s">
        <v>334</v>
      </c>
      <c r="AE2772" s="217" t="s">
        <v>334</v>
      </c>
    </row>
    <row r="2773" spans="28:31">
      <c r="AB2773" s="231" t="s">
        <v>3162</v>
      </c>
      <c r="AC2773" s="217" t="s">
        <v>333</v>
      </c>
      <c r="AD2773" s="217" t="s">
        <v>334</v>
      </c>
      <c r="AE2773" s="217" t="s">
        <v>334</v>
      </c>
    </row>
    <row r="2774" spans="28:31">
      <c r="AB2774" s="231" t="s">
        <v>3163</v>
      </c>
      <c r="AC2774" s="217" t="s">
        <v>333</v>
      </c>
      <c r="AD2774" s="217" t="s">
        <v>334</v>
      </c>
      <c r="AE2774" s="217" t="s">
        <v>334</v>
      </c>
    </row>
    <row r="2775" spans="28:31">
      <c r="AB2775" s="231" t="s">
        <v>3164</v>
      </c>
      <c r="AC2775" s="217" t="s">
        <v>333</v>
      </c>
      <c r="AD2775" s="217" t="s">
        <v>334</v>
      </c>
      <c r="AE2775" s="217" t="s">
        <v>334</v>
      </c>
    </row>
    <row r="2776" spans="28:31">
      <c r="AB2776" s="231" t="s">
        <v>3165</v>
      </c>
      <c r="AC2776" s="217" t="s">
        <v>333</v>
      </c>
      <c r="AD2776" s="217" t="s">
        <v>334</v>
      </c>
      <c r="AE2776" s="217" t="s">
        <v>334</v>
      </c>
    </row>
    <row r="2777" spans="28:31">
      <c r="AB2777" s="231" t="s">
        <v>3166</v>
      </c>
      <c r="AC2777" s="217" t="s">
        <v>333</v>
      </c>
      <c r="AD2777" s="217" t="s">
        <v>334</v>
      </c>
      <c r="AE2777" s="217" t="s">
        <v>334</v>
      </c>
    </row>
    <row r="2778" spans="28:31">
      <c r="AB2778" s="231" t="s">
        <v>3167</v>
      </c>
      <c r="AC2778" s="217" t="s">
        <v>333</v>
      </c>
      <c r="AD2778" s="217" t="s">
        <v>334</v>
      </c>
      <c r="AE2778" s="217" t="s">
        <v>334</v>
      </c>
    </row>
    <row r="2779" spans="28:31">
      <c r="AB2779" s="231" t="s">
        <v>3168</v>
      </c>
      <c r="AC2779" s="217" t="s">
        <v>333</v>
      </c>
      <c r="AD2779" s="217" t="s">
        <v>334</v>
      </c>
      <c r="AE2779" s="217" t="s">
        <v>334</v>
      </c>
    </row>
    <row r="2780" spans="28:31">
      <c r="AB2780" s="231" t="s">
        <v>3169</v>
      </c>
      <c r="AC2780" s="217" t="s">
        <v>333</v>
      </c>
      <c r="AD2780" s="217" t="s">
        <v>334</v>
      </c>
      <c r="AE2780" s="217" t="s">
        <v>334</v>
      </c>
    </row>
    <row r="2781" spans="28:31">
      <c r="AB2781" s="231" t="s">
        <v>3170</v>
      </c>
      <c r="AC2781" s="217" t="s">
        <v>333</v>
      </c>
      <c r="AD2781" s="217" t="s">
        <v>334</v>
      </c>
      <c r="AE2781" s="217" t="s">
        <v>334</v>
      </c>
    </row>
    <row r="2782" spans="28:31">
      <c r="AB2782" s="231" t="s">
        <v>3171</v>
      </c>
      <c r="AC2782" s="217" t="s">
        <v>333</v>
      </c>
      <c r="AD2782" s="217" t="s">
        <v>334</v>
      </c>
      <c r="AE2782" s="217" t="s">
        <v>334</v>
      </c>
    </row>
    <row r="2783" spans="28:31">
      <c r="AB2783" s="231" t="s">
        <v>3172</v>
      </c>
      <c r="AC2783" s="217" t="s">
        <v>333</v>
      </c>
      <c r="AD2783" s="217" t="s">
        <v>334</v>
      </c>
      <c r="AE2783" s="217" t="s">
        <v>334</v>
      </c>
    </row>
    <row r="2784" spans="28:31">
      <c r="AB2784" s="231" t="s">
        <v>3173</v>
      </c>
      <c r="AC2784" s="217" t="s">
        <v>333</v>
      </c>
      <c r="AD2784" s="217" t="s">
        <v>334</v>
      </c>
      <c r="AE2784" s="217" t="s">
        <v>334</v>
      </c>
    </row>
    <row r="2785" spans="28:31">
      <c r="AB2785" s="231" t="s">
        <v>3174</v>
      </c>
      <c r="AC2785" s="217" t="s">
        <v>333</v>
      </c>
      <c r="AD2785" s="217" t="s">
        <v>334</v>
      </c>
      <c r="AE2785" s="217" t="s">
        <v>334</v>
      </c>
    </row>
    <row r="2786" spans="28:31">
      <c r="AB2786" s="231" t="s">
        <v>3175</v>
      </c>
      <c r="AC2786" s="217" t="s">
        <v>333</v>
      </c>
      <c r="AD2786" s="217" t="s">
        <v>334</v>
      </c>
      <c r="AE2786" s="217" t="s">
        <v>334</v>
      </c>
    </row>
    <row r="2787" spans="28:31">
      <c r="AB2787" s="231" t="s">
        <v>3176</v>
      </c>
      <c r="AC2787" s="217" t="s">
        <v>333</v>
      </c>
      <c r="AD2787" s="217" t="s">
        <v>334</v>
      </c>
      <c r="AE2787" s="217" t="s">
        <v>334</v>
      </c>
    </row>
    <row r="2788" spans="28:31">
      <c r="AB2788" s="231" t="s">
        <v>3177</v>
      </c>
      <c r="AC2788" s="217" t="s">
        <v>333</v>
      </c>
      <c r="AD2788" s="217" t="s">
        <v>334</v>
      </c>
      <c r="AE2788" s="217" t="s">
        <v>334</v>
      </c>
    </row>
    <row r="2789" spans="28:31">
      <c r="AB2789" s="231" t="s">
        <v>3178</v>
      </c>
      <c r="AC2789" s="217" t="s">
        <v>333</v>
      </c>
      <c r="AD2789" s="217" t="s">
        <v>334</v>
      </c>
      <c r="AE2789" s="217" t="s">
        <v>334</v>
      </c>
    </row>
    <row r="2790" spans="28:31">
      <c r="AB2790" s="231" t="s">
        <v>3179</v>
      </c>
      <c r="AC2790" s="217" t="s">
        <v>333</v>
      </c>
      <c r="AD2790" s="217" t="s">
        <v>334</v>
      </c>
      <c r="AE2790" s="217" t="s">
        <v>334</v>
      </c>
    </row>
    <row r="2791" spans="28:31">
      <c r="AB2791" s="231" t="s">
        <v>3180</v>
      </c>
      <c r="AC2791" s="217" t="s">
        <v>333</v>
      </c>
      <c r="AD2791" s="217" t="s">
        <v>334</v>
      </c>
      <c r="AE2791" s="217" t="s">
        <v>334</v>
      </c>
    </row>
    <row r="2792" spans="28:31">
      <c r="AB2792" s="231" t="s">
        <v>3181</v>
      </c>
      <c r="AC2792" s="217" t="s">
        <v>333</v>
      </c>
      <c r="AD2792" s="217" t="s">
        <v>334</v>
      </c>
      <c r="AE2792" s="217" t="s">
        <v>334</v>
      </c>
    </row>
    <row r="2793" spans="28:31">
      <c r="AB2793" s="231" t="s">
        <v>3182</v>
      </c>
      <c r="AC2793" s="217" t="s">
        <v>333</v>
      </c>
      <c r="AD2793" s="217" t="s">
        <v>334</v>
      </c>
      <c r="AE2793" s="217" t="s">
        <v>334</v>
      </c>
    </row>
    <row r="2794" spans="28:31">
      <c r="AB2794" s="231" t="s">
        <v>3183</v>
      </c>
      <c r="AC2794" s="217" t="s">
        <v>333</v>
      </c>
      <c r="AD2794" s="217" t="s">
        <v>334</v>
      </c>
      <c r="AE2794" s="217" t="s">
        <v>334</v>
      </c>
    </row>
    <row r="2795" spans="28:31">
      <c r="AB2795" s="231" t="s">
        <v>3184</v>
      </c>
      <c r="AC2795" s="217" t="s">
        <v>333</v>
      </c>
      <c r="AD2795" s="217" t="s">
        <v>334</v>
      </c>
      <c r="AE2795" s="217" t="s">
        <v>334</v>
      </c>
    </row>
    <row r="2796" spans="28:31">
      <c r="AB2796" s="231" t="s">
        <v>3185</v>
      </c>
      <c r="AC2796" s="217" t="s">
        <v>333</v>
      </c>
      <c r="AD2796" s="217" t="s">
        <v>334</v>
      </c>
      <c r="AE2796" s="217" t="s">
        <v>334</v>
      </c>
    </row>
    <row r="2797" spans="28:31">
      <c r="AB2797" s="231" t="s">
        <v>3186</v>
      </c>
      <c r="AC2797" s="217" t="s">
        <v>333</v>
      </c>
      <c r="AD2797" s="217" t="s">
        <v>334</v>
      </c>
      <c r="AE2797" s="217" t="s">
        <v>334</v>
      </c>
    </row>
    <row r="2798" spans="28:31">
      <c r="AB2798" s="231" t="s">
        <v>3187</v>
      </c>
      <c r="AC2798" s="217" t="s">
        <v>333</v>
      </c>
      <c r="AD2798" s="217" t="s">
        <v>334</v>
      </c>
      <c r="AE2798" s="217" t="s">
        <v>334</v>
      </c>
    </row>
    <row r="2799" spans="28:31">
      <c r="AB2799" s="231" t="s">
        <v>3188</v>
      </c>
      <c r="AC2799" s="217" t="s">
        <v>333</v>
      </c>
      <c r="AD2799" s="217" t="s">
        <v>334</v>
      </c>
      <c r="AE2799" s="217" t="s">
        <v>334</v>
      </c>
    </row>
    <row r="2800" spans="28:31">
      <c r="AB2800" s="231" t="s">
        <v>3189</v>
      </c>
      <c r="AC2800" s="217" t="s">
        <v>333</v>
      </c>
      <c r="AD2800" s="217" t="s">
        <v>334</v>
      </c>
      <c r="AE2800" s="217" t="s">
        <v>334</v>
      </c>
    </row>
    <row r="2801" spans="28:31">
      <c r="AB2801" s="231" t="s">
        <v>3190</v>
      </c>
      <c r="AC2801" s="217" t="s">
        <v>333</v>
      </c>
      <c r="AD2801" s="217" t="s">
        <v>334</v>
      </c>
      <c r="AE2801" s="217" t="s">
        <v>334</v>
      </c>
    </row>
    <row r="2802" spans="28:31">
      <c r="AB2802" s="231" t="s">
        <v>3191</v>
      </c>
      <c r="AC2802" s="217" t="s">
        <v>333</v>
      </c>
      <c r="AD2802" s="217" t="s">
        <v>334</v>
      </c>
      <c r="AE2802" s="217" t="s">
        <v>334</v>
      </c>
    </row>
    <row r="2803" spans="28:31">
      <c r="AB2803" s="231" t="s">
        <v>3192</v>
      </c>
      <c r="AC2803" s="217" t="s">
        <v>333</v>
      </c>
      <c r="AD2803" s="217" t="s">
        <v>334</v>
      </c>
      <c r="AE2803" s="217" t="s">
        <v>334</v>
      </c>
    </row>
    <row r="2804" spans="28:31">
      <c r="AB2804" s="231" t="s">
        <v>3193</v>
      </c>
      <c r="AC2804" s="217" t="s">
        <v>333</v>
      </c>
      <c r="AD2804" s="217" t="s">
        <v>334</v>
      </c>
      <c r="AE2804" s="217" t="s">
        <v>334</v>
      </c>
    </row>
    <row r="2805" spans="28:31">
      <c r="AB2805" s="231" t="s">
        <v>3194</v>
      </c>
      <c r="AC2805" s="217" t="s">
        <v>333</v>
      </c>
      <c r="AD2805" s="217" t="s">
        <v>334</v>
      </c>
      <c r="AE2805" s="217" t="s">
        <v>334</v>
      </c>
    </row>
    <row r="2806" spans="28:31">
      <c r="AB2806" s="231" t="s">
        <v>3195</v>
      </c>
      <c r="AC2806" s="217" t="s">
        <v>333</v>
      </c>
      <c r="AD2806" s="217" t="s">
        <v>334</v>
      </c>
      <c r="AE2806" s="217" t="s">
        <v>334</v>
      </c>
    </row>
    <row r="2807" spans="28:31">
      <c r="AB2807" s="231" t="s">
        <v>3196</v>
      </c>
      <c r="AC2807" s="217" t="s">
        <v>333</v>
      </c>
      <c r="AD2807" s="217" t="s">
        <v>334</v>
      </c>
      <c r="AE2807" s="217" t="s">
        <v>334</v>
      </c>
    </row>
    <row r="2808" spans="28:31">
      <c r="AB2808" s="231" t="s">
        <v>3197</v>
      </c>
      <c r="AC2808" s="217" t="s">
        <v>333</v>
      </c>
      <c r="AD2808" s="217" t="s">
        <v>334</v>
      </c>
      <c r="AE2808" s="217" t="s">
        <v>334</v>
      </c>
    </row>
    <row r="2809" spans="28:31">
      <c r="AB2809" s="231" t="s">
        <v>3198</v>
      </c>
      <c r="AC2809" s="217" t="s">
        <v>333</v>
      </c>
      <c r="AD2809" s="217" t="s">
        <v>334</v>
      </c>
      <c r="AE2809" s="217" t="s">
        <v>334</v>
      </c>
    </row>
    <row r="2810" spans="28:31">
      <c r="AB2810" s="231" t="s">
        <v>3199</v>
      </c>
      <c r="AC2810" s="217" t="s">
        <v>333</v>
      </c>
      <c r="AD2810" s="217" t="s">
        <v>334</v>
      </c>
      <c r="AE2810" s="217" t="s">
        <v>334</v>
      </c>
    </row>
    <row r="2811" spans="28:31">
      <c r="AB2811" s="231" t="s">
        <v>3200</v>
      </c>
      <c r="AC2811" s="217" t="s">
        <v>333</v>
      </c>
      <c r="AD2811" s="217" t="s">
        <v>334</v>
      </c>
      <c r="AE2811" s="217" t="s">
        <v>334</v>
      </c>
    </row>
    <row r="2812" spans="28:31">
      <c r="AB2812" s="231" t="s">
        <v>3201</v>
      </c>
      <c r="AC2812" s="217" t="s">
        <v>333</v>
      </c>
      <c r="AD2812" s="217" t="s">
        <v>334</v>
      </c>
      <c r="AE2812" s="217" t="s">
        <v>334</v>
      </c>
    </row>
    <row r="2813" spans="28:31">
      <c r="AB2813" s="231" t="s">
        <v>3202</v>
      </c>
      <c r="AC2813" s="217" t="s">
        <v>333</v>
      </c>
      <c r="AD2813" s="217" t="s">
        <v>334</v>
      </c>
      <c r="AE2813" s="217" t="s">
        <v>334</v>
      </c>
    </row>
    <row r="2814" spans="28:31">
      <c r="AB2814" s="231" t="s">
        <v>3203</v>
      </c>
      <c r="AC2814" s="217" t="s">
        <v>333</v>
      </c>
      <c r="AD2814" s="217" t="s">
        <v>334</v>
      </c>
      <c r="AE2814" s="217" t="s">
        <v>334</v>
      </c>
    </row>
    <row r="2815" spans="28:31">
      <c r="AB2815" s="231" t="s">
        <v>3204</v>
      </c>
      <c r="AC2815" s="217" t="s">
        <v>333</v>
      </c>
      <c r="AD2815" s="217" t="s">
        <v>334</v>
      </c>
      <c r="AE2815" s="217" t="s">
        <v>334</v>
      </c>
    </row>
    <row r="2816" spans="28:31">
      <c r="AB2816" s="231" t="s">
        <v>3205</v>
      </c>
      <c r="AC2816" s="217" t="s">
        <v>333</v>
      </c>
      <c r="AD2816" s="217" t="s">
        <v>334</v>
      </c>
      <c r="AE2816" s="217" t="s">
        <v>334</v>
      </c>
    </row>
    <row r="2817" spans="28:31">
      <c r="AB2817" s="231" t="s">
        <v>3206</v>
      </c>
      <c r="AC2817" s="217" t="s">
        <v>333</v>
      </c>
      <c r="AD2817" s="217" t="s">
        <v>334</v>
      </c>
      <c r="AE2817" s="217" t="s">
        <v>334</v>
      </c>
    </row>
    <row r="2818" spans="28:31">
      <c r="AB2818" s="231" t="s">
        <v>3207</v>
      </c>
      <c r="AC2818" s="217" t="s">
        <v>333</v>
      </c>
      <c r="AD2818" s="217" t="s">
        <v>334</v>
      </c>
      <c r="AE2818" s="217" t="s">
        <v>334</v>
      </c>
    </row>
    <row r="2819" spans="28:31">
      <c r="AB2819" s="231" t="s">
        <v>3208</v>
      </c>
      <c r="AC2819" s="217" t="s">
        <v>333</v>
      </c>
      <c r="AD2819" s="217" t="s">
        <v>334</v>
      </c>
      <c r="AE2819" s="217" t="s">
        <v>334</v>
      </c>
    </row>
    <row r="2820" spans="28:31">
      <c r="AB2820" s="231" t="s">
        <v>3209</v>
      </c>
      <c r="AC2820" s="217" t="s">
        <v>333</v>
      </c>
      <c r="AD2820" s="217" t="s">
        <v>334</v>
      </c>
      <c r="AE2820" s="217" t="s">
        <v>334</v>
      </c>
    </row>
    <row r="2821" spans="28:31">
      <c r="AB2821" s="231" t="s">
        <v>3210</v>
      </c>
      <c r="AC2821" s="217" t="s">
        <v>333</v>
      </c>
      <c r="AD2821" s="217" t="s">
        <v>334</v>
      </c>
      <c r="AE2821" s="217" t="s">
        <v>334</v>
      </c>
    </row>
    <row r="2822" spans="28:31">
      <c r="AB2822" s="231" t="s">
        <v>3211</v>
      </c>
      <c r="AC2822" s="217" t="s">
        <v>333</v>
      </c>
      <c r="AD2822" s="217" t="s">
        <v>334</v>
      </c>
      <c r="AE2822" s="217" t="s">
        <v>334</v>
      </c>
    </row>
    <row r="2823" spans="28:31">
      <c r="AB2823" s="231" t="s">
        <v>3212</v>
      </c>
      <c r="AC2823" s="217" t="s">
        <v>333</v>
      </c>
      <c r="AD2823" s="217" t="s">
        <v>334</v>
      </c>
      <c r="AE2823" s="217" t="s">
        <v>334</v>
      </c>
    </row>
    <row r="2824" spans="28:31">
      <c r="AB2824" s="231" t="s">
        <v>3213</v>
      </c>
      <c r="AC2824" s="217" t="s">
        <v>333</v>
      </c>
      <c r="AD2824" s="217" t="s">
        <v>334</v>
      </c>
      <c r="AE2824" s="217" t="s">
        <v>334</v>
      </c>
    </row>
    <row r="2825" spans="28:31">
      <c r="AB2825" s="231" t="s">
        <v>3214</v>
      </c>
      <c r="AC2825" s="217" t="s">
        <v>333</v>
      </c>
      <c r="AD2825" s="217" t="s">
        <v>334</v>
      </c>
      <c r="AE2825" s="217" t="s">
        <v>334</v>
      </c>
    </row>
    <row r="2826" spans="28:31">
      <c r="AB2826" s="231" t="s">
        <v>3215</v>
      </c>
      <c r="AC2826" s="217" t="s">
        <v>333</v>
      </c>
      <c r="AD2826" s="217" t="s">
        <v>334</v>
      </c>
      <c r="AE2826" s="217" t="s">
        <v>334</v>
      </c>
    </row>
    <row r="2827" spans="28:31">
      <c r="AB2827" s="231" t="s">
        <v>3216</v>
      </c>
      <c r="AC2827" s="217" t="s">
        <v>333</v>
      </c>
      <c r="AD2827" s="217" t="s">
        <v>334</v>
      </c>
      <c r="AE2827" s="217" t="s">
        <v>334</v>
      </c>
    </row>
    <row r="2828" spans="28:31">
      <c r="AB2828" s="231" t="s">
        <v>3217</v>
      </c>
      <c r="AC2828" s="217" t="s">
        <v>333</v>
      </c>
      <c r="AD2828" s="217" t="s">
        <v>334</v>
      </c>
      <c r="AE2828" s="217" t="s">
        <v>334</v>
      </c>
    </row>
    <row r="2829" spans="28:31">
      <c r="AB2829" s="231" t="s">
        <v>3218</v>
      </c>
      <c r="AC2829" s="217" t="s">
        <v>333</v>
      </c>
      <c r="AD2829" s="217" t="s">
        <v>334</v>
      </c>
      <c r="AE2829" s="217" t="s">
        <v>334</v>
      </c>
    </row>
    <row r="2830" spans="28:31">
      <c r="AB2830" s="231" t="s">
        <v>3219</v>
      </c>
      <c r="AC2830" s="217" t="s">
        <v>333</v>
      </c>
      <c r="AD2830" s="217" t="s">
        <v>334</v>
      </c>
      <c r="AE2830" s="217" t="s">
        <v>334</v>
      </c>
    </row>
    <row r="2831" spans="28:31">
      <c r="AB2831" s="231" t="s">
        <v>3220</v>
      </c>
      <c r="AC2831" s="217" t="s">
        <v>333</v>
      </c>
      <c r="AD2831" s="217" t="s">
        <v>334</v>
      </c>
      <c r="AE2831" s="217" t="s">
        <v>334</v>
      </c>
    </row>
    <row r="2832" spans="28:31">
      <c r="AB2832" s="231" t="s">
        <v>3221</v>
      </c>
      <c r="AC2832" s="217" t="s">
        <v>333</v>
      </c>
      <c r="AD2832" s="217" t="s">
        <v>334</v>
      </c>
      <c r="AE2832" s="217" t="s">
        <v>334</v>
      </c>
    </row>
    <row r="2833" spans="28:31">
      <c r="AB2833" s="231" t="s">
        <v>3222</v>
      </c>
      <c r="AC2833" s="217" t="s">
        <v>333</v>
      </c>
      <c r="AD2833" s="217" t="s">
        <v>334</v>
      </c>
      <c r="AE2833" s="217" t="s">
        <v>334</v>
      </c>
    </row>
    <row r="2834" spans="28:31">
      <c r="AB2834" s="231" t="s">
        <v>3223</v>
      </c>
      <c r="AC2834" s="217" t="s">
        <v>333</v>
      </c>
      <c r="AD2834" s="217" t="s">
        <v>334</v>
      </c>
      <c r="AE2834" s="217" t="s">
        <v>334</v>
      </c>
    </row>
    <row r="2835" spans="28:31">
      <c r="AB2835" s="231" t="s">
        <v>3224</v>
      </c>
      <c r="AC2835" s="217" t="s">
        <v>333</v>
      </c>
      <c r="AD2835" s="217" t="s">
        <v>334</v>
      </c>
      <c r="AE2835" s="217" t="s">
        <v>334</v>
      </c>
    </row>
    <row r="2836" spans="28:31">
      <c r="AB2836" s="231" t="s">
        <v>3225</v>
      </c>
      <c r="AC2836" s="217" t="s">
        <v>333</v>
      </c>
      <c r="AD2836" s="217" t="s">
        <v>334</v>
      </c>
      <c r="AE2836" s="217" t="s">
        <v>334</v>
      </c>
    </row>
    <row r="2837" spans="28:31">
      <c r="AB2837" s="231" t="s">
        <v>3226</v>
      </c>
      <c r="AC2837" s="217" t="s">
        <v>333</v>
      </c>
      <c r="AD2837" s="217" t="s">
        <v>334</v>
      </c>
      <c r="AE2837" s="217" t="s">
        <v>334</v>
      </c>
    </row>
    <row r="2838" spans="28:31">
      <c r="AB2838" s="231" t="s">
        <v>3227</v>
      </c>
      <c r="AC2838" s="217" t="s">
        <v>333</v>
      </c>
      <c r="AD2838" s="217" t="s">
        <v>334</v>
      </c>
      <c r="AE2838" s="217" t="s">
        <v>334</v>
      </c>
    </row>
    <row r="2839" spans="28:31">
      <c r="AB2839" s="231" t="s">
        <v>3228</v>
      </c>
      <c r="AC2839" s="217" t="s">
        <v>333</v>
      </c>
      <c r="AD2839" s="217" t="s">
        <v>334</v>
      </c>
      <c r="AE2839" s="217" t="s">
        <v>334</v>
      </c>
    </row>
    <row r="2840" spans="28:31">
      <c r="AB2840" s="231" t="s">
        <v>3229</v>
      </c>
      <c r="AC2840" s="217" t="s">
        <v>333</v>
      </c>
      <c r="AD2840" s="217" t="s">
        <v>334</v>
      </c>
      <c r="AE2840" s="217" t="s">
        <v>334</v>
      </c>
    </row>
    <row r="2841" spans="28:31">
      <c r="AB2841" s="231" t="s">
        <v>3230</v>
      </c>
      <c r="AC2841" s="217" t="s">
        <v>333</v>
      </c>
      <c r="AD2841" s="217" t="s">
        <v>334</v>
      </c>
      <c r="AE2841" s="217" t="s">
        <v>334</v>
      </c>
    </row>
    <row r="2842" spans="28:31">
      <c r="AB2842" s="231" t="s">
        <v>3231</v>
      </c>
      <c r="AC2842" s="217" t="s">
        <v>333</v>
      </c>
      <c r="AD2842" s="217" t="s">
        <v>334</v>
      </c>
      <c r="AE2842" s="217" t="s">
        <v>334</v>
      </c>
    </row>
    <row r="2843" spans="28:31">
      <c r="AB2843" s="231" t="s">
        <v>3232</v>
      </c>
      <c r="AC2843" s="217" t="s">
        <v>333</v>
      </c>
      <c r="AD2843" s="217" t="s">
        <v>334</v>
      </c>
      <c r="AE2843" s="217" t="s">
        <v>334</v>
      </c>
    </row>
    <row r="2844" spans="28:31">
      <c r="AB2844" s="231" t="s">
        <v>3233</v>
      </c>
      <c r="AC2844" s="217" t="s">
        <v>333</v>
      </c>
      <c r="AD2844" s="217" t="s">
        <v>334</v>
      </c>
      <c r="AE2844" s="217" t="s">
        <v>334</v>
      </c>
    </row>
    <row r="2845" spans="28:31">
      <c r="AB2845" s="231" t="s">
        <v>3234</v>
      </c>
      <c r="AC2845" s="217" t="s">
        <v>333</v>
      </c>
      <c r="AD2845" s="217" t="s">
        <v>334</v>
      </c>
      <c r="AE2845" s="217" t="s">
        <v>334</v>
      </c>
    </row>
    <row r="2846" spans="28:31">
      <c r="AB2846" s="231" t="s">
        <v>3235</v>
      </c>
      <c r="AC2846" s="217" t="s">
        <v>333</v>
      </c>
      <c r="AD2846" s="217" t="s">
        <v>334</v>
      </c>
      <c r="AE2846" s="217" t="s">
        <v>334</v>
      </c>
    </row>
    <row r="2847" spans="28:31">
      <c r="AB2847" s="231" t="s">
        <v>3236</v>
      </c>
      <c r="AC2847" s="217" t="s">
        <v>333</v>
      </c>
      <c r="AD2847" s="217" t="s">
        <v>334</v>
      </c>
      <c r="AE2847" s="217" t="s">
        <v>334</v>
      </c>
    </row>
    <row r="2848" spans="28:31">
      <c r="AB2848" s="231" t="s">
        <v>3237</v>
      </c>
      <c r="AC2848" s="217" t="s">
        <v>333</v>
      </c>
      <c r="AD2848" s="217" t="s">
        <v>334</v>
      </c>
      <c r="AE2848" s="217" t="s">
        <v>334</v>
      </c>
    </row>
    <row r="2849" spans="28:31">
      <c r="AB2849" s="231" t="s">
        <v>3238</v>
      </c>
      <c r="AC2849" s="217" t="s">
        <v>333</v>
      </c>
      <c r="AD2849" s="217" t="s">
        <v>334</v>
      </c>
      <c r="AE2849" s="217" t="s">
        <v>334</v>
      </c>
    </row>
    <row r="2850" spans="28:31">
      <c r="AB2850" s="231" t="s">
        <v>3239</v>
      </c>
      <c r="AC2850" s="217" t="s">
        <v>333</v>
      </c>
      <c r="AD2850" s="217" t="s">
        <v>334</v>
      </c>
      <c r="AE2850" s="217" t="s">
        <v>334</v>
      </c>
    </row>
    <row r="2851" spans="28:31">
      <c r="AB2851" s="231" t="s">
        <v>3240</v>
      </c>
      <c r="AC2851" s="217" t="s">
        <v>333</v>
      </c>
      <c r="AD2851" s="217" t="s">
        <v>334</v>
      </c>
      <c r="AE2851" s="217" t="s">
        <v>334</v>
      </c>
    </row>
    <row r="2852" spans="28:31">
      <c r="AB2852" s="231" t="s">
        <v>3241</v>
      </c>
      <c r="AC2852" s="217" t="s">
        <v>333</v>
      </c>
      <c r="AD2852" s="217" t="s">
        <v>334</v>
      </c>
      <c r="AE2852" s="217" t="s">
        <v>334</v>
      </c>
    </row>
    <row r="2853" spans="28:31">
      <c r="AB2853" s="231" t="s">
        <v>3242</v>
      </c>
      <c r="AC2853" s="217" t="s">
        <v>333</v>
      </c>
      <c r="AD2853" s="217" t="s">
        <v>334</v>
      </c>
      <c r="AE2853" s="217" t="s">
        <v>334</v>
      </c>
    </row>
    <row r="2854" spans="28:31">
      <c r="AB2854" s="231" t="s">
        <v>3243</v>
      </c>
      <c r="AC2854" s="217" t="s">
        <v>333</v>
      </c>
      <c r="AD2854" s="217" t="s">
        <v>334</v>
      </c>
      <c r="AE2854" s="217" t="s">
        <v>334</v>
      </c>
    </row>
    <row r="2855" spans="28:31">
      <c r="AB2855" s="231" t="s">
        <v>3244</v>
      </c>
      <c r="AC2855" s="217" t="s">
        <v>333</v>
      </c>
      <c r="AD2855" s="217" t="s">
        <v>334</v>
      </c>
      <c r="AE2855" s="217" t="s">
        <v>334</v>
      </c>
    </row>
    <row r="2856" spans="28:31">
      <c r="AB2856" s="231" t="s">
        <v>3245</v>
      </c>
      <c r="AC2856" s="217" t="s">
        <v>333</v>
      </c>
      <c r="AD2856" s="217" t="s">
        <v>334</v>
      </c>
      <c r="AE2856" s="217" t="s">
        <v>334</v>
      </c>
    </row>
    <row r="2857" spans="28:31">
      <c r="AB2857" s="231" t="s">
        <v>3246</v>
      </c>
      <c r="AC2857" s="217" t="s">
        <v>333</v>
      </c>
      <c r="AD2857" s="217" t="s">
        <v>334</v>
      </c>
      <c r="AE2857" s="217" t="s">
        <v>334</v>
      </c>
    </row>
    <row r="2858" spans="28:31">
      <c r="AB2858" s="231" t="s">
        <v>3247</v>
      </c>
      <c r="AC2858" s="217" t="s">
        <v>333</v>
      </c>
      <c r="AD2858" s="217" t="s">
        <v>334</v>
      </c>
      <c r="AE2858" s="217" t="s">
        <v>334</v>
      </c>
    </row>
    <row r="2859" spans="28:31">
      <c r="AB2859" s="231" t="s">
        <v>3248</v>
      </c>
      <c r="AC2859" s="217" t="s">
        <v>333</v>
      </c>
      <c r="AD2859" s="217" t="s">
        <v>334</v>
      </c>
      <c r="AE2859" s="217" t="s">
        <v>334</v>
      </c>
    </row>
    <row r="2860" spans="28:31">
      <c r="AB2860" s="231" t="s">
        <v>3249</v>
      </c>
      <c r="AC2860" s="217" t="s">
        <v>333</v>
      </c>
      <c r="AD2860" s="217" t="s">
        <v>334</v>
      </c>
      <c r="AE2860" s="217" t="s">
        <v>334</v>
      </c>
    </row>
    <row r="2861" spans="28:31">
      <c r="AB2861" s="231" t="s">
        <v>3250</v>
      </c>
      <c r="AC2861" s="217" t="s">
        <v>333</v>
      </c>
      <c r="AD2861" s="217" t="s">
        <v>334</v>
      </c>
      <c r="AE2861" s="217" t="s">
        <v>334</v>
      </c>
    </row>
    <row r="2862" spans="28:31">
      <c r="AB2862" s="231" t="s">
        <v>3251</v>
      </c>
      <c r="AC2862" s="217" t="s">
        <v>333</v>
      </c>
      <c r="AD2862" s="217" t="s">
        <v>334</v>
      </c>
      <c r="AE2862" s="217" t="s">
        <v>334</v>
      </c>
    </row>
    <row r="2863" spans="28:31">
      <c r="AB2863" s="231" t="s">
        <v>3252</v>
      </c>
      <c r="AC2863" s="217" t="s">
        <v>333</v>
      </c>
      <c r="AD2863" s="217" t="s">
        <v>334</v>
      </c>
      <c r="AE2863" s="217" t="s">
        <v>334</v>
      </c>
    </row>
    <row r="2864" spans="28:31">
      <c r="AB2864" s="231" t="s">
        <v>3253</v>
      </c>
      <c r="AC2864" s="217" t="s">
        <v>333</v>
      </c>
      <c r="AD2864" s="217" t="s">
        <v>334</v>
      </c>
      <c r="AE2864" s="217" t="s">
        <v>334</v>
      </c>
    </row>
    <row r="2865" spans="28:31">
      <c r="AB2865" s="231" t="s">
        <v>3254</v>
      </c>
      <c r="AC2865" s="217" t="s">
        <v>333</v>
      </c>
      <c r="AD2865" s="217" t="s">
        <v>334</v>
      </c>
      <c r="AE2865" s="217" t="s">
        <v>334</v>
      </c>
    </row>
    <row r="2866" spans="28:31">
      <c r="AB2866" s="231" t="s">
        <v>3255</v>
      </c>
      <c r="AC2866" s="217" t="s">
        <v>333</v>
      </c>
      <c r="AD2866" s="217" t="s">
        <v>334</v>
      </c>
      <c r="AE2866" s="217" t="s">
        <v>334</v>
      </c>
    </row>
    <row r="2867" spans="28:31">
      <c r="AB2867" s="231" t="s">
        <v>3256</v>
      </c>
      <c r="AC2867" s="217" t="s">
        <v>333</v>
      </c>
      <c r="AD2867" s="217" t="s">
        <v>334</v>
      </c>
      <c r="AE2867" s="217" t="s">
        <v>334</v>
      </c>
    </row>
    <row r="2868" spans="28:31">
      <c r="AB2868" s="231" t="s">
        <v>3257</v>
      </c>
      <c r="AC2868" s="217" t="s">
        <v>333</v>
      </c>
      <c r="AD2868" s="217" t="s">
        <v>334</v>
      </c>
      <c r="AE2868" s="217" t="s">
        <v>334</v>
      </c>
    </row>
    <row r="2869" spans="28:31">
      <c r="AB2869" s="231" t="s">
        <v>3258</v>
      </c>
      <c r="AC2869" s="217" t="s">
        <v>333</v>
      </c>
      <c r="AD2869" s="217" t="s">
        <v>334</v>
      </c>
      <c r="AE2869" s="217" t="s">
        <v>334</v>
      </c>
    </row>
    <row r="2870" spans="28:31">
      <c r="AB2870" s="231" t="s">
        <v>3259</v>
      </c>
      <c r="AC2870" s="217" t="s">
        <v>333</v>
      </c>
      <c r="AD2870" s="217" t="s">
        <v>334</v>
      </c>
      <c r="AE2870" s="217" t="s">
        <v>334</v>
      </c>
    </row>
    <row r="2871" spans="28:31">
      <c r="AB2871" s="231" t="s">
        <v>3260</v>
      </c>
      <c r="AC2871" s="217" t="s">
        <v>333</v>
      </c>
      <c r="AD2871" s="217" t="s">
        <v>334</v>
      </c>
      <c r="AE2871" s="217" t="s">
        <v>334</v>
      </c>
    </row>
    <row r="2872" spans="28:31">
      <c r="AB2872" s="231" t="s">
        <v>3261</v>
      </c>
      <c r="AC2872" s="217" t="s">
        <v>333</v>
      </c>
      <c r="AD2872" s="217" t="s">
        <v>334</v>
      </c>
      <c r="AE2872" s="217" t="s">
        <v>334</v>
      </c>
    </row>
    <row r="2873" spans="28:31">
      <c r="AB2873" s="231" t="s">
        <v>3262</v>
      </c>
      <c r="AC2873" s="217" t="s">
        <v>333</v>
      </c>
      <c r="AD2873" s="217" t="s">
        <v>334</v>
      </c>
      <c r="AE2873" s="217" t="s">
        <v>334</v>
      </c>
    </row>
    <row r="2874" spans="28:31">
      <c r="AB2874" s="231" t="s">
        <v>3263</v>
      </c>
      <c r="AC2874" s="217" t="s">
        <v>333</v>
      </c>
      <c r="AD2874" s="217" t="s">
        <v>334</v>
      </c>
      <c r="AE2874" s="217" t="s">
        <v>334</v>
      </c>
    </row>
    <row r="2875" spans="28:31">
      <c r="AB2875" s="231" t="s">
        <v>3264</v>
      </c>
      <c r="AC2875" s="217" t="s">
        <v>333</v>
      </c>
      <c r="AD2875" s="217" t="s">
        <v>334</v>
      </c>
      <c r="AE2875" s="217" t="s">
        <v>334</v>
      </c>
    </row>
    <row r="2876" spans="28:31">
      <c r="AB2876" s="231" t="s">
        <v>3265</v>
      </c>
      <c r="AC2876" s="217" t="s">
        <v>333</v>
      </c>
      <c r="AD2876" s="217" t="s">
        <v>334</v>
      </c>
      <c r="AE2876" s="217" t="s">
        <v>334</v>
      </c>
    </row>
    <row r="2877" spans="28:31">
      <c r="AB2877" s="231" t="s">
        <v>3266</v>
      </c>
      <c r="AC2877" s="217" t="s">
        <v>333</v>
      </c>
      <c r="AD2877" s="217" t="s">
        <v>334</v>
      </c>
      <c r="AE2877" s="217" t="s">
        <v>334</v>
      </c>
    </row>
    <row r="2878" spans="28:31">
      <c r="AB2878" s="231" t="s">
        <v>3267</v>
      </c>
      <c r="AC2878" s="217" t="s">
        <v>333</v>
      </c>
      <c r="AD2878" s="217" t="s">
        <v>334</v>
      </c>
      <c r="AE2878" s="217" t="s">
        <v>334</v>
      </c>
    </row>
    <row r="2879" spans="28:31">
      <c r="AB2879" s="231" t="s">
        <v>3268</v>
      </c>
      <c r="AC2879" s="217" t="s">
        <v>333</v>
      </c>
      <c r="AD2879" s="217" t="s">
        <v>334</v>
      </c>
      <c r="AE2879" s="217" t="s">
        <v>334</v>
      </c>
    </row>
    <row r="2880" spans="28:31">
      <c r="AB2880" s="231" t="s">
        <v>3269</v>
      </c>
      <c r="AC2880" s="217" t="s">
        <v>333</v>
      </c>
      <c r="AD2880" s="217" t="s">
        <v>334</v>
      </c>
      <c r="AE2880" s="217" t="s">
        <v>334</v>
      </c>
    </row>
    <row r="2881" spans="28:31">
      <c r="AB2881" s="231" t="s">
        <v>3270</v>
      </c>
      <c r="AC2881" s="217" t="s">
        <v>333</v>
      </c>
      <c r="AD2881" s="217" t="s">
        <v>334</v>
      </c>
      <c r="AE2881" s="217" t="s">
        <v>334</v>
      </c>
    </row>
    <row r="2882" spans="28:31">
      <c r="AB2882" s="231" t="s">
        <v>3271</v>
      </c>
      <c r="AC2882" s="217" t="s">
        <v>333</v>
      </c>
      <c r="AD2882" s="217" t="s">
        <v>334</v>
      </c>
      <c r="AE2882" s="217" t="s">
        <v>334</v>
      </c>
    </row>
    <row r="2883" spans="28:31">
      <c r="AB2883" s="231" t="s">
        <v>3272</v>
      </c>
      <c r="AC2883" s="217" t="s">
        <v>333</v>
      </c>
      <c r="AD2883" s="217" t="s">
        <v>334</v>
      </c>
      <c r="AE2883" s="217" t="s">
        <v>334</v>
      </c>
    </row>
    <row r="2884" spans="28:31">
      <c r="AB2884" s="231" t="s">
        <v>3273</v>
      </c>
      <c r="AC2884" s="217" t="s">
        <v>333</v>
      </c>
      <c r="AD2884" s="217" t="s">
        <v>334</v>
      </c>
      <c r="AE2884" s="217" t="s">
        <v>334</v>
      </c>
    </row>
    <row r="2885" spans="28:31">
      <c r="AB2885" s="231" t="s">
        <v>3274</v>
      </c>
      <c r="AC2885" s="217" t="s">
        <v>333</v>
      </c>
      <c r="AD2885" s="217" t="s">
        <v>334</v>
      </c>
      <c r="AE2885" s="217" t="s">
        <v>334</v>
      </c>
    </row>
    <row r="2886" spans="28:31">
      <c r="AB2886" s="231" t="s">
        <v>3275</v>
      </c>
      <c r="AC2886" s="217" t="s">
        <v>333</v>
      </c>
      <c r="AD2886" s="217" t="s">
        <v>334</v>
      </c>
      <c r="AE2886" s="217" t="s">
        <v>334</v>
      </c>
    </row>
    <row r="2887" spans="28:31">
      <c r="AB2887" s="231" t="s">
        <v>3276</v>
      </c>
      <c r="AC2887" s="217" t="s">
        <v>333</v>
      </c>
      <c r="AD2887" s="217" t="s">
        <v>334</v>
      </c>
      <c r="AE2887" s="217" t="s">
        <v>334</v>
      </c>
    </row>
    <row r="2888" spans="28:31">
      <c r="AB2888" s="231" t="s">
        <v>3277</v>
      </c>
      <c r="AC2888" s="217" t="s">
        <v>333</v>
      </c>
      <c r="AD2888" s="217" t="s">
        <v>334</v>
      </c>
      <c r="AE2888" s="217" t="s">
        <v>334</v>
      </c>
    </row>
    <row r="2889" spans="28:31">
      <c r="AB2889" s="231" t="s">
        <v>3278</v>
      </c>
      <c r="AC2889" s="217" t="s">
        <v>333</v>
      </c>
      <c r="AD2889" s="217" t="s">
        <v>334</v>
      </c>
      <c r="AE2889" s="217" t="s">
        <v>334</v>
      </c>
    </row>
    <row r="2890" spans="28:31">
      <c r="AB2890" s="231" t="s">
        <v>3279</v>
      </c>
      <c r="AC2890" s="217" t="s">
        <v>333</v>
      </c>
      <c r="AD2890" s="217" t="s">
        <v>334</v>
      </c>
      <c r="AE2890" s="217" t="s">
        <v>334</v>
      </c>
    </row>
    <row r="2891" spans="28:31">
      <c r="AB2891" s="231" t="s">
        <v>3280</v>
      </c>
      <c r="AC2891" s="217" t="s">
        <v>333</v>
      </c>
      <c r="AD2891" s="217" t="s">
        <v>334</v>
      </c>
      <c r="AE2891" s="217" t="s">
        <v>334</v>
      </c>
    </row>
    <row r="2892" spans="28:31">
      <c r="AB2892" s="231" t="s">
        <v>3281</v>
      </c>
      <c r="AC2892" s="217" t="s">
        <v>333</v>
      </c>
      <c r="AD2892" s="217" t="s">
        <v>334</v>
      </c>
      <c r="AE2892" s="217" t="s">
        <v>334</v>
      </c>
    </row>
    <row r="2893" spans="28:31">
      <c r="AB2893" s="231" t="s">
        <v>3282</v>
      </c>
      <c r="AC2893" s="217" t="s">
        <v>333</v>
      </c>
      <c r="AD2893" s="217" t="s">
        <v>334</v>
      </c>
      <c r="AE2893" s="217" t="s">
        <v>334</v>
      </c>
    </row>
    <row r="2894" spans="28:31">
      <c r="AB2894" s="231" t="s">
        <v>3283</v>
      </c>
      <c r="AC2894" s="217" t="s">
        <v>333</v>
      </c>
      <c r="AD2894" s="217" t="s">
        <v>334</v>
      </c>
      <c r="AE2894" s="217" t="s">
        <v>334</v>
      </c>
    </row>
    <row r="2895" spans="28:31">
      <c r="AB2895" s="231" t="s">
        <v>3284</v>
      </c>
      <c r="AC2895" s="217" t="s">
        <v>333</v>
      </c>
      <c r="AD2895" s="217" t="s">
        <v>334</v>
      </c>
      <c r="AE2895" s="217" t="s">
        <v>334</v>
      </c>
    </row>
    <row r="2896" spans="28:31">
      <c r="AB2896" s="231" t="s">
        <v>3285</v>
      </c>
      <c r="AC2896" s="217" t="s">
        <v>333</v>
      </c>
      <c r="AD2896" s="217" t="s">
        <v>334</v>
      </c>
      <c r="AE2896" s="217" t="s">
        <v>334</v>
      </c>
    </row>
    <row r="2897" spans="28:31">
      <c r="AB2897" s="231" t="s">
        <v>3286</v>
      </c>
      <c r="AC2897" s="217" t="s">
        <v>333</v>
      </c>
      <c r="AD2897" s="217" t="s">
        <v>334</v>
      </c>
      <c r="AE2897" s="217" t="s">
        <v>334</v>
      </c>
    </row>
    <row r="2898" spans="28:31">
      <c r="AB2898" s="231" t="s">
        <v>3287</v>
      </c>
      <c r="AC2898" s="217" t="s">
        <v>333</v>
      </c>
      <c r="AD2898" s="217" t="s">
        <v>334</v>
      </c>
      <c r="AE2898" s="217" t="s">
        <v>334</v>
      </c>
    </row>
    <row r="2899" spans="28:31">
      <c r="AB2899" s="231" t="s">
        <v>3288</v>
      </c>
      <c r="AC2899" s="217" t="s">
        <v>333</v>
      </c>
      <c r="AD2899" s="217" t="s">
        <v>334</v>
      </c>
      <c r="AE2899" s="217" t="s">
        <v>334</v>
      </c>
    </row>
    <row r="2900" spans="28:31">
      <c r="AB2900" s="231" t="s">
        <v>3289</v>
      </c>
      <c r="AC2900" s="217" t="s">
        <v>333</v>
      </c>
    </row>
    <row r="2901" spans="28:31">
      <c r="AB2901" s="231" t="s">
        <v>3290</v>
      </c>
      <c r="AC2901" s="217" t="s">
        <v>333</v>
      </c>
    </row>
    <row r="2902" spans="28:31">
      <c r="AB2902" s="231" t="s">
        <v>3291</v>
      </c>
      <c r="AC2902" s="217" t="s">
        <v>333</v>
      </c>
    </row>
    <row r="2903" spans="28:31">
      <c r="AB2903" s="231" t="s">
        <v>3292</v>
      </c>
      <c r="AC2903" s="217" t="s">
        <v>333</v>
      </c>
    </row>
    <row r="2904" spans="28:31">
      <c r="AB2904" s="231" t="s">
        <v>3293</v>
      </c>
      <c r="AC2904" s="217" t="s">
        <v>333</v>
      </c>
    </row>
    <row r="2905" spans="28:31">
      <c r="AB2905" s="231" t="s">
        <v>3294</v>
      </c>
      <c r="AC2905" s="217" t="s">
        <v>333</v>
      </c>
    </row>
    <row r="2906" spans="28:31">
      <c r="AB2906" s="231" t="s">
        <v>3295</v>
      </c>
      <c r="AC2906" s="217" t="s">
        <v>333</v>
      </c>
    </row>
    <row r="2907" spans="28:31">
      <c r="AB2907" s="231" t="s">
        <v>3296</v>
      </c>
      <c r="AC2907" s="217" t="s">
        <v>333</v>
      </c>
    </row>
    <row r="2908" spans="28:31">
      <c r="AB2908" s="231" t="s">
        <v>3297</v>
      </c>
      <c r="AC2908" s="217" t="s">
        <v>333</v>
      </c>
    </row>
    <row r="2909" spans="28:31">
      <c r="AB2909" s="233" t="s">
        <v>3298</v>
      </c>
      <c r="AC2909" s="217" t="s">
        <v>333</v>
      </c>
    </row>
    <row r="2910" spans="28:31">
      <c r="AB2910" s="231" t="s">
        <v>3299</v>
      </c>
      <c r="AC2910" s="217" t="s">
        <v>333</v>
      </c>
    </row>
    <row r="2911" spans="28:31">
      <c r="AB2911" s="231" t="s">
        <v>3300</v>
      </c>
      <c r="AC2911" s="217" t="s">
        <v>333</v>
      </c>
    </row>
    <row r="2912" spans="28:31">
      <c r="AB2912" s="231" t="s">
        <v>3301</v>
      </c>
      <c r="AC2912" s="217" t="s">
        <v>333</v>
      </c>
    </row>
    <row r="2913" spans="28:29">
      <c r="AB2913" s="231" t="s">
        <v>3302</v>
      </c>
      <c r="AC2913" s="217" t="s">
        <v>333</v>
      </c>
    </row>
    <row r="2914" spans="28:29">
      <c r="AB2914" s="231" t="s">
        <v>3303</v>
      </c>
      <c r="AC2914" s="217" t="s">
        <v>333</v>
      </c>
    </row>
    <row r="2915" spans="28:29">
      <c r="AB2915" s="231" t="s">
        <v>3304</v>
      </c>
      <c r="AC2915" s="217" t="s">
        <v>333</v>
      </c>
    </row>
    <row r="2916" spans="28:29">
      <c r="AB2916" s="231" t="s">
        <v>3305</v>
      </c>
      <c r="AC2916" s="217" t="s">
        <v>333</v>
      </c>
    </row>
    <row r="2917" spans="28:29">
      <c r="AB2917" s="231" t="s">
        <v>3306</v>
      </c>
      <c r="AC2917" s="217" t="s">
        <v>333</v>
      </c>
    </row>
    <row r="2918" spans="28:29">
      <c r="AB2918" s="231" t="s">
        <v>3307</v>
      </c>
      <c r="AC2918" s="217" t="s">
        <v>333</v>
      </c>
    </row>
    <row r="2919" spans="28:29">
      <c r="AB2919" s="231" t="s">
        <v>3308</v>
      </c>
      <c r="AC2919" s="217" t="s">
        <v>333</v>
      </c>
    </row>
    <row r="2920" spans="28:29">
      <c r="AB2920" s="231" t="s">
        <v>3309</v>
      </c>
      <c r="AC2920" s="217" t="s">
        <v>333</v>
      </c>
    </row>
    <row r="2921" spans="28:29">
      <c r="AB2921" s="231" t="s">
        <v>3310</v>
      </c>
      <c r="AC2921" s="217" t="s">
        <v>333</v>
      </c>
    </row>
    <row r="2922" spans="28:29">
      <c r="AB2922" s="231" t="s">
        <v>3311</v>
      </c>
      <c r="AC2922" s="217" t="s">
        <v>333</v>
      </c>
    </row>
    <row r="2923" spans="28:29">
      <c r="AB2923" s="231" t="s">
        <v>3312</v>
      </c>
      <c r="AC2923" s="217" t="s">
        <v>333</v>
      </c>
    </row>
    <row r="2924" spans="28:29">
      <c r="AB2924" s="231" t="s">
        <v>3313</v>
      </c>
      <c r="AC2924" s="217" t="s">
        <v>333</v>
      </c>
    </row>
    <row r="2925" spans="28:29">
      <c r="AB2925" s="231" t="s">
        <v>3314</v>
      </c>
      <c r="AC2925" s="217" t="s">
        <v>333</v>
      </c>
    </row>
    <row r="2926" spans="28:29">
      <c r="AB2926" s="231" t="s">
        <v>3315</v>
      </c>
      <c r="AC2926" s="217" t="s">
        <v>333</v>
      </c>
    </row>
    <row r="2927" spans="28:29">
      <c r="AB2927" s="231" t="s">
        <v>3316</v>
      </c>
      <c r="AC2927" s="217" t="s">
        <v>333</v>
      </c>
    </row>
    <row r="2928" spans="28:29">
      <c r="AB2928" s="231" t="s">
        <v>3317</v>
      </c>
      <c r="AC2928" s="217" t="s">
        <v>333</v>
      </c>
    </row>
    <row r="2929" spans="28:29">
      <c r="AB2929" s="231" t="s">
        <v>3318</v>
      </c>
      <c r="AC2929" s="217" t="s">
        <v>333</v>
      </c>
    </row>
    <row r="2930" spans="28:29">
      <c r="AB2930" s="231" t="s">
        <v>3319</v>
      </c>
      <c r="AC2930" s="217" t="s">
        <v>333</v>
      </c>
    </row>
    <row r="2931" spans="28:29">
      <c r="AB2931" s="231" t="s">
        <v>3320</v>
      </c>
      <c r="AC2931" s="217" t="s">
        <v>333</v>
      </c>
    </row>
    <row r="2932" spans="28:29">
      <c r="AB2932" s="231" t="s">
        <v>3321</v>
      </c>
      <c r="AC2932" s="217" t="s">
        <v>333</v>
      </c>
    </row>
    <row r="2933" spans="28:29">
      <c r="AB2933" s="231" t="s">
        <v>3322</v>
      </c>
      <c r="AC2933" s="217" t="s">
        <v>333</v>
      </c>
    </row>
    <row r="2934" spans="28:29">
      <c r="AB2934" s="231" t="s">
        <v>3323</v>
      </c>
      <c r="AC2934" s="217" t="s">
        <v>333</v>
      </c>
    </row>
    <row r="2935" spans="28:29">
      <c r="AB2935" s="231" t="s">
        <v>3324</v>
      </c>
      <c r="AC2935" s="217" t="s">
        <v>333</v>
      </c>
    </row>
    <row r="2936" spans="28:29">
      <c r="AB2936" s="231" t="s">
        <v>3325</v>
      </c>
      <c r="AC2936" s="217" t="s">
        <v>333</v>
      </c>
    </row>
    <row r="2937" spans="28:29">
      <c r="AB2937" s="231" t="s">
        <v>3326</v>
      </c>
      <c r="AC2937" s="217" t="s">
        <v>333</v>
      </c>
    </row>
    <row r="2938" spans="28:29">
      <c r="AB2938" s="231" t="s">
        <v>3327</v>
      </c>
      <c r="AC2938" s="217" t="s">
        <v>333</v>
      </c>
    </row>
    <row r="2939" spans="28:29">
      <c r="AB2939" s="231" t="s">
        <v>3328</v>
      </c>
      <c r="AC2939" s="217" t="s">
        <v>333</v>
      </c>
    </row>
    <row r="2940" spans="28:29">
      <c r="AB2940" s="231" t="s">
        <v>3329</v>
      </c>
      <c r="AC2940" s="217" t="s">
        <v>333</v>
      </c>
    </row>
    <row r="2941" spans="28:29">
      <c r="AB2941" s="231" t="s">
        <v>3330</v>
      </c>
      <c r="AC2941" s="217" t="s">
        <v>333</v>
      </c>
    </row>
    <row r="2942" spans="28:29">
      <c r="AB2942" s="231" t="s">
        <v>3331</v>
      </c>
      <c r="AC2942" s="217" t="s">
        <v>333</v>
      </c>
    </row>
    <row r="2943" spans="28:29">
      <c r="AB2943" s="231" t="s">
        <v>3332</v>
      </c>
      <c r="AC2943" s="217" t="s">
        <v>333</v>
      </c>
    </row>
    <row r="2944" spans="28:29">
      <c r="AB2944" s="231" t="s">
        <v>3333</v>
      </c>
      <c r="AC2944" s="217" t="s">
        <v>333</v>
      </c>
    </row>
    <row r="2945" spans="28:29">
      <c r="AB2945" s="231" t="s">
        <v>3334</v>
      </c>
      <c r="AC2945" s="217" t="s">
        <v>333</v>
      </c>
    </row>
    <row r="2946" spans="28:29">
      <c r="AB2946" s="231" t="s">
        <v>3335</v>
      </c>
      <c r="AC2946" s="217" t="s">
        <v>333</v>
      </c>
    </row>
    <row r="2947" spans="28:29">
      <c r="AB2947" s="231" t="s">
        <v>3336</v>
      </c>
      <c r="AC2947" s="217" t="s">
        <v>333</v>
      </c>
    </row>
    <row r="2948" spans="28:29">
      <c r="AB2948" s="231" t="s">
        <v>3337</v>
      </c>
      <c r="AC2948" s="217" t="s">
        <v>333</v>
      </c>
    </row>
    <row r="2949" spans="28:29">
      <c r="AB2949" s="231" t="s">
        <v>3338</v>
      </c>
      <c r="AC2949" s="217" t="s">
        <v>333</v>
      </c>
    </row>
    <row r="2950" spans="28:29">
      <c r="AB2950" s="231" t="s">
        <v>3339</v>
      </c>
      <c r="AC2950" s="217" t="s">
        <v>333</v>
      </c>
    </row>
    <row r="2951" spans="28:29">
      <c r="AB2951" s="231" t="s">
        <v>3340</v>
      </c>
      <c r="AC2951" s="217" t="s">
        <v>333</v>
      </c>
    </row>
    <row r="2952" spans="28:29">
      <c r="AB2952" s="231" t="s">
        <v>3341</v>
      </c>
      <c r="AC2952" s="217" t="s">
        <v>333</v>
      </c>
    </row>
    <row r="2953" spans="28:29">
      <c r="AB2953" s="231" t="s">
        <v>3342</v>
      </c>
      <c r="AC2953" s="217" t="s">
        <v>333</v>
      </c>
    </row>
    <row r="2954" spans="28:29">
      <c r="AB2954" s="231" t="s">
        <v>3343</v>
      </c>
      <c r="AC2954" s="217" t="s">
        <v>333</v>
      </c>
    </row>
    <row r="2955" spans="28:29">
      <c r="AB2955" s="231" t="s">
        <v>3344</v>
      </c>
      <c r="AC2955" s="217" t="s">
        <v>333</v>
      </c>
    </row>
    <row r="2956" spans="28:29">
      <c r="AB2956" s="231" t="s">
        <v>3345</v>
      </c>
      <c r="AC2956" s="217" t="s">
        <v>333</v>
      </c>
    </row>
    <row r="2957" spans="28:29">
      <c r="AB2957" s="231" t="s">
        <v>3346</v>
      </c>
      <c r="AC2957" s="217" t="s">
        <v>333</v>
      </c>
    </row>
    <row r="2958" spans="28:29">
      <c r="AB2958" s="231" t="s">
        <v>3347</v>
      </c>
      <c r="AC2958" s="217" t="s">
        <v>333</v>
      </c>
    </row>
    <row r="2959" spans="28:29">
      <c r="AB2959" s="231" t="s">
        <v>3348</v>
      </c>
      <c r="AC2959" s="217" t="s">
        <v>333</v>
      </c>
    </row>
    <row r="2960" spans="28:29">
      <c r="AB2960" s="231" t="s">
        <v>3349</v>
      </c>
      <c r="AC2960" s="217" t="s">
        <v>333</v>
      </c>
    </row>
    <row r="2961" spans="28:29">
      <c r="AB2961" s="231" t="s">
        <v>3350</v>
      </c>
      <c r="AC2961" s="217" t="s">
        <v>333</v>
      </c>
    </row>
    <row r="2962" spans="28:29">
      <c r="AB2962" s="231" t="s">
        <v>3351</v>
      </c>
      <c r="AC2962" s="217" t="s">
        <v>333</v>
      </c>
    </row>
    <row r="2963" spans="28:29">
      <c r="AB2963" s="231" t="s">
        <v>3352</v>
      </c>
      <c r="AC2963" s="217" t="s">
        <v>333</v>
      </c>
    </row>
    <row r="2964" spans="28:29">
      <c r="AB2964" s="231" t="s">
        <v>3353</v>
      </c>
      <c r="AC2964" s="217" t="s">
        <v>333</v>
      </c>
    </row>
    <row r="2965" spans="28:29">
      <c r="AB2965" s="231" t="s">
        <v>3354</v>
      </c>
      <c r="AC2965" s="217" t="s">
        <v>333</v>
      </c>
    </row>
    <row r="2966" spans="28:29">
      <c r="AB2966" s="231" t="s">
        <v>3355</v>
      </c>
      <c r="AC2966" s="217" t="s">
        <v>333</v>
      </c>
    </row>
    <row r="2967" spans="28:29">
      <c r="AB2967" s="231" t="s">
        <v>3356</v>
      </c>
      <c r="AC2967" s="217" t="s">
        <v>333</v>
      </c>
    </row>
    <row r="2968" spans="28:29">
      <c r="AB2968" s="231" t="s">
        <v>3357</v>
      </c>
      <c r="AC2968" s="217" t="s">
        <v>333</v>
      </c>
    </row>
    <row r="2969" spans="28:29">
      <c r="AB2969" s="231" t="s">
        <v>3358</v>
      </c>
      <c r="AC2969" s="217" t="s">
        <v>333</v>
      </c>
    </row>
    <row r="2970" spans="28:29">
      <c r="AB2970" s="231" t="s">
        <v>3359</v>
      </c>
      <c r="AC2970" s="217" t="s">
        <v>333</v>
      </c>
    </row>
    <row r="2971" spans="28:29">
      <c r="AB2971" s="231" t="s">
        <v>3360</v>
      </c>
      <c r="AC2971" s="217" t="s">
        <v>333</v>
      </c>
    </row>
    <row r="2972" spans="28:29">
      <c r="AB2972" s="231" t="s">
        <v>3361</v>
      </c>
      <c r="AC2972" s="217" t="s">
        <v>333</v>
      </c>
    </row>
    <row r="2973" spans="28:29">
      <c r="AB2973" s="231" t="s">
        <v>3362</v>
      </c>
      <c r="AC2973" s="217" t="s">
        <v>333</v>
      </c>
    </row>
    <row r="2974" spans="28:29">
      <c r="AB2974" s="231" t="s">
        <v>3363</v>
      </c>
      <c r="AC2974" s="217" t="s">
        <v>333</v>
      </c>
    </row>
    <row r="2975" spans="28:29">
      <c r="AB2975" s="231" t="s">
        <v>3364</v>
      </c>
      <c r="AC2975" s="217" t="s">
        <v>333</v>
      </c>
    </row>
    <row r="2976" spans="28:29">
      <c r="AB2976" s="231" t="s">
        <v>3365</v>
      </c>
      <c r="AC2976" s="217" t="s">
        <v>333</v>
      </c>
    </row>
    <row r="2977" spans="28:29">
      <c r="AB2977" s="231" t="s">
        <v>3366</v>
      </c>
      <c r="AC2977" s="217" t="s">
        <v>333</v>
      </c>
    </row>
    <row r="2978" spans="28:29">
      <c r="AB2978" s="231" t="s">
        <v>3367</v>
      </c>
      <c r="AC2978" s="217" t="s">
        <v>333</v>
      </c>
    </row>
    <row r="2979" spans="28:29">
      <c r="AB2979" s="231" t="s">
        <v>3368</v>
      </c>
      <c r="AC2979" s="217" t="s">
        <v>333</v>
      </c>
    </row>
    <row r="2980" spans="28:29">
      <c r="AB2980" s="231" t="s">
        <v>3369</v>
      </c>
      <c r="AC2980" s="217" t="s">
        <v>333</v>
      </c>
    </row>
    <row r="2981" spans="28:29">
      <c r="AB2981" s="231" t="s">
        <v>3370</v>
      </c>
      <c r="AC2981" s="217" t="s">
        <v>333</v>
      </c>
    </row>
    <row r="2982" spans="28:29">
      <c r="AB2982" s="231" t="s">
        <v>3371</v>
      </c>
      <c r="AC2982" s="217" t="s">
        <v>333</v>
      </c>
    </row>
    <row r="2983" spans="28:29">
      <c r="AB2983" s="231" t="s">
        <v>3372</v>
      </c>
      <c r="AC2983" s="217" t="s">
        <v>333</v>
      </c>
    </row>
    <row r="2984" spans="28:29">
      <c r="AB2984" s="231" t="s">
        <v>3373</v>
      </c>
      <c r="AC2984" s="217" t="s">
        <v>333</v>
      </c>
    </row>
    <row r="2985" spans="28:29">
      <c r="AB2985" s="231" t="s">
        <v>3374</v>
      </c>
      <c r="AC2985" s="217" t="s">
        <v>333</v>
      </c>
    </row>
    <row r="2986" spans="28:29">
      <c r="AB2986" s="231" t="s">
        <v>3375</v>
      </c>
      <c r="AC2986" s="217" t="s">
        <v>333</v>
      </c>
    </row>
    <row r="2987" spans="28:29">
      <c r="AB2987" s="231" t="s">
        <v>3376</v>
      </c>
      <c r="AC2987" s="217" t="s">
        <v>333</v>
      </c>
    </row>
    <row r="2988" spans="28:29">
      <c r="AB2988" s="231" t="s">
        <v>3377</v>
      </c>
      <c r="AC2988" s="217" t="s">
        <v>333</v>
      </c>
    </row>
    <row r="2989" spans="28:29">
      <c r="AB2989" s="231" t="s">
        <v>3378</v>
      </c>
      <c r="AC2989" s="217" t="s">
        <v>333</v>
      </c>
    </row>
    <row r="2990" spans="28:29">
      <c r="AB2990" s="231" t="s">
        <v>3379</v>
      </c>
      <c r="AC2990" s="217" t="s">
        <v>333</v>
      </c>
    </row>
    <row r="2991" spans="28:29">
      <c r="AB2991" s="231" t="s">
        <v>3380</v>
      </c>
      <c r="AC2991" s="217" t="s">
        <v>333</v>
      </c>
    </row>
    <row r="2992" spans="28:29">
      <c r="AB2992" s="231" t="s">
        <v>3381</v>
      </c>
      <c r="AC2992" s="217" t="s">
        <v>333</v>
      </c>
    </row>
    <row r="2993" spans="28:29">
      <c r="AB2993" s="231" t="s">
        <v>3382</v>
      </c>
      <c r="AC2993" s="217" t="s">
        <v>333</v>
      </c>
    </row>
    <row r="2994" spans="28:29">
      <c r="AB2994" s="231" t="s">
        <v>3383</v>
      </c>
      <c r="AC2994" s="217" t="s">
        <v>333</v>
      </c>
    </row>
    <row r="2995" spans="28:29">
      <c r="AB2995" s="231" t="s">
        <v>3384</v>
      </c>
      <c r="AC2995" s="217" t="s">
        <v>333</v>
      </c>
    </row>
    <row r="2996" spans="28:29">
      <c r="AB2996" s="231" t="s">
        <v>3385</v>
      </c>
      <c r="AC2996" s="217" t="s">
        <v>333</v>
      </c>
    </row>
    <row r="2997" spans="28:29">
      <c r="AB2997" s="231" t="s">
        <v>3386</v>
      </c>
      <c r="AC2997" s="217" t="s">
        <v>333</v>
      </c>
    </row>
    <row r="2998" spans="28:29">
      <c r="AB2998" s="231" t="s">
        <v>3387</v>
      </c>
      <c r="AC2998" s="217" t="s">
        <v>333</v>
      </c>
    </row>
    <row r="2999" spans="28:29">
      <c r="AB2999" s="231" t="s">
        <v>3388</v>
      </c>
      <c r="AC2999" s="217" t="s">
        <v>333</v>
      </c>
    </row>
    <row r="3000" spans="28:29">
      <c r="AB3000" s="231" t="s">
        <v>3389</v>
      </c>
      <c r="AC3000" s="217" t="s">
        <v>333</v>
      </c>
    </row>
    <row r="3001" spans="28:29">
      <c r="AB3001" s="231" t="s">
        <v>3390</v>
      </c>
      <c r="AC3001" s="217" t="s">
        <v>333</v>
      </c>
    </row>
    <row r="3002" spans="28:29">
      <c r="AB3002" s="231" t="s">
        <v>3391</v>
      </c>
      <c r="AC3002" s="217" t="s">
        <v>333</v>
      </c>
    </row>
    <row r="3003" spans="28:29">
      <c r="AB3003" s="231" t="s">
        <v>3392</v>
      </c>
      <c r="AC3003" s="217" t="s">
        <v>333</v>
      </c>
    </row>
    <row r="3004" spans="28:29">
      <c r="AB3004" s="231" t="s">
        <v>3393</v>
      </c>
      <c r="AC3004" s="217" t="s">
        <v>333</v>
      </c>
    </row>
    <row r="3005" spans="28:29">
      <c r="AB3005" s="231" t="s">
        <v>3394</v>
      </c>
      <c r="AC3005" s="217" t="s">
        <v>333</v>
      </c>
    </row>
    <row r="3006" spans="28:29">
      <c r="AB3006" s="231" t="s">
        <v>3395</v>
      </c>
      <c r="AC3006" s="217" t="s">
        <v>333</v>
      </c>
    </row>
    <row r="3007" spans="28:29">
      <c r="AB3007" s="231" t="s">
        <v>3396</v>
      </c>
      <c r="AC3007" s="217" t="s">
        <v>333</v>
      </c>
    </row>
    <row r="3008" spans="28:29">
      <c r="AB3008" s="231" t="s">
        <v>3397</v>
      </c>
      <c r="AC3008" s="217" t="s">
        <v>333</v>
      </c>
    </row>
    <row r="3009" spans="28:29">
      <c r="AB3009" s="231" t="s">
        <v>3398</v>
      </c>
      <c r="AC3009" s="217" t="s">
        <v>333</v>
      </c>
    </row>
    <row r="3010" spans="28:29">
      <c r="AB3010" s="231" t="s">
        <v>3399</v>
      </c>
      <c r="AC3010" s="217" t="s">
        <v>333</v>
      </c>
    </row>
    <row r="3011" spans="28:29">
      <c r="AB3011" s="231" t="s">
        <v>3400</v>
      </c>
      <c r="AC3011" s="217" t="s">
        <v>333</v>
      </c>
    </row>
    <row r="3012" spans="28:29">
      <c r="AB3012" s="231" t="s">
        <v>3401</v>
      </c>
      <c r="AC3012" s="217" t="s">
        <v>333</v>
      </c>
    </row>
    <row r="3013" spans="28:29">
      <c r="AB3013" s="231" t="s">
        <v>3402</v>
      </c>
      <c r="AC3013" s="217" t="s">
        <v>333</v>
      </c>
    </row>
    <row r="3014" spans="28:29">
      <c r="AB3014" s="231" t="s">
        <v>3403</v>
      </c>
      <c r="AC3014" s="217" t="s">
        <v>333</v>
      </c>
    </row>
    <row r="3015" spans="28:29">
      <c r="AB3015" s="231" t="s">
        <v>3404</v>
      </c>
      <c r="AC3015" s="217" t="s">
        <v>333</v>
      </c>
    </row>
    <row r="3016" spans="28:29">
      <c r="AB3016" s="231" t="s">
        <v>3405</v>
      </c>
      <c r="AC3016" s="217" t="s">
        <v>333</v>
      </c>
    </row>
    <row r="3017" spans="28:29">
      <c r="AB3017" s="231" t="s">
        <v>3406</v>
      </c>
      <c r="AC3017" s="217" t="s">
        <v>333</v>
      </c>
    </row>
    <row r="3018" spans="28:29">
      <c r="AB3018" s="231" t="s">
        <v>3407</v>
      </c>
      <c r="AC3018" s="217" t="s">
        <v>333</v>
      </c>
    </row>
    <row r="3019" spans="28:29">
      <c r="AB3019" s="231" t="s">
        <v>3408</v>
      </c>
      <c r="AC3019" s="217" t="s">
        <v>333</v>
      </c>
    </row>
    <row r="3020" spans="28:29">
      <c r="AB3020" s="231" t="s">
        <v>3409</v>
      </c>
      <c r="AC3020" s="217" t="s">
        <v>333</v>
      </c>
    </row>
    <row r="3021" spans="28:29">
      <c r="AB3021" s="231" t="s">
        <v>3410</v>
      </c>
      <c r="AC3021" s="217" t="s">
        <v>333</v>
      </c>
    </row>
    <row r="3022" spans="28:29">
      <c r="AB3022" s="231" t="s">
        <v>3411</v>
      </c>
      <c r="AC3022" s="217" t="s">
        <v>333</v>
      </c>
    </row>
    <row r="3023" spans="28:29">
      <c r="AB3023" s="231" t="s">
        <v>3412</v>
      </c>
      <c r="AC3023" s="217" t="s">
        <v>333</v>
      </c>
    </row>
    <row r="3024" spans="28:29">
      <c r="AB3024" s="231" t="s">
        <v>3413</v>
      </c>
      <c r="AC3024" s="217" t="s">
        <v>333</v>
      </c>
    </row>
    <row r="3025" spans="28:29">
      <c r="AB3025" s="231" t="s">
        <v>3414</v>
      </c>
      <c r="AC3025" s="217" t="s">
        <v>333</v>
      </c>
    </row>
    <row r="3026" spans="28:29">
      <c r="AB3026" s="231" t="s">
        <v>3415</v>
      </c>
      <c r="AC3026" s="217" t="s">
        <v>333</v>
      </c>
    </row>
    <row r="3027" spans="28:29">
      <c r="AB3027" s="231" t="s">
        <v>3416</v>
      </c>
      <c r="AC3027" s="217" t="s">
        <v>333</v>
      </c>
    </row>
    <row r="3028" spans="28:29">
      <c r="AB3028" s="231" t="s">
        <v>3417</v>
      </c>
      <c r="AC3028" s="217" t="s">
        <v>333</v>
      </c>
    </row>
    <row r="3029" spans="28:29">
      <c r="AB3029" s="231" t="s">
        <v>3418</v>
      </c>
      <c r="AC3029" s="217" t="s">
        <v>333</v>
      </c>
    </row>
    <row r="3030" spans="28:29">
      <c r="AB3030" s="231" t="s">
        <v>3419</v>
      </c>
      <c r="AC3030" s="217" t="s">
        <v>333</v>
      </c>
    </row>
    <row r="3031" spans="28:29">
      <c r="AB3031" s="231" t="s">
        <v>3420</v>
      </c>
      <c r="AC3031" s="217" t="s">
        <v>333</v>
      </c>
    </row>
    <row r="3032" spans="28:29">
      <c r="AB3032" s="231" t="s">
        <v>3421</v>
      </c>
      <c r="AC3032" s="217" t="s">
        <v>333</v>
      </c>
    </row>
    <row r="3033" spans="28:29">
      <c r="AB3033" s="231" t="s">
        <v>3422</v>
      </c>
      <c r="AC3033" s="217" t="s">
        <v>333</v>
      </c>
    </row>
    <row r="3034" spans="28:29">
      <c r="AB3034" s="231" t="s">
        <v>3423</v>
      </c>
      <c r="AC3034" s="217" t="s">
        <v>333</v>
      </c>
    </row>
    <row r="3035" spans="28:29">
      <c r="AB3035" s="231" t="s">
        <v>3424</v>
      </c>
      <c r="AC3035" s="217" t="s">
        <v>333</v>
      </c>
    </row>
    <row r="3036" spans="28:29">
      <c r="AB3036" s="231" t="s">
        <v>3425</v>
      </c>
      <c r="AC3036" s="217" t="s">
        <v>333</v>
      </c>
    </row>
    <row r="3037" spans="28:29">
      <c r="AB3037" s="231" t="s">
        <v>3426</v>
      </c>
      <c r="AC3037" s="217" t="s">
        <v>333</v>
      </c>
    </row>
    <row r="3038" spans="28:29">
      <c r="AB3038" s="231" t="s">
        <v>3427</v>
      </c>
      <c r="AC3038" s="217" t="s">
        <v>333</v>
      </c>
    </row>
    <row r="3039" spans="28:29">
      <c r="AB3039" s="231" t="s">
        <v>3428</v>
      </c>
      <c r="AC3039" s="217" t="s">
        <v>333</v>
      </c>
    </row>
    <row r="3040" spans="28:29">
      <c r="AB3040" s="231" t="s">
        <v>3429</v>
      </c>
      <c r="AC3040" s="217" t="s">
        <v>333</v>
      </c>
    </row>
    <row r="3041" spans="28:29">
      <c r="AB3041" s="231" t="s">
        <v>3430</v>
      </c>
      <c r="AC3041" s="217" t="s">
        <v>333</v>
      </c>
    </row>
    <row r="3042" spans="28:29">
      <c r="AB3042" s="231" t="s">
        <v>3431</v>
      </c>
      <c r="AC3042" s="217" t="s">
        <v>333</v>
      </c>
    </row>
    <row r="3043" spans="28:29">
      <c r="AB3043" s="231" t="s">
        <v>3432</v>
      </c>
      <c r="AC3043" s="217" t="s">
        <v>333</v>
      </c>
    </row>
    <row r="3044" spans="28:29">
      <c r="AB3044" s="231" t="s">
        <v>3433</v>
      </c>
      <c r="AC3044" s="217" t="s">
        <v>333</v>
      </c>
    </row>
    <row r="3045" spans="28:29">
      <c r="AB3045" s="231" t="s">
        <v>3434</v>
      </c>
      <c r="AC3045" s="217" t="s">
        <v>333</v>
      </c>
    </row>
    <row r="3046" spans="28:29">
      <c r="AB3046" s="231" t="s">
        <v>3435</v>
      </c>
      <c r="AC3046" s="217" t="s">
        <v>333</v>
      </c>
    </row>
    <row r="3047" spans="28:29">
      <c r="AB3047" s="231" t="s">
        <v>3436</v>
      </c>
      <c r="AC3047" s="217" t="s">
        <v>333</v>
      </c>
    </row>
    <row r="3048" spans="28:29">
      <c r="AB3048" s="231" t="s">
        <v>3437</v>
      </c>
      <c r="AC3048" s="217" t="s">
        <v>333</v>
      </c>
    </row>
    <row r="3049" spans="28:29">
      <c r="AB3049" s="231" t="s">
        <v>3438</v>
      </c>
      <c r="AC3049" s="217" t="s">
        <v>333</v>
      </c>
    </row>
    <row r="3050" spans="28:29">
      <c r="AB3050" s="231" t="s">
        <v>3439</v>
      </c>
      <c r="AC3050" s="217" t="s">
        <v>333</v>
      </c>
    </row>
    <row r="3051" spans="28:29">
      <c r="AB3051" s="231" t="s">
        <v>3440</v>
      </c>
      <c r="AC3051" s="217" t="s">
        <v>333</v>
      </c>
    </row>
    <row r="3052" spans="28:29">
      <c r="AB3052" s="231" t="s">
        <v>3441</v>
      </c>
      <c r="AC3052" s="217" t="s">
        <v>333</v>
      </c>
    </row>
    <row r="3053" spans="28:29">
      <c r="AB3053" s="231" t="s">
        <v>3442</v>
      </c>
      <c r="AC3053" s="217" t="s">
        <v>333</v>
      </c>
    </row>
    <row r="3054" spans="28:29">
      <c r="AB3054" s="231" t="s">
        <v>3443</v>
      </c>
      <c r="AC3054" s="217" t="s">
        <v>333</v>
      </c>
    </row>
    <row r="3055" spans="28:29">
      <c r="AB3055" s="231" t="s">
        <v>3444</v>
      </c>
      <c r="AC3055" s="217" t="s">
        <v>333</v>
      </c>
    </row>
    <row r="3056" spans="28:29">
      <c r="AB3056" s="231" t="s">
        <v>3445</v>
      </c>
      <c r="AC3056" s="217" t="s">
        <v>333</v>
      </c>
    </row>
    <row r="3057" spans="28:29">
      <c r="AB3057" s="231" t="s">
        <v>3446</v>
      </c>
      <c r="AC3057" s="217" t="s">
        <v>333</v>
      </c>
    </row>
    <row r="3058" spans="28:29">
      <c r="AB3058" s="231" t="s">
        <v>3447</v>
      </c>
      <c r="AC3058" s="217" t="s">
        <v>333</v>
      </c>
    </row>
    <row r="3059" spans="28:29">
      <c r="AB3059" s="231" t="s">
        <v>3448</v>
      </c>
      <c r="AC3059" s="217" t="s">
        <v>333</v>
      </c>
    </row>
    <row r="3060" spans="28:29">
      <c r="AB3060" s="231" t="s">
        <v>3449</v>
      </c>
      <c r="AC3060" s="217" t="s">
        <v>333</v>
      </c>
    </row>
    <row r="3061" spans="28:29">
      <c r="AB3061" s="231" t="s">
        <v>3450</v>
      </c>
      <c r="AC3061" s="217" t="s">
        <v>333</v>
      </c>
    </row>
    <row r="3062" spans="28:29">
      <c r="AB3062" s="231" t="s">
        <v>3451</v>
      </c>
      <c r="AC3062" s="217" t="s">
        <v>333</v>
      </c>
    </row>
    <row r="3063" spans="28:29">
      <c r="AB3063" s="231" t="s">
        <v>3452</v>
      </c>
      <c r="AC3063" s="217" t="s">
        <v>333</v>
      </c>
    </row>
    <row r="3064" spans="28:29">
      <c r="AB3064" s="231" t="s">
        <v>3453</v>
      </c>
      <c r="AC3064" s="217" t="s">
        <v>333</v>
      </c>
    </row>
    <row r="3065" spans="28:29">
      <c r="AB3065" s="231" t="s">
        <v>3454</v>
      </c>
      <c r="AC3065" s="217" t="s">
        <v>333</v>
      </c>
    </row>
    <row r="3066" spans="28:29">
      <c r="AB3066" s="231" t="s">
        <v>3455</v>
      </c>
      <c r="AC3066" s="217" t="s">
        <v>333</v>
      </c>
    </row>
    <row r="3067" spans="28:29">
      <c r="AB3067" s="231" t="s">
        <v>3456</v>
      </c>
      <c r="AC3067" s="217" t="s">
        <v>333</v>
      </c>
    </row>
    <row r="3068" spans="28:29">
      <c r="AB3068" s="231" t="s">
        <v>3457</v>
      </c>
      <c r="AC3068" s="217" t="s">
        <v>333</v>
      </c>
    </row>
    <row r="3069" spans="28:29">
      <c r="AB3069" s="231" t="s">
        <v>3458</v>
      </c>
      <c r="AC3069" s="217" t="s">
        <v>333</v>
      </c>
    </row>
    <row r="3070" spans="28:29">
      <c r="AB3070" s="231" t="s">
        <v>3459</v>
      </c>
      <c r="AC3070" s="217" t="s">
        <v>333</v>
      </c>
    </row>
    <row r="3071" spans="28:29">
      <c r="AB3071" s="231" t="s">
        <v>3460</v>
      </c>
      <c r="AC3071" s="217" t="s">
        <v>333</v>
      </c>
    </row>
    <row r="3072" spans="28:29">
      <c r="AB3072" s="231" t="s">
        <v>3461</v>
      </c>
      <c r="AC3072" s="217" t="s">
        <v>333</v>
      </c>
    </row>
    <row r="3073" spans="28:29">
      <c r="AB3073" s="231" t="s">
        <v>3462</v>
      </c>
      <c r="AC3073" s="217" t="s">
        <v>333</v>
      </c>
    </row>
    <row r="3074" spans="28:29">
      <c r="AB3074" s="231" t="s">
        <v>3463</v>
      </c>
      <c r="AC3074" s="217" t="s">
        <v>333</v>
      </c>
    </row>
    <row r="3075" spans="28:29">
      <c r="AB3075" s="231" t="s">
        <v>3464</v>
      </c>
      <c r="AC3075" s="217" t="s">
        <v>333</v>
      </c>
    </row>
    <row r="3076" spans="28:29">
      <c r="AB3076" s="231" t="s">
        <v>3465</v>
      </c>
      <c r="AC3076" s="217" t="s">
        <v>333</v>
      </c>
    </row>
    <row r="3077" spans="28:29">
      <c r="AB3077" s="231" t="s">
        <v>3466</v>
      </c>
      <c r="AC3077" s="217" t="s">
        <v>333</v>
      </c>
    </row>
    <row r="3078" spans="28:29">
      <c r="AB3078" s="231" t="s">
        <v>3467</v>
      </c>
      <c r="AC3078" s="217" t="s">
        <v>333</v>
      </c>
    </row>
    <row r="3079" spans="28:29">
      <c r="AB3079" s="231" t="s">
        <v>3468</v>
      </c>
      <c r="AC3079" s="217" t="s">
        <v>333</v>
      </c>
    </row>
    <row r="3080" spans="28:29">
      <c r="AB3080" s="231" t="s">
        <v>3469</v>
      </c>
      <c r="AC3080" s="217" t="s">
        <v>333</v>
      </c>
    </row>
    <row r="3081" spans="28:29">
      <c r="AB3081" s="231" t="s">
        <v>3470</v>
      </c>
      <c r="AC3081" s="217" t="s">
        <v>333</v>
      </c>
    </row>
    <row r="3082" spans="28:29">
      <c r="AB3082" s="231" t="s">
        <v>3471</v>
      </c>
      <c r="AC3082" s="217" t="s">
        <v>333</v>
      </c>
    </row>
    <row r="3083" spans="28:29">
      <c r="AB3083" s="231" t="s">
        <v>3472</v>
      </c>
      <c r="AC3083" s="217" t="s">
        <v>333</v>
      </c>
    </row>
    <row r="3084" spans="28:29">
      <c r="AB3084" s="231" t="s">
        <v>3473</v>
      </c>
      <c r="AC3084" s="217" t="s">
        <v>333</v>
      </c>
    </row>
    <row r="3085" spans="28:29">
      <c r="AB3085" s="231" t="s">
        <v>3474</v>
      </c>
      <c r="AC3085" s="217" t="s">
        <v>333</v>
      </c>
    </row>
    <row r="3086" spans="28:29">
      <c r="AB3086" s="231" t="s">
        <v>3475</v>
      </c>
      <c r="AC3086" s="217" t="s">
        <v>333</v>
      </c>
    </row>
    <row r="3087" spans="28:29">
      <c r="AB3087" s="231" t="s">
        <v>3476</v>
      </c>
      <c r="AC3087" s="217" t="s">
        <v>333</v>
      </c>
    </row>
    <row r="3088" spans="28:29">
      <c r="AB3088" s="231" t="s">
        <v>3477</v>
      </c>
      <c r="AC3088" s="217" t="s">
        <v>333</v>
      </c>
    </row>
    <row r="3089" spans="28:29">
      <c r="AB3089" s="231" t="s">
        <v>3478</v>
      </c>
      <c r="AC3089" s="217" t="s">
        <v>333</v>
      </c>
    </row>
    <row r="3090" spans="28:29">
      <c r="AB3090" s="231" t="s">
        <v>3479</v>
      </c>
      <c r="AC3090" s="217" t="s">
        <v>333</v>
      </c>
    </row>
    <row r="3091" spans="28:29">
      <c r="AB3091" s="231" t="s">
        <v>3480</v>
      </c>
      <c r="AC3091" s="217" t="s">
        <v>333</v>
      </c>
    </row>
    <row r="3092" spans="28:29">
      <c r="AB3092" s="231" t="s">
        <v>3481</v>
      </c>
      <c r="AC3092" s="217" t="s">
        <v>333</v>
      </c>
    </row>
    <row r="3093" spans="28:29">
      <c r="AB3093" s="231" t="s">
        <v>3482</v>
      </c>
      <c r="AC3093" s="217" t="s">
        <v>333</v>
      </c>
    </row>
    <row r="3094" spans="28:29">
      <c r="AB3094" s="231" t="s">
        <v>3483</v>
      </c>
      <c r="AC3094" s="217" t="s">
        <v>333</v>
      </c>
    </row>
    <row r="3095" spans="28:29">
      <c r="AB3095" s="231" t="s">
        <v>3484</v>
      </c>
      <c r="AC3095" s="217" t="s">
        <v>333</v>
      </c>
    </row>
    <row r="3096" spans="28:29">
      <c r="AB3096" s="231" t="s">
        <v>3485</v>
      </c>
      <c r="AC3096" s="217" t="s">
        <v>333</v>
      </c>
    </row>
    <row r="3097" spans="28:29">
      <c r="AB3097" s="231" t="s">
        <v>3486</v>
      </c>
      <c r="AC3097" s="217" t="s">
        <v>333</v>
      </c>
    </row>
    <row r="3098" spans="28:29">
      <c r="AB3098" s="231" t="s">
        <v>3487</v>
      </c>
      <c r="AC3098" s="217" t="s">
        <v>333</v>
      </c>
    </row>
    <row r="3099" spans="28:29">
      <c r="AB3099" s="231" t="s">
        <v>3488</v>
      </c>
      <c r="AC3099" s="217" t="s">
        <v>333</v>
      </c>
    </row>
    <row r="3100" spans="28:29">
      <c r="AB3100" s="231" t="s">
        <v>3489</v>
      </c>
      <c r="AC3100" s="217" t="s">
        <v>333</v>
      </c>
    </row>
    <row r="3101" spans="28:29">
      <c r="AB3101" s="231" t="s">
        <v>3490</v>
      </c>
      <c r="AC3101" s="217" t="s">
        <v>333</v>
      </c>
    </row>
    <row r="3102" spans="28:29">
      <c r="AB3102" s="231" t="s">
        <v>3491</v>
      </c>
      <c r="AC3102" s="217" t="s">
        <v>333</v>
      </c>
    </row>
    <row r="3103" spans="28:29">
      <c r="AB3103" s="231" t="s">
        <v>3492</v>
      </c>
      <c r="AC3103" s="217" t="s">
        <v>333</v>
      </c>
    </row>
    <row r="3104" spans="28:29">
      <c r="AB3104" s="231" t="s">
        <v>3493</v>
      </c>
      <c r="AC3104" s="217" t="s">
        <v>333</v>
      </c>
    </row>
    <row r="3105" spans="28:29">
      <c r="AB3105" s="231" t="s">
        <v>3494</v>
      </c>
      <c r="AC3105" s="217" t="s">
        <v>333</v>
      </c>
    </row>
    <row r="3106" spans="28:29">
      <c r="AB3106" s="231" t="s">
        <v>3495</v>
      </c>
      <c r="AC3106" s="217" t="s">
        <v>333</v>
      </c>
    </row>
    <row r="3107" spans="28:29">
      <c r="AB3107" s="231" t="s">
        <v>3496</v>
      </c>
      <c r="AC3107" s="217" t="s">
        <v>333</v>
      </c>
    </row>
    <row r="3108" spans="28:29">
      <c r="AB3108" s="231" t="s">
        <v>3497</v>
      </c>
      <c r="AC3108" s="217" t="s">
        <v>333</v>
      </c>
    </row>
    <row r="3109" spans="28:29">
      <c r="AB3109" s="231" t="s">
        <v>3498</v>
      </c>
      <c r="AC3109" s="217" t="s">
        <v>333</v>
      </c>
    </row>
    <row r="3110" spans="28:29">
      <c r="AB3110" s="231" t="s">
        <v>3499</v>
      </c>
      <c r="AC3110" s="217" t="s">
        <v>333</v>
      </c>
    </row>
    <row r="3111" spans="28:29">
      <c r="AB3111" s="231" t="s">
        <v>3500</v>
      </c>
      <c r="AC3111" s="217" t="s">
        <v>333</v>
      </c>
    </row>
    <row r="3112" spans="28:29">
      <c r="AB3112" s="231" t="s">
        <v>3501</v>
      </c>
      <c r="AC3112" s="217" t="s">
        <v>333</v>
      </c>
    </row>
    <row r="3113" spans="28:29">
      <c r="AB3113" s="231" t="s">
        <v>3502</v>
      </c>
      <c r="AC3113" s="217" t="s">
        <v>333</v>
      </c>
    </row>
    <row r="3114" spans="28:29">
      <c r="AB3114" s="231" t="s">
        <v>3503</v>
      </c>
      <c r="AC3114" s="217" t="s">
        <v>333</v>
      </c>
    </row>
    <row r="3115" spans="28:29">
      <c r="AB3115" s="231" t="s">
        <v>3504</v>
      </c>
      <c r="AC3115" s="217" t="s">
        <v>333</v>
      </c>
    </row>
    <row r="3116" spans="28:29">
      <c r="AB3116" s="231" t="s">
        <v>3505</v>
      </c>
      <c r="AC3116" s="217" t="s">
        <v>333</v>
      </c>
    </row>
    <row r="3117" spans="28:29">
      <c r="AB3117" s="231" t="s">
        <v>3506</v>
      </c>
      <c r="AC3117" s="217" t="s">
        <v>333</v>
      </c>
    </row>
    <row r="3118" spans="28:29">
      <c r="AB3118" s="231" t="s">
        <v>3507</v>
      </c>
      <c r="AC3118" s="217" t="s">
        <v>333</v>
      </c>
    </row>
    <row r="3119" spans="28:29">
      <c r="AB3119" s="231" t="s">
        <v>3508</v>
      </c>
      <c r="AC3119" s="217" t="s">
        <v>333</v>
      </c>
    </row>
    <row r="3120" spans="28:29">
      <c r="AB3120" s="231" t="s">
        <v>3509</v>
      </c>
      <c r="AC3120" s="217" t="s">
        <v>333</v>
      </c>
    </row>
    <row r="3121" spans="28:29">
      <c r="AB3121" s="231" t="s">
        <v>3510</v>
      </c>
      <c r="AC3121" s="217" t="s">
        <v>333</v>
      </c>
    </row>
    <row r="3122" spans="28:29">
      <c r="AB3122" s="231" t="s">
        <v>3511</v>
      </c>
      <c r="AC3122" s="217" t="s">
        <v>333</v>
      </c>
    </row>
    <row r="3123" spans="28:29">
      <c r="AB3123" s="231" t="s">
        <v>3512</v>
      </c>
      <c r="AC3123" s="217" t="s">
        <v>333</v>
      </c>
    </row>
    <row r="3124" spans="28:29">
      <c r="AB3124" s="231" t="s">
        <v>3513</v>
      </c>
      <c r="AC3124" s="217" t="s">
        <v>333</v>
      </c>
    </row>
    <row r="3125" spans="28:29">
      <c r="AB3125" s="231" t="s">
        <v>3514</v>
      </c>
      <c r="AC3125" s="217" t="s">
        <v>333</v>
      </c>
    </row>
    <row r="3126" spans="28:29">
      <c r="AB3126" s="231" t="s">
        <v>3515</v>
      </c>
      <c r="AC3126" s="217" t="s">
        <v>333</v>
      </c>
    </row>
    <row r="3127" spans="28:29">
      <c r="AB3127" s="231" t="s">
        <v>3516</v>
      </c>
      <c r="AC3127" s="217" t="s">
        <v>333</v>
      </c>
    </row>
    <row r="3128" spans="28:29">
      <c r="AB3128" s="231" t="s">
        <v>3517</v>
      </c>
      <c r="AC3128" s="217" t="s">
        <v>333</v>
      </c>
    </row>
    <row r="3129" spans="28:29">
      <c r="AB3129" s="231" t="s">
        <v>3518</v>
      </c>
      <c r="AC3129" s="217" t="s">
        <v>333</v>
      </c>
    </row>
    <row r="3130" spans="28:29">
      <c r="AB3130" s="231" t="s">
        <v>3519</v>
      </c>
      <c r="AC3130" s="217" t="s">
        <v>333</v>
      </c>
    </row>
    <row r="3131" spans="28:29">
      <c r="AB3131" s="231" t="s">
        <v>3520</v>
      </c>
      <c r="AC3131" s="217" t="s">
        <v>333</v>
      </c>
    </row>
    <row r="3132" spans="28:29">
      <c r="AB3132" s="231" t="s">
        <v>3521</v>
      </c>
      <c r="AC3132" s="217" t="s">
        <v>333</v>
      </c>
    </row>
    <row r="3133" spans="28:29">
      <c r="AB3133" s="231" t="s">
        <v>3522</v>
      </c>
      <c r="AC3133" s="217" t="s">
        <v>333</v>
      </c>
    </row>
    <row r="3134" spans="28:29">
      <c r="AB3134" s="231" t="s">
        <v>3523</v>
      </c>
      <c r="AC3134" s="217" t="s">
        <v>333</v>
      </c>
    </row>
    <row r="3135" spans="28:29">
      <c r="AB3135" s="231" t="s">
        <v>3524</v>
      </c>
      <c r="AC3135" s="217" t="s">
        <v>333</v>
      </c>
    </row>
    <row r="3136" spans="28:29">
      <c r="AB3136" s="231" t="s">
        <v>3525</v>
      </c>
      <c r="AC3136" s="217" t="s">
        <v>333</v>
      </c>
    </row>
    <row r="3137" spans="28:29">
      <c r="AB3137" s="231" t="s">
        <v>3526</v>
      </c>
      <c r="AC3137" s="217" t="s">
        <v>333</v>
      </c>
    </row>
    <row r="3138" spans="28:29">
      <c r="AB3138" s="231" t="s">
        <v>3527</v>
      </c>
      <c r="AC3138" s="217" t="s">
        <v>333</v>
      </c>
    </row>
    <row r="3139" spans="28:29">
      <c r="AB3139" s="231" t="s">
        <v>3528</v>
      </c>
      <c r="AC3139" s="217" t="s">
        <v>333</v>
      </c>
    </row>
    <row r="3140" spans="28:29">
      <c r="AB3140" s="231" t="s">
        <v>3529</v>
      </c>
      <c r="AC3140" s="217" t="s">
        <v>333</v>
      </c>
    </row>
    <row r="3141" spans="28:29">
      <c r="AB3141" s="231" t="s">
        <v>3530</v>
      </c>
      <c r="AC3141" s="217" t="s">
        <v>333</v>
      </c>
    </row>
    <row r="3142" spans="28:29">
      <c r="AB3142" s="231" t="s">
        <v>3531</v>
      </c>
      <c r="AC3142" s="217" t="s">
        <v>333</v>
      </c>
    </row>
    <row r="3143" spans="28:29">
      <c r="AB3143" s="231" t="s">
        <v>3532</v>
      </c>
      <c r="AC3143" s="217" t="s">
        <v>333</v>
      </c>
    </row>
    <row r="3144" spans="28:29">
      <c r="AB3144" s="231" t="s">
        <v>3533</v>
      </c>
      <c r="AC3144" s="217" t="s">
        <v>333</v>
      </c>
    </row>
    <row r="3145" spans="28:29">
      <c r="AB3145" s="231" t="s">
        <v>3534</v>
      </c>
      <c r="AC3145" s="217" t="s">
        <v>333</v>
      </c>
    </row>
    <row r="3146" spans="28:29">
      <c r="AB3146" s="231" t="s">
        <v>3535</v>
      </c>
      <c r="AC3146" s="217" t="s">
        <v>333</v>
      </c>
    </row>
    <row r="3147" spans="28:29">
      <c r="AB3147" s="231" t="s">
        <v>3536</v>
      </c>
      <c r="AC3147" s="217" t="s">
        <v>333</v>
      </c>
    </row>
    <row r="3148" spans="28:29">
      <c r="AB3148" s="231" t="s">
        <v>3537</v>
      </c>
      <c r="AC3148" s="217" t="s">
        <v>333</v>
      </c>
    </row>
    <row r="3149" spans="28:29">
      <c r="AB3149" s="231" t="s">
        <v>3538</v>
      </c>
      <c r="AC3149" s="217" t="s">
        <v>333</v>
      </c>
    </row>
    <row r="3150" spans="28:29">
      <c r="AB3150" s="231" t="s">
        <v>3539</v>
      </c>
      <c r="AC3150" s="217" t="s">
        <v>333</v>
      </c>
    </row>
    <row r="3151" spans="28:29">
      <c r="AB3151" s="231" t="s">
        <v>3540</v>
      </c>
      <c r="AC3151" s="217" t="s">
        <v>333</v>
      </c>
    </row>
    <row r="3152" spans="28:29">
      <c r="AB3152" s="231" t="s">
        <v>3541</v>
      </c>
      <c r="AC3152" s="217" t="s">
        <v>333</v>
      </c>
    </row>
    <row r="3153" spans="28:29">
      <c r="AB3153" s="231" t="s">
        <v>3542</v>
      </c>
      <c r="AC3153" s="217" t="s">
        <v>333</v>
      </c>
    </row>
    <row r="3154" spans="28:29">
      <c r="AB3154" s="231" t="s">
        <v>3543</v>
      </c>
      <c r="AC3154" s="217" t="s">
        <v>333</v>
      </c>
    </row>
    <row r="3155" spans="28:29">
      <c r="AB3155" s="231" t="s">
        <v>3544</v>
      </c>
      <c r="AC3155" s="217" t="s">
        <v>333</v>
      </c>
    </row>
    <row r="3156" spans="28:29">
      <c r="AB3156" s="231" t="s">
        <v>3545</v>
      </c>
      <c r="AC3156" s="217" t="s">
        <v>333</v>
      </c>
    </row>
    <row r="3157" spans="28:29">
      <c r="AB3157" s="231" t="s">
        <v>3546</v>
      </c>
      <c r="AC3157" s="217" t="s">
        <v>333</v>
      </c>
    </row>
    <row r="3158" spans="28:29">
      <c r="AB3158" s="231" t="s">
        <v>3547</v>
      </c>
      <c r="AC3158" s="217" t="s">
        <v>333</v>
      </c>
    </row>
    <row r="3159" spans="28:29">
      <c r="AB3159" s="231" t="s">
        <v>3548</v>
      </c>
      <c r="AC3159" s="217" t="s">
        <v>333</v>
      </c>
    </row>
    <row r="3160" spans="28:29">
      <c r="AB3160" s="231" t="s">
        <v>3549</v>
      </c>
      <c r="AC3160" s="217" t="s">
        <v>333</v>
      </c>
    </row>
    <row r="3161" spans="28:29">
      <c r="AB3161" s="231" t="s">
        <v>3550</v>
      </c>
      <c r="AC3161" s="217" t="s">
        <v>333</v>
      </c>
    </row>
    <row r="3162" spans="28:29">
      <c r="AB3162" s="231" t="s">
        <v>3551</v>
      </c>
      <c r="AC3162" s="217" t="s">
        <v>333</v>
      </c>
    </row>
    <row r="3163" spans="28:29">
      <c r="AB3163" s="231" t="s">
        <v>3552</v>
      </c>
      <c r="AC3163" s="217" t="s">
        <v>333</v>
      </c>
    </row>
    <row r="3164" spans="28:29">
      <c r="AB3164" s="231" t="s">
        <v>3553</v>
      </c>
      <c r="AC3164" s="217" t="s">
        <v>333</v>
      </c>
    </row>
    <row r="3165" spans="28:29">
      <c r="AB3165" s="231" t="s">
        <v>3554</v>
      </c>
      <c r="AC3165" s="217" t="s">
        <v>333</v>
      </c>
    </row>
    <row r="3166" spans="28:29">
      <c r="AB3166" s="231" t="s">
        <v>3555</v>
      </c>
      <c r="AC3166" s="217" t="s">
        <v>333</v>
      </c>
    </row>
    <row r="3167" spans="28:29">
      <c r="AB3167" s="231" t="s">
        <v>3556</v>
      </c>
      <c r="AC3167" s="217" t="s">
        <v>333</v>
      </c>
    </row>
    <row r="3168" spans="28:29">
      <c r="AB3168" s="231" t="s">
        <v>3557</v>
      </c>
      <c r="AC3168" s="217" t="s">
        <v>333</v>
      </c>
    </row>
    <row r="3169" spans="28:29">
      <c r="AB3169" s="231" t="s">
        <v>3558</v>
      </c>
      <c r="AC3169" s="217" t="s">
        <v>333</v>
      </c>
    </row>
    <row r="3170" spans="28:29">
      <c r="AB3170" s="231" t="s">
        <v>3559</v>
      </c>
      <c r="AC3170" s="217" t="s">
        <v>333</v>
      </c>
    </row>
    <row r="3171" spans="28:29">
      <c r="AB3171" s="231" t="s">
        <v>3560</v>
      </c>
      <c r="AC3171" s="217" t="s">
        <v>333</v>
      </c>
    </row>
    <row r="3172" spans="28:29">
      <c r="AB3172" s="231" t="s">
        <v>3561</v>
      </c>
      <c r="AC3172" s="217" t="s">
        <v>333</v>
      </c>
    </row>
    <row r="3173" spans="28:29">
      <c r="AB3173" s="231" t="s">
        <v>3562</v>
      </c>
      <c r="AC3173" s="217" t="s">
        <v>333</v>
      </c>
    </row>
    <row r="3174" spans="28:29">
      <c r="AB3174" s="231" t="s">
        <v>3563</v>
      </c>
      <c r="AC3174" s="217" t="s">
        <v>333</v>
      </c>
    </row>
    <row r="3175" spans="28:29">
      <c r="AB3175" s="231" t="s">
        <v>3564</v>
      </c>
      <c r="AC3175" s="217" t="s">
        <v>333</v>
      </c>
    </row>
    <row r="3176" spans="28:29">
      <c r="AB3176" s="231" t="s">
        <v>3565</v>
      </c>
      <c r="AC3176" s="217" t="s">
        <v>333</v>
      </c>
    </row>
    <row r="3177" spans="28:29">
      <c r="AB3177" s="231" t="s">
        <v>3566</v>
      </c>
      <c r="AC3177" s="217" t="s">
        <v>333</v>
      </c>
    </row>
    <row r="3178" spans="28:29">
      <c r="AB3178" s="231" t="s">
        <v>3567</v>
      </c>
      <c r="AC3178" s="217" t="s">
        <v>333</v>
      </c>
    </row>
    <row r="3179" spans="28:29">
      <c r="AB3179" s="231" t="s">
        <v>3568</v>
      </c>
      <c r="AC3179" s="217" t="s">
        <v>333</v>
      </c>
    </row>
    <row r="3180" spans="28:29">
      <c r="AB3180" s="231" t="s">
        <v>3569</v>
      </c>
      <c r="AC3180" s="217" t="s">
        <v>333</v>
      </c>
    </row>
    <row r="3181" spans="28:29">
      <c r="AB3181" s="231" t="s">
        <v>3570</v>
      </c>
      <c r="AC3181" s="217" t="s">
        <v>333</v>
      </c>
    </row>
    <row r="3182" spans="28:29">
      <c r="AB3182" s="231" t="s">
        <v>3571</v>
      </c>
      <c r="AC3182" s="217" t="s">
        <v>333</v>
      </c>
    </row>
    <row r="3183" spans="28:29">
      <c r="AB3183" s="231" t="s">
        <v>3572</v>
      </c>
      <c r="AC3183" s="217" t="s">
        <v>333</v>
      </c>
    </row>
    <row r="3184" spans="28:29">
      <c r="AB3184" s="231" t="s">
        <v>3573</v>
      </c>
      <c r="AC3184" s="217" t="s">
        <v>333</v>
      </c>
    </row>
    <row r="3185" spans="28:29">
      <c r="AB3185" s="231" t="s">
        <v>3574</v>
      </c>
      <c r="AC3185" s="217" t="s">
        <v>333</v>
      </c>
    </row>
    <row r="3186" spans="28:29">
      <c r="AB3186" s="231" t="s">
        <v>3575</v>
      </c>
      <c r="AC3186" s="217" t="s">
        <v>333</v>
      </c>
    </row>
    <row r="3187" spans="28:29">
      <c r="AB3187" s="231" t="s">
        <v>3576</v>
      </c>
      <c r="AC3187" s="217" t="s">
        <v>333</v>
      </c>
    </row>
    <row r="3188" spans="28:29">
      <c r="AB3188" s="231" t="s">
        <v>3577</v>
      </c>
      <c r="AC3188" s="217" t="s">
        <v>333</v>
      </c>
    </row>
    <row r="3189" spans="28:29">
      <c r="AB3189" s="231" t="s">
        <v>3578</v>
      </c>
      <c r="AC3189" s="217" t="s">
        <v>333</v>
      </c>
    </row>
    <row r="3190" spans="28:29">
      <c r="AB3190" s="231" t="s">
        <v>3579</v>
      </c>
      <c r="AC3190" s="217" t="s">
        <v>333</v>
      </c>
    </row>
    <row r="3191" spans="28:29">
      <c r="AB3191" s="231" t="s">
        <v>3580</v>
      </c>
      <c r="AC3191" s="217" t="s">
        <v>333</v>
      </c>
    </row>
    <row r="3192" spans="28:29">
      <c r="AB3192" s="231" t="s">
        <v>3581</v>
      </c>
      <c r="AC3192" s="217" t="s">
        <v>333</v>
      </c>
    </row>
    <row r="3193" spans="28:29">
      <c r="AB3193" s="231" t="s">
        <v>3582</v>
      </c>
      <c r="AC3193" s="217" t="s">
        <v>333</v>
      </c>
    </row>
    <row r="3194" spans="28:29">
      <c r="AB3194" s="231" t="s">
        <v>3583</v>
      </c>
      <c r="AC3194" s="217" t="s">
        <v>333</v>
      </c>
    </row>
    <row r="3195" spans="28:29">
      <c r="AB3195" s="231" t="s">
        <v>3584</v>
      </c>
      <c r="AC3195" s="217" t="s">
        <v>333</v>
      </c>
    </row>
    <row r="3196" spans="28:29">
      <c r="AB3196" s="231" t="s">
        <v>3585</v>
      </c>
      <c r="AC3196" s="217" t="s">
        <v>333</v>
      </c>
    </row>
    <row r="3197" spans="28:29">
      <c r="AB3197" s="231" t="s">
        <v>3586</v>
      </c>
      <c r="AC3197" s="217" t="s">
        <v>333</v>
      </c>
    </row>
    <row r="3198" spans="28:29">
      <c r="AB3198" s="231" t="s">
        <v>3587</v>
      </c>
      <c r="AC3198" s="217" t="s">
        <v>333</v>
      </c>
    </row>
    <row r="3199" spans="28:29">
      <c r="AB3199" s="231" t="s">
        <v>3588</v>
      </c>
      <c r="AC3199" s="217" t="s">
        <v>333</v>
      </c>
    </row>
    <row r="3200" spans="28:29">
      <c r="AB3200" s="231" t="s">
        <v>3589</v>
      </c>
      <c r="AC3200" s="217" t="s">
        <v>333</v>
      </c>
    </row>
    <row r="3201" spans="28:29">
      <c r="AB3201" s="231" t="s">
        <v>3590</v>
      </c>
      <c r="AC3201" s="217" t="s">
        <v>333</v>
      </c>
    </row>
    <row r="3202" spans="28:29">
      <c r="AB3202" s="231" t="s">
        <v>3591</v>
      </c>
      <c r="AC3202" s="217" t="s">
        <v>333</v>
      </c>
    </row>
    <row r="3203" spans="28:29">
      <c r="AB3203" s="231" t="s">
        <v>3592</v>
      </c>
      <c r="AC3203" s="217" t="s">
        <v>333</v>
      </c>
    </row>
    <row r="3204" spans="28:29">
      <c r="AB3204" s="231" t="s">
        <v>3593</v>
      </c>
      <c r="AC3204" s="217" t="s">
        <v>333</v>
      </c>
    </row>
    <row r="3205" spans="28:29">
      <c r="AB3205" s="231" t="s">
        <v>3594</v>
      </c>
      <c r="AC3205" s="217" t="s">
        <v>333</v>
      </c>
    </row>
    <row r="3206" spans="28:29">
      <c r="AB3206" s="231" t="s">
        <v>3595</v>
      </c>
      <c r="AC3206" s="217" t="s">
        <v>333</v>
      </c>
    </row>
    <row r="3207" spans="28:29">
      <c r="AB3207" s="231" t="s">
        <v>3596</v>
      </c>
      <c r="AC3207" s="217" t="s">
        <v>333</v>
      </c>
    </row>
    <row r="3208" spans="28:29">
      <c r="AB3208" s="231" t="s">
        <v>3597</v>
      </c>
      <c r="AC3208" s="217" t="s">
        <v>333</v>
      </c>
    </row>
    <row r="3209" spans="28:29">
      <c r="AB3209" s="231" t="s">
        <v>3598</v>
      </c>
      <c r="AC3209" s="217" t="s">
        <v>333</v>
      </c>
    </row>
    <row r="3210" spans="28:29">
      <c r="AB3210" s="231" t="s">
        <v>3599</v>
      </c>
      <c r="AC3210" s="217" t="s">
        <v>333</v>
      </c>
    </row>
    <row r="3211" spans="28:29">
      <c r="AB3211" s="231" t="s">
        <v>3600</v>
      </c>
      <c r="AC3211" s="217" t="s">
        <v>333</v>
      </c>
    </row>
    <row r="3212" spans="28:29">
      <c r="AB3212" s="231" t="s">
        <v>3601</v>
      </c>
      <c r="AC3212" s="217" t="s">
        <v>333</v>
      </c>
    </row>
    <row r="3213" spans="28:29">
      <c r="AB3213" s="231" t="s">
        <v>3602</v>
      </c>
      <c r="AC3213" s="217" t="s">
        <v>333</v>
      </c>
    </row>
    <row r="3214" spans="28:29">
      <c r="AB3214" s="231" t="s">
        <v>3603</v>
      </c>
      <c r="AC3214" s="217" t="s">
        <v>333</v>
      </c>
    </row>
    <row r="3215" spans="28:29">
      <c r="AB3215" s="231" t="s">
        <v>3604</v>
      </c>
      <c r="AC3215" s="217" t="s">
        <v>333</v>
      </c>
    </row>
    <row r="3216" spans="28:29">
      <c r="AB3216" s="231" t="s">
        <v>3605</v>
      </c>
      <c r="AC3216" s="217" t="s">
        <v>333</v>
      </c>
    </row>
    <row r="3217" spans="28:29">
      <c r="AB3217" s="231" t="s">
        <v>3606</v>
      </c>
      <c r="AC3217" s="217" t="s">
        <v>333</v>
      </c>
    </row>
    <row r="3218" spans="28:29">
      <c r="AB3218" s="231" t="s">
        <v>3607</v>
      </c>
      <c r="AC3218" s="217" t="s">
        <v>333</v>
      </c>
    </row>
    <row r="3219" spans="28:29">
      <c r="AB3219" s="231" t="s">
        <v>3608</v>
      </c>
      <c r="AC3219" s="217" t="s">
        <v>333</v>
      </c>
    </row>
    <row r="3220" spans="28:29">
      <c r="AB3220" s="231" t="s">
        <v>3609</v>
      </c>
      <c r="AC3220" s="217" t="s">
        <v>333</v>
      </c>
    </row>
    <row r="3221" spans="28:29">
      <c r="AB3221" s="231" t="s">
        <v>3610</v>
      </c>
      <c r="AC3221" s="217" t="s">
        <v>333</v>
      </c>
    </row>
    <row r="3222" spans="28:29">
      <c r="AB3222" s="231" t="s">
        <v>3611</v>
      </c>
      <c r="AC3222" s="217" t="s">
        <v>333</v>
      </c>
    </row>
    <row r="3223" spans="28:29">
      <c r="AB3223" s="231" t="s">
        <v>3612</v>
      </c>
      <c r="AC3223" s="217" t="s">
        <v>333</v>
      </c>
    </row>
    <row r="3224" spans="28:29">
      <c r="AB3224" s="231" t="s">
        <v>3613</v>
      </c>
      <c r="AC3224" s="217" t="s">
        <v>333</v>
      </c>
    </row>
    <row r="3225" spans="28:29">
      <c r="AB3225" s="231" t="s">
        <v>3614</v>
      </c>
      <c r="AC3225" s="217" t="s">
        <v>333</v>
      </c>
    </row>
    <row r="3226" spans="28:29">
      <c r="AB3226" s="231" t="s">
        <v>3615</v>
      </c>
      <c r="AC3226" s="217" t="s">
        <v>333</v>
      </c>
    </row>
    <row r="3227" spans="28:29">
      <c r="AB3227" s="231" t="s">
        <v>3616</v>
      </c>
      <c r="AC3227" s="217" t="s">
        <v>333</v>
      </c>
    </row>
    <row r="3228" spans="28:29">
      <c r="AB3228" s="231" t="s">
        <v>3617</v>
      </c>
      <c r="AC3228" s="217" t="s">
        <v>333</v>
      </c>
    </row>
    <row r="3229" spans="28:29">
      <c r="AB3229" s="231" t="s">
        <v>3618</v>
      </c>
      <c r="AC3229" s="217" t="s">
        <v>333</v>
      </c>
    </row>
    <row r="3230" spans="28:29">
      <c r="AB3230" s="231" t="s">
        <v>3619</v>
      </c>
      <c r="AC3230" s="217" t="s">
        <v>333</v>
      </c>
    </row>
    <row r="3231" spans="28:29">
      <c r="AB3231" s="231" t="s">
        <v>3620</v>
      </c>
      <c r="AC3231" s="217" t="s">
        <v>333</v>
      </c>
    </row>
    <row r="3232" spans="28:29">
      <c r="AB3232" s="231" t="s">
        <v>3621</v>
      </c>
      <c r="AC3232" s="217" t="s">
        <v>333</v>
      </c>
    </row>
    <row r="3233" spans="28:29">
      <c r="AB3233" s="231" t="s">
        <v>3622</v>
      </c>
      <c r="AC3233" s="217" t="s">
        <v>333</v>
      </c>
    </row>
    <row r="3234" spans="28:29">
      <c r="AB3234" s="231" t="s">
        <v>3623</v>
      </c>
      <c r="AC3234" s="217" t="s">
        <v>333</v>
      </c>
    </row>
    <row r="3235" spans="28:29">
      <c r="AB3235" s="231" t="s">
        <v>3624</v>
      </c>
      <c r="AC3235" s="217" t="s">
        <v>333</v>
      </c>
    </row>
    <row r="3236" spans="28:29">
      <c r="AB3236" s="231" t="s">
        <v>3625</v>
      </c>
      <c r="AC3236" s="217" t="s">
        <v>333</v>
      </c>
    </row>
    <row r="3237" spans="28:29">
      <c r="AB3237" s="231" t="s">
        <v>3626</v>
      </c>
      <c r="AC3237" s="217" t="s">
        <v>333</v>
      </c>
    </row>
    <row r="3238" spans="28:29">
      <c r="AB3238" s="231" t="s">
        <v>3627</v>
      </c>
      <c r="AC3238" s="217" t="s">
        <v>333</v>
      </c>
    </row>
    <row r="3239" spans="28:29">
      <c r="AB3239" s="231" t="s">
        <v>3628</v>
      </c>
      <c r="AC3239" s="217" t="s">
        <v>333</v>
      </c>
    </row>
    <row r="3240" spans="28:29">
      <c r="AB3240" s="231" t="s">
        <v>3629</v>
      </c>
      <c r="AC3240" s="217" t="s">
        <v>333</v>
      </c>
    </row>
    <row r="3241" spans="28:29">
      <c r="AB3241" s="231" t="s">
        <v>3630</v>
      </c>
      <c r="AC3241" s="217" t="s">
        <v>333</v>
      </c>
    </row>
    <row r="3242" spans="28:29">
      <c r="AB3242" s="231" t="s">
        <v>3631</v>
      </c>
      <c r="AC3242" s="217" t="s">
        <v>333</v>
      </c>
    </row>
    <row r="3243" spans="28:29">
      <c r="AB3243" s="231" t="s">
        <v>3632</v>
      </c>
      <c r="AC3243" s="217" t="s">
        <v>333</v>
      </c>
    </row>
    <row r="3244" spans="28:29">
      <c r="AB3244" s="231" t="s">
        <v>3633</v>
      </c>
      <c r="AC3244" s="217" t="s">
        <v>333</v>
      </c>
    </row>
    <row r="3245" spans="28:29">
      <c r="AB3245" s="231" t="s">
        <v>3634</v>
      </c>
      <c r="AC3245" s="217" t="s">
        <v>333</v>
      </c>
    </row>
    <row r="3246" spans="28:29">
      <c r="AB3246" s="231" t="s">
        <v>3635</v>
      </c>
      <c r="AC3246" s="217" t="s">
        <v>333</v>
      </c>
    </row>
    <row r="3247" spans="28:29">
      <c r="AB3247" s="231" t="s">
        <v>3636</v>
      </c>
      <c r="AC3247" s="217" t="s">
        <v>333</v>
      </c>
    </row>
    <row r="3248" spans="28:29">
      <c r="AB3248" s="231" t="s">
        <v>3637</v>
      </c>
      <c r="AC3248" s="217" t="s">
        <v>333</v>
      </c>
    </row>
    <row r="3249" spans="28:29">
      <c r="AB3249" s="231" t="s">
        <v>3638</v>
      </c>
      <c r="AC3249" s="217" t="s">
        <v>333</v>
      </c>
    </row>
    <row r="3250" spans="28:29">
      <c r="AB3250" s="231" t="s">
        <v>3639</v>
      </c>
      <c r="AC3250" s="217" t="s">
        <v>333</v>
      </c>
    </row>
    <row r="3251" spans="28:29">
      <c r="AB3251" s="231" t="s">
        <v>3640</v>
      </c>
      <c r="AC3251" s="217" t="s">
        <v>333</v>
      </c>
    </row>
    <row r="3252" spans="28:29">
      <c r="AB3252" s="231" t="s">
        <v>3641</v>
      </c>
      <c r="AC3252" s="217" t="s">
        <v>333</v>
      </c>
    </row>
    <row r="3253" spans="28:29">
      <c r="AB3253" s="231" t="s">
        <v>3642</v>
      </c>
      <c r="AC3253" s="217" t="s">
        <v>333</v>
      </c>
    </row>
    <row r="3254" spans="28:29">
      <c r="AB3254" s="231" t="s">
        <v>3643</v>
      </c>
      <c r="AC3254" s="217" t="s">
        <v>333</v>
      </c>
    </row>
    <row r="3255" spans="28:29">
      <c r="AB3255" s="231" t="s">
        <v>3644</v>
      </c>
      <c r="AC3255" s="217" t="s">
        <v>333</v>
      </c>
    </row>
    <row r="3256" spans="28:29">
      <c r="AB3256" s="231" t="s">
        <v>3645</v>
      </c>
      <c r="AC3256" s="217" t="s">
        <v>333</v>
      </c>
    </row>
    <row r="3257" spans="28:29">
      <c r="AB3257" s="231" t="s">
        <v>3646</v>
      </c>
      <c r="AC3257" s="217" t="s">
        <v>333</v>
      </c>
    </row>
    <row r="3258" spans="28:29">
      <c r="AB3258" s="231" t="s">
        <v>3647</v>
      </c>
      <c r="AC3258" s="217" t="s">
        <v>333</v>
      </c>
    </row>
    <row r="3259" spans="28:29">
      <c r="AB3259" s="231" t="s">
        <v>3648</v>
      </c>
      <c r="AC3259" s="217" t="s">
        <v>333</v>
      </c>
    </row>
    <row r="3260" spans="28:29">
      <c r="AB3260" s="231" t="s">
        <v>3649</v>
      </c>
      <c r="AC3260" s="217" t="s">
        <v>333</v>
      </c>
    </row>
    <row r="3261" spans="28:29">
      <c r="AB3261" s="231" t="s">
        <v>3650</v>
      </c>
      <c r="AC3261" s="217" t="s">
        <v>333</v>
      </c>
    </row>
    <row r="3262" spans="28:29">
      <c r="AB3262" s="231" t="s">
        <v>3651</v>
      </c>
      <c r="AC3262" s="217" t="s">
        <v>333</v>
      </c>
    </row>
    <row r="3263" spans="28:29">
      <c r="AB3263" s="231" t="s">
        <v>3652</v>
      </c>
      <c r="AC3263" s="217" t="s">
        <v>333</v>
      </c>
    </row>
    <row r="3264" spans="28:29">
      <c r="AB3264" s="231" t="s">
        <v>3653</v>
      </c>
      <c r="AC3264" s="217" t="s">
        <v>333</v>
      </c>
    </row>
    <row r="3265" spans="28:29">
      <c r="AB3265" s="231" t="s">
        <v>3654</v>
      </c>
      <c r="AC3265" s="217" t="s">
        <v>333</v>
      </c>
    </row>
    <row r="3266" spans="28:29">
      <c r="AB3266" s="231" t="s">
        <v>3655</v>
      </c>
      <c r="AC3266" s="217" t="s">
        <v>333</v>
      </c>
    </row>
    <row r="3267" spans="28:29">
      <c r="AB3267" s="231" t="s">
        <v>3656</v>
      </c>
      <c r="AC3267" s="217" t="s">
        <v>333</v>
      </c>
    </row>
    <row r="3268" spans="28:29">
      <c r="AB3268" s="231" t="s">
        <v>3657</v>
      </c>
      <c r="AC3268" s="217" t="s">
        <v>333</v>
      </c>
    </row>
    <row r="3269" spans="28:29">
      <c r="AB3269" s="231" t="s">
        <v>3658</v>
      </c>
      <c r="AC3269" s="217" t="s">
        <v>333</v>
      </c>
    </row>
    <row r="3270" spans="28:29">
      <c r="AB3270" s="231" t="s">
        <v>3659</v>
      </c>
      <c r="AC3270" s="217" t="s">
        <v>333</v>
      </c>
    </row>
    <row r="3271" spans="28:29">
      <c r="AB3271" s="231" t="s">
        <v>3660</v>
      </c>
      <c r="AC3271" s="217" t="s">
        <v>333</v>
      </c>
    </row>
    <row r="3272" spans="28:29">
      <c r="AB3272" s="231" t="s">
        <v>3661</v>
      </c>
      <c r="AC3272" s="217" t="s">
        <v>333</v>
      </c>
    </row>
    <row r="3273" spans="28:29">
      <c r="AB3273" s="231" t="s">
        <v>3662</v>
      </c>
      <c r="AC3273" s="217" t="s">
        <v>333</v>
      </c>
    </row>
    <row r="3274" spans="28:29">
      <c r="AB3274" s="231" t="s">
        <v>3663</v>
      </c>
      <c r="AC3274" s="217" t="s">
        <v>333</v>
      </c>
    </row>
    <row r="3275" spans="28:29">
      <c r="AB3275" s="231" t="s">
        <v>3664</v>
      </c>
      <c r="AC3275" s="217" t="s">
        <v>333</v>
      </c>
    </row>
    <row r="3276" spans="28:29">
      <c r="AB3276" s="231" t="s">
        <v>3665</v>
      </c>
      <c r="AC3276" s="217" t="s">
        <v>333</v>
      </c>
    </row>
    <row r="3277" spans="28:29">
      <c r="AB3277" s="231" t="s">
        <v>3666</v>
      </c>
      <c r="AC3277" s="217" t="s">
        <v>333</v>
      </c>
    </row>
    <row r="3278" spans="28:29">
      <c r="AB3278" s="231" t="s">
        <v>3667</v>
      </c>
      <c r="AC3278" s="217" t="s">
        <v>333</v>
      </c>
    </row>
    <row r="3279" spans="28:29">
      <c r="AB3279" s="231" t="s">
        <v>3668</v>
      </c>
      <c r="AC3279" s="217" t="s">
        <v>333</v>
      </c>
    </row>
    <row r="3280" spans="28:29">
      <c r="AB3280" s="231" t="s">
        <v>3669</v>
      </c>
      <c r="AC3280" s="217" t="s">
        <v>333</v>
      </c>
    </row>
    <row r="3281" spans="28:29">
      <c r="AB3281" s="231" t="s">
        <v>3670</v>
      </c>
      <c r="AC3281" s="217" t="s">
        <v>333</v>
      </c>
    </row>
    <row r="3282" spans="28:29">
      <c r="AB3282" s="231" t="s">
        <v>3671</v>
      </c>
      <c r="AC3282" s="217" t="s">
        <v>333</v>
      </c>
    </row>
    <row r="3283" spans="28:29">
      <c r="AB3283" s="231" t="s">
        <v>3672</v>
      </c>
      <c r="AC3283" s="217" t="s">
        <v>333</v>
      </c>
    </row>
    <row r="3284" spans="28:29">
      <c r="AB3284" s="231" t="s">
        <v>3673</v>
      </c>
      <c r="AC3284" s="217" t="s">
        <v>333</v>
      </c>
    </row>
    <row r="3285" spans="28:29">
      <c r="AB3285" s="231" t="s">
        <v>3674</v>
      </c>
      <c r="AC3285" s="217" t="s">
        <v>333</v>
      </c>
    </row>
    <row r="3286" spans="28:29">
      <c r="AB3286" s="231" t="s">
        <v>3675</v>
      </c>
      <c r="AC3286" s="217" t="s">
        <v>333</v>
      </c>
    </row>
    <row r="3287" spans="28:29">
      <c r="AB3287" s="231" t="s">
        <v>3676</v>
      </c>
      <c r="AC3287" s="217" t="s">
        <v>333</v>
      </c>
    </row>
    <row r="3288" spans="28:29">
      <c r="AB3288" s="231" t="s">
        <v>3677</v>
      </c>
      <c r="AC3288" s="217" t="s">
        <v>333</v>
      </c>
    </row>
    <row r="3289" spans="28:29">
      <c r="AB3289" s="231" t="s">
        <v>3678</v>
      </c>
      <c r="AC3289" s="217" t="s">
        <v>333</v>
      </c>
    </row>
    <row r="3290" spans="28:29">
      <c r="AB3290" s="231" t="s">
        <v>3679</v>
      </c>
      <c r="AC3290" s="217" t="s">
        <v>333</v>
      </c>
    </row>
    <row r="3291" spans="28:29">
      <c r="AB3291" s="231" t="s">
        <v>3680</v>
      </c>
      <c r="AC3291" s="217" t="s">
        <v>333</v>
      </c>
    </row>
    <row r="3292" spans="28:29">
      <c r="AB3292" s="231" t="s">
        <v>3681</v>
      </c>
      <c r="AC3292" s="217" t="s">
        <v>333</v>
      </c>
    </row>
    <row r="3293" spans="28:29">
      <c r="AB3293" s="231" t="s">
        <v>3682</v>
      </c>
      <c r="AC3293" s="217" t="s">
        <v>333</v>
      </c>
    </row>
    <row r="3294" spans="28:29">
      <c r="AB3294" s="231" t="s">
        <v>3683</v>
      </c>
      <c r="AC3294" s="217" t="s">
        <v>333</v>
      </c>
    </row>
    <row r="3295" spans="28:29">
      <c r="AB3295" s="231" t="s">
        <v>3684</v>
      </c>
      <c r="AC3295" s="217" t="s">
        <v>333</v>
      </c>
    </row>
    <row r="3296" spans="28:29">
      <c r="AB3296" s="231" t="s">
        <v>3685</v>
      </c>
      <c r="AC3296" s="217" t="s">
        <v>333</v>
      </c>
    </row>
    <row r="3297" spans="28:29">
      <c r="AB3297" s="231" t="s">
        <v>3686</v>
      </c>
      <c r="AC3297" s="217" t="s">
        <v>333</v>
      </c>
    </row>
    <row r="3298" spans="28:29">
      <c r="AB3298" s="231" t="s">
        <v>3687</v>
      </c>
      <c r="AC3298" s="217" t="s">
        <v>333</v>
      </c>
    </row>
    <row r="3299" spans="28:29">
      <c r="AB3299" s="231" t="s">
        <v>3688</v>
      </c>
      <c r="AC3299" s="217" t="s">
        <v>333</v>
      </c>
    </row>
    <row r="3300" spans="28:29">
      <c r="AB3300" s="231" t="s">
        <v>3689</v>
      </c>
      <c r="AC3300" s="217" t="s">
        <v>333</v>
      </c>
    </row>
    <row r="3301" spans="28:29">
      <c r="AB3301" s="231" t="s">
        <v>3690</v>
      </c>
      <c r="AC3301" s="217" t="s">
        <v>333</v>
      </c>
    </row>
    <row r="3302" spans="28:29">
      <c r="AB3302" s="231" t="s">
        <v>3691</v>
      </c>
      <c r="AC3302" s="217" t="s">
        <v>333</v>
      </c>
    </row>
    <row r="3303" spans="28:29">
      <c r="AB3303" s="231" t="s">
        <v>3692</v>
      </c>
      <c r="AC3303" s="217" t="s">
        <v>333</v>
      </c>
    </row>
    <row r="3304" spans="28:29">
      <c r="AB3304" s="231" t="s">
        <v>3693</v>
      </c>
      <c r="AC3304" s="217" t="s">
        <v>333</v>
      </c>
    </row>
    <row r="3305" spans="28:29">
      <c r="AB3305" s="231" t="s">
        <v>3694</v>
      </c>
      <c r="AC3305" s="217" t="s">
        <v>333</v>
      </c>
    </row>
    <row r="3306" spans="28:29">
      <c r="AB3306" s="231" t="s">
        <v>3695</v>
      </c>
      <c r="AC3306" s="217" t="s">
        <v>333</v>
      </c>
    </row>
    <row r="3307" spans="28:29">
      <c r="AB3307" s="231" t="s">
        <v>3696</v>
      </c>
      <c r="AC3307" s="217" t="s">
        <v>333</v>
      </c>
    </row>
    <row r="3308" spans="28:29">
      <c r="AB3308" s="231" t="s">
        <v>3697</v>
      </c>
      <c r="AC3308" s="217" t="s">
        <v>333</v>
      </c>
    </row>
    <row r="3309" spans="28:29">
      <c r="AB3309" s="231" t="s">
        <v>3698</v>
      </c>
      <c r="AC3309" s="217" t="s">
        <v>333</v>
      </c>
    </row>
    <row r="3310" spans="28:29">
      <c r="AB3310" s="231" t="s">
        <v>3699</v>
      </c>
      <c r="AC3310" s="217" t="s">
        <v>333</v>
      </c>
    </row>
    <row r="3311" spans="28:29">
      <c r="AB3311" s="231" t="s">
        <v>3700</v>
      </c>
      <c r="AC3311" s="217" t="s">
        <v>333</v>
      </c>
    </row>
    <row r="3312" spans="28:29">
      <c r="AB3312" s="231" t="s">
        <v>3701</v>
      </c>
      <c r="AC3312" s="217" t="s">
        <v>333</v>
      </c>
    </row>
    <row r="3313" spans="28:29">
      <c r="AB3313" s="231" t="s">
        <v>3702</v>
      </c>
      <c r="AC3313" s="217" t="s">
        <v>333</v>
      </c>
    </row>
    <row r="3314" spans="28:29">
      <c r="AB3314" s="231" t="s">
        <v>3703</v>
      </c>
      <c r="AC3314" s="217" t="s">
        <v>333</v>
      </c>
    </row>
    <row r="3315" spans="28:29">
      <c r="AB3315" s="231" t="s">
        <v>3704</v>
      </c>
      <c r="AC3315" s="217" t="s">
        <v>333</v>
      </c>
    </row>
    <row r="3316" spans="28:29">
      <c r="AB3316" s="231" t="s">
        <v>3705</v>
      </c>
      <c r="AC3316" s="217" t="s">
        <v>333</v>
      </c>
    </row>
    <row r="3317" spans="28:29">
      <c r="AB3317" s="231" t="s">
        <v>3706</v>
      </c>
      <c r="AC3317" s="217" t="s">
        <v>333</v>
      </c>
    </row>
    <row r="3318" spans="28:29">
      <c r="AB3318" s="231" t="s">
        <v>3707</v>
      </c>
      <c r="AC3318" s="217" t="s">
        <v>333</v>
      </c>
    </row>
    <row r="3319" spans="28:29">
      <c r="AB3319" s="231" t="s">
        <v>3708</v>
      </c>
      <c r="AC3319" s="217" t="s">
        <v>333</v>
      </c>
    </row>
    <row r="3320" spans="28:29">
      <c r="AB3320" s="231" t="s">
        <v>3709</v>
      </c>
      <c r="AC3320" s="217" t="s">
        <v>333</v>
      </c>
    </row>
    <row r="3321" spans="28:29">
      <c r="AB3321" s="231" t="s">
        <v>3710</v>
      </c>
      <c r="AC3321" s="217" t="s">
        <v>333</v>
      </c>
    </row>
    <row r="3322" spans="28:29">
      <c r="AB3322" s="231" t="s">
        <v>3711</v>
      </c>
      <c r="AC3322" s="217" t="s">
        <v>333</v>
      </c>
    </row>
    <row r="3323" spans="28:29">
      <c r="AB3323" s="231" t="s">
        <v>3712</v>
      </c>
      <c r="AC3323" s="217" t="s">
        <v>333</v>
      </c>
    </row>
    <row r="3324" spans="28:29">
      <c r="AB3324" s="231" t="s">
        <v>3713</v>
      </c>
      <c r="AC3324" s="217" t="s">
        <v>333</v>
      </c>
    </row>
    <row r="3325" spans="28:29">
      <c r="AB3325" s="231" t="s">
        <v>3714</v>
      </c>
      <c r="AC3325" s="217" t="s">
        <v>333</v>
      </c>
    </row>
    <row r="3326" spans="28:29">
      <c r="AB3326" s="231" t="s">
        <v>3715</v>
      </c>
      <c r="AC3326" s="217" t="s">
        <v>333</v>
      </c>
    </row>
    <row r="3327" spans="28:29">
      <c r="AB3327" s="231" t="s">
        <v>3716</v>
      </c>
      <c r="AC3327" s="217" t="s">
        <v>333</v>
      </c>
    </row>
    <row r="3328" spans="28:29">
      <c r="AB3328" s="231" t="s">
        <v>3717</v>
      </c>
      <c r="AC3328" s="217" t="s">
        <v>333</v>
      </c>
    </row>
    <row r="3329" spans="28:29">
      <c r="AB3329" s="231" t="s">
        <v>3718</v>
      </c>
      <c r="AC3329" s="217" t="s">
        <v>333</v>
      </c>
    </row>
    <row r="3330" spans="28:29">
      <c r="AB3330" s="231" t="s">
        <v>3719</v>
      </c>
      <c r="AC3330" s="217" t="s">
        <v>333</v>
      </c>
    </row>
    <row r="3331" spans="28:29">
      <c r="AB3331" s="231" t="s">
        <v>3720</v>
      </c>
      <c r="AC3331" s="217" t="s">
        <v>333</v>
      </c>
    </row>
    <row r="3332" spans="28:29">
      <c r="AB3332" s="231" t="s">
        <v>3721</v>
      </c>
      <c r="AC3332" s="217" t="s">
        <v>333</v>
      </c>
    </row>
    <row r="3333" spans="28:29">
      <c r="AB3333" s="231" t="s">
        <v>3722</v>
      </c>
      <c r="AC3333" s="217" t="s">
        <v>333</v>
      </c>
    </row>
    <row r="3334" spans="28:29">
      <c r="AB3334" s="231" t="s">
        <v>3723</v>
      </c>
      <c r="AC3334" s="217" t="s">
        <v>333</v>
      </c>
    </row>
    <row r="3335" spans="28:29">
      <c r="AB3335" s="231" t="s">
        <v>3724</v>
      </c>
      <c r="AC3335" s="217" t="s">
        <v>333</v>
      </c>
    </row>
    <row r="3336" spans="28:29">
      <c r="AB3336" s="231" t="s">
        <v>3725</v>
      </c>
      <c r="AC3336" s="217" t="s">
        <v>333</v>
      </c>
    </row>
    <row r="3337" spans="28:29">
      <c r="AB3337" s="231" t="s">
        <v>3726</v>
      </c>
      <c r="AC3337" s="217" t="s">
        <v>333</v>
      </c>
    </row>
    <row r="3338" spans="28:29">
      <c r="AB3338" s="231" t="s">
        <v>3727</v>
      </c>
      <c r="AC3338" s="217" t="s">
        <v>333</v>
      </c>
    </row>
    <row r="3339" spans="28:29">
      <c r="AB3339" s="231" t="s">
        <v>3728</v>
      </c>
      <c r="AC3339" s="217" t="s">
        <v>333</v>
      </c>
    </row>
    <row r="3340" spans="28:29">
      <c r="AB3340" s="231" t="s">
        <v>3729</v>
      </c>
      <c r="AC3340" s="217" t="s">
        <v>333</v>
      </c>
    </row>
    <row r="3341" spans="28:29">
      <c r="AB3341" s="231" t="s">
        <v>3730</v>
      </c>
      <c r="AC3341" s="217" t="s">
        <v>333</v>
      </c>
    </row>
    <row r="3342" spans="28:29">
      <c r="AB3342" s="231" t="s">
        <v>3731</v>
      </c>
      <c r="AC3342" s="217" t="s">
        <v>333</v>
      </c>
    </row>
    <row r="3343" spans="28:29">
      <c r="AB3343" s="231" t="s">
        <v>3732</v>
      </c>
      <c r="AC3343" s="217" t="s">
        <v>333</v>
      </c>
    </row>
    <row r="3344" spans="28:29">
      <c r="AB3344" s="231" t="s">
        <v>3733</v>
      </c>
      <c r="AC3344" s="217" t="s">
        <v>333</v>
      </c>
    </row>
    <row r="3345" spans="28:29">
      <c r="AB3345" s="231" t="s">
        <v>3734</v>
      </c>
      <c r="AC3345" s="217" t="s">
        <v>333</v>
      </c>
    </row>
    <row r="3346" spans="28:29">
      <c r="AB3346" s="231" t="s">
        <v>3735</v>
      </c>
      <c r="AC3346" s="217" t="s">
        <v>333</v>
      </c>
    </row>
    <row r="3347" spans="28:29">
      <c r="AB3347" s="231" t="s">
        <v>3736</v>
      </c>
      <c r="AC3347" s="217" t="s">
        <v>333</v>
      </c>
    </row>
    <row r="3348" spans="28:29">
      <c r="AB3348" s="231" t="s">
        <v>3737</v>
      </c>
      <c r="AC3348" s="217" t="s">
        <v>333</v>
      </c>
    </row>
    <row r="3349" spans="28:29">
      <c r="AB3349" s="231" t="s">
        <v>3738</v>
      </c>
      <c r="AC3349" s="217" t="s">
        <v>333</v>
      </c>
    </row>
    <row r="3350" spans="28:29">
      <c r="AB3350" s="231" t="s">
        <v>3739</v>
      </c>
      <c r="AC3350" s="217" t="s">
        <v>333</v>
      </c>
    </row>
    <row r="3351" spans="28:29">
      <c r="AB3351" s="231" t="s">
        <v>3740</v>
      </c>
      <c r="AC3351" s="217" t="s">
        <v>333</v>
      </c>
    </row>
    <row r="3352" spans="28:29">
      <c r="AB3352" s="231" t="s">
        <v>3741</v>
      </c>
      <c r="AC3352" s="217" t="s">
        <v>333</v>
      </c>
    </row>
    <row r="3353" spans="28:29">
      <c r="AB3353" s="231" t="s">
        <v>3742</v>
      </c>
      <c r="AC3353" s="217" t="s">
        <v>333</v>
      </c>
    </row>
    <row r="3354" spans="28:29">
      <c r="AB3354" s="231" t="s">
        <v>3743</v>
      </c>
      <c r="AC3354" s="217" t="s">
        <v>333</v>
      </c>
    </row>
    <row r="3355" spans="28:29">
      <c r="AB3355" s="231" t="s">
        <v>3744</v>
      </c>
      <c r="AC3355" s="217" t="s">
        <v>333</v>
      </c>
    </row>
    <row r="3356" spans="28:29">
      <c r="AB3356" s="231" t="s">
        <v>3745</v>
      </c>
      <c r="AC3356" s="217" t="s">
        <v>333</v>
      </c>
    </row>
    <row r="3357" spans="28:29">
      <c r="AB3357" s="231" t="s">
        <v>3746</v>
      </c>
      <c r="AC3357" s="217" t="s">
        <v>333</v>
      </c>
    </row>
    <row r="3358" spans="28:29">
      <c r="AB3358" s="231" t="s">
        <v>3747</v>
      </c>
      <c r="AC3358" s="217" t="s">
        <v>333</v>
      </c>
    </row>
    <row r="3359" spans="28:29">
      <c r="AB3359" s="231" t="s">
        <v>3748</v>
      </c>
      <c r="AC3359" s="217" t="s">
        <v>333</v>
      </c>
    </row>
    <row r="3360" spans="28:29">
      <c r="AB3360" s="231" t="s">
        <v>3749</v>
      </c>
      <c r="AC3360" s="217" t="s">
        <v>333</v>
      </c>
    </row>
    <row r="3361" spans="28:29">
      <c r="AB3361" s="231" t="s">
        <v>3750</v>
      </c>
      <c r="AC3361" s="217" t="s">
        <v>333</v>
      </c>
    </row>
    <row r="3362" spans="28:29">
      <c r="AB3362" s="231" t="s">
        <v>3751</v>
      </c>
      <c r="AC3362" s="217" t="s">
        <v>333</v>
      </c>
    </row>
    <row r="3363" spans="28:29">
      <c r="AB3363" s="231" t="s">
        <v>3752</v>
      </c>
      <c r="AC3363" s="217" t="s">
        <v>333</v>
      </c>
    </row>
    <row r="3364" spans="28:29">
      <c r="AB3364" s="231" t="s">
        <v>3753</v>
      </c>
      <c r="AC3364" s="217" t="s">
        <v>333</v>
      </c>
    </row>
    <row r="3365" spans="28:29">
      <c r="AB3365" s="231" t="s">
        <v>3754</v>
      </c>
      <c r="AC3365" s="217" t="s">
        <v>333</v>
      </c>
    </row>
    <row r="3366" spans="28:29">
      <c r="AB3366" s="231" t="s">
        <v>3755</v>
      </c>
      <c r="AC3366" s="217" t="s">
        <v>333</v>
      </c>
    </row>
    <row r="3367" spans="28:29">
      <c r="AB3367" s="231" t="s">
        <v>3756</v>
      </c>
      <c r="AC3367" s="217" t="s">
        <v>333</v>
      </c>
    </row>
    <row r="3368" spans="28:29">
      <c r="AB3368" s="231" t="s">
        <v>3757</v>
      </c>
      <c r="AC3368" s="217" t="s">
        <v>333</v>
      </c>
    </row>
    <row r="3369" spans="28:29">
      <c r="AB3369" s="231" t="s">
        <v>3758</v>
      </c>
      <c r="AC3369" s="217" t="s">
        <v>333</v>
      </c>
    </row>
    <row r="3370" spans="28:29">
      <c r="AB3370" s="231" t="s">
        <v>3759</v>
      </c>
      <c r="AC3370" s="217" t="s">
        <v>333</v>
      </c>
    </row>
    <row r="3371" spans="28:29">
      <c r="AB3371" s="231" t="s">
        <v>3760</v>
      </c>
      <c r="AC3371" s="217" t="s">
        <v>333</v>
      </c>
    </row>
    <row r="3372" spans="28:29">
      <c r="AB3372" s="231" t="s">
        <v>3761</v>
      </c>
      <c r="AC3372" s="217" t="s">
        <v>333</v>
      </c>
    </row>
    <row r="3373" spans="28:29">
      <c r="AB3373" s="231" t="s">
        <v>3762</v>
      </c>
      <c r="AC3373" s="217" t="s">
        <v>333</v>
      </c>
    </row>
    <row r="3374" spans="28:29">
      <c r="AB3374" s="231" t="s">
        <v>3763</v>
      </c>
      <c r="AC3374" s="217" t="s">
        <v>333</v>
      </c>
    </row>
    <row r="3375" spans="28:29">
      <c r="AB3375" s="231" t="s">
        <v>3764</v>
      </c>
      <c r="AC3375" s="217" t="s">
        <v>333</v>
      </c>
    </row>
    <row r="3376" spans="28:29">
      <c r="AB3376" s="231" t="s">
        <v>3765</v>
      </c>
      <c r="AC3376" s="217" t="s">
        <v>333</v>
      </c>
    </row>
    <row r="3377" spans="28:29">
      <c r="AB3377" s="231" t="s">
        <v>3766</v>
      </c>
      <c r="AC3377" s="217" t="s">
        <v>333</v>
      </c>
    </row>
    <row r="3378" spans="28:29">
      <c r="AB3378" s="231" t="s">
        <v>3767</v>
      </c>
      <c r="AC3378" s="217" t="s">
        <v>333</v>
      </c>
    </row>
    <row r="3379" spans="28:29">
      <c r="AB3379" s="231" t="s">
        <v>3768</v>
      </c>
      <c r="AC3379" s="217" t="s">
        <v>333</v>
      </c>
    </row>
    <row r="3380" spans="28:29">
      <c r="AB3380" s="231" t="s">
        <v>3769</v>
      </c>
      <c r="AC3380" s="217" t="s">
        <v>333</v>
      </c>
    </row>
    <row r="3381" spans="28:29">
      <c r="AB3381" s="231" t="s">
        <v>3770</v>
      </c>
      <c r="AC3381" s="217" t="s">
        <v>333</v>
      </c>
    </row>
    <row r="3382" spans="28:29">
      <c r="AB3382" s="231" t="s">
        <v>3771</v>
      </c>
      <c r="AC3382" s="217" t="s">
        <v>333</v>
      </c>
    </row>
    <row r="3383" spans="28:29">
      <c r="AB3383" s="231" t="s">
        <v>3772</v>
      </c>
      <c r="AC3383" s="217" t="s">
        <v>333</v>
      </c>
    </row>
    <row r="3384" spans="28:29">
      <c r="AB3384" s="231" t="s">
        <v>3773</v>
      </c>
      <c r="AC3384" s="217" t="s">
        <v>333</v>
      </c>
    </row>
    <row r="3385" spans="28:29">
      <c r="AB3385" s="231" t="s">
        <v>3774</v>
      </c>
      <c r="AC3385" s="217" t="s">
        <v>333</v>
      </c>
    </row>
    <row r="3386" spans="28:29">
      <c r="AB3386" s="231" t="s">
        <v>3775</v>
      </c>
      <c r="AC3386" s="217" t="s">
        <v>333</v>
      </c>
    </row>
    <row r="3387" spans="28:29">
      <c r="AB3387" s="231" t="s">
        <v>3776</v>
      </c>
      <c r="AC3387" s="217" t="s">
        <v>333</v>
      </c>
    </row>
    <row r="3388" spans="28:29">
      <c r="AB3388" s="231" t="s">
        <v>3777</v>
      </c>
      <c r="AC3388" s="217" t="s">
        <v>333</v>
      </c>
    </row>
    <row r="3389" spans="28:29">
      <c r="AB3389" s="231" t="s">
        <v>3778</v>
      </c>
      <c r="AC3389" s="217" t="s">
        <v>333</v>
      </c>
    </row>
    <row r="3390" spans="28:29">
      <c r="AB3390" s="231" t="s">
        <v>3779</v>
      </c>
      <c r="AC3390" s="217" t="s">
        <v>333</v>
      </c>
    </row>
    <row r="3391" spans="28:29">
      <c r="AB3391" s="231" t="s">
        <v>3780</v>
      </c>
      <c r="AC3391" s="217" t="s">
        <v>333</v>
      </c>
    </row>
    <row r="3392" spans="28:29">
      <c r="AB3392" s="231" t="s">
        <v>3781</v>
      </c>
      <c r="AC3392" s="217" t="s">
        <v>333</v>
      </c>
    </row>
    <row r="3393" spans="28:29">
      <c r="AB3393" s="231" t="s">
        <v>3782</v>
      </c>
      <c r="AC3393" s="217" t="s">
        <v>333</v>
      </c>
    </row>
    <row r="3394" spans="28:29">
      <c r="AB3394" s="231" t="s">
        <v>3783</v>
      </c>
      <c r="AC3394" s="217" t="s">
        <v>333</v>
      </c>
    </row>
    <row r="3395" spans="28:29">
      <c r="AB3395" s="231" t="s">
        <v>3784</v>
      </c>
      <c r="AC3395" s="217" t="s">
        <v>333</v>
      </c>
    </row>
    <row r="3396" spans="28:29">
      <c r="AB3396" s="231" t="s">
        <v>3785</v>
      </c>
      <c r="AC3396" s="217" t="s">
        <v>333</v>
      </c>
    </row>
    <row r="3397" spans="28:29">
      <c r="AB3397" s="231" t="s">
        <v>3786</v>
      </c>
      <c r="AC3397" s="217" t="s">
        <v>333</v>
      </c>
    </row>
    <row r="3398" spans="28:29">
      <c r="AB3398" s="231" t="s">
        <v>3787</v>
      </c>
      <c r="AC3398" s="217" t="s">
        <v>333</v>
      </c>
    </row>
    <row r="3399" spans="28:29">
      <c r="AB3399" s="231" t="s">
        <v>3788</v>
      </c>
      <c r="AC3399" s="217" t="s">
        <v>333</v>
      </c>
    </row>
    <row r="3400" spans="28:29">
      <c r="AB3400" s="231" t="s">
        <v>3789</v>
      </c>
      <c r="AC3400" s="217" t="s">
        <v>333</v>
      </c>
    </row>
    <row r="3401" spans="28:29">
      <c r="AB3401" s="231" t="s">
        <v>3790</v>
      </c>
      <c r="AC3401" s="217" t="s">
        <v>333</v>
      </c>
    </row>
    <row r="3402" spans="28:29">
      <c r="AB3402" s="231" t="s">
        <v>3791</v>
      </c>
      <c r="AC3402" s="217" t="s">
        <v>333</v>
      </c>
    </row>
    <row r="3403" spans="28:29">
      <c r="AB3403" s="231" t="s">
        <v>3792</v>
      </c>
      <c r="AC3403" s="217" t="s">
        <v>333</v>
      </c>
    </row>
    <row r="3404" spans="28:29">
      <c r="AB3404" s="231" t="s">
        <v>3793</v>
      </c>
      <c r="AC3404" s="217" t="s">
        <v>333</v>
      </c>
    </row>
    <row r="3405" spans="28:29">
      <c r="AB3405" s="231" t="s">
        <v>3794</v>
      </c>
      <c r="AC3405" s="217" t="s">
        <v>333</v>
      </c>
    </row>
    <row r="3406" spans="28:29">
      <c r="AB3406" s="231" t="s">
        <v>3795</v>
      </c>
      <c r="AC3406" s="217" t="s">
        <v>333</v>
      </c>
    </row>
    <row r="3407" spans="28:29">
      <c r="AB3407" s="231" t="s">
        <v>3796</v>
      </c>
      <c r="AC3407" s="217" t="s">
        <v>333</v>
      </c>
    </row>
    <row r="3408" spans="28:29">
      <c r="AB3408" s="231" t="s">
        <v>3797</v>
      </c>
      <c r="AC3408" s="217" t="s">
        <v>333</v>
      </c>
    </row>
    <row r="3409" spans="28:29">
      <c r="AB3409" s="231" t="s">
        <v>3798</v>
      </c>
      <c r="AC3409" s="217" t="s">
        <v>333</v>
      </c>
    </row>
    <row r="3410" spans="28:29">
      <c r="AB3410" s="231" t="s">
        <v>3799</v>
      </c>
      <c r="AC3410" s="217" t="s">
        <v>333</v>
      </c>
    </row>
    <row r="3411" spans="28:29">
      <c r="AB3411" s="231" t="s">
        <v>3800</v>
      </c>
      <c r="AC3411" s="217" t="s">
        <v>333</v>
      </c>
    </row>
    <row r="3412" spans="28:29">
      <c r="AB3412" s="231" t="s">
        <v>3801</v>
      </c>
      <c r="AC3412" s="217" t="s">
        <v>333</v>
      </c>
    </row>
    <row r="3413" spans="28:29">
      <c r="AB3413" s="231" t="s">
        <v>3802</v>
      </c>
      <c r="AC3413" s="217" t="s">
        <v>333</v>
      </c>
    </row>
    <row r="3414" spans="28:29">
      <c r="AB3414" s="231" t="s">
        <v>3803</v>
      </c>
      <c r="AC3414" s="217" t="s">
        <v>333</v>
      </c>
    </row>
    <row r="3415" spans="28:29">
      <c r="AB3415" s="231" t="s">
        <v>3804</v>
      </c>
      <c r="AC3415" s="217" t="s">
        <v>333</v>
      </c>
    </row>
    <row r="3416" spans="28:29">
      <c r="AB3416" s="231" t="s">
        <v>3805</v>
      </c>
      <c r="AC3416" s="217" t="s">
        <v>333</v>
      </c>
    </row>
    <row r="3417" spans="28:29">
      <c r="AB3417" s="231" t="s">
        <v>3806</v>
      </c>
      <c r="AC3417" s="217" t="s">
        <v>333</v>
      </c>
    </row>
    <row r="3418" spans="28:29">
      <c r="AB3418" s="231" t="s">
        <v>3807</v>
      </c>
      <c r="AC3418" s="217" t="s">
        <v>333</v>
      </c>
    </row>
    <row r="3419" spans="28:29">
      <c r="AB3419" s="231" t="s">
        <v>3808</v>
      </c>
      <c r="AC3419" s="217" t="s">
        <v>333</v>
      </c>
    </row>
    <row r="3420" spans="28:29">
      <c r="AB3420" s="231" t="s">
        <v>3809</v>
      </c>
      <c r="AC3420" s="217" t="s">
        <v>333</v>
      </c>
    </row>
    <row r="3421" spans="28:29">
      <c r="AB3421" s="231" t="s">
        <v>3810</v>
      </c>
      <c r="AC3421" s="217" t="s">
        <v>333</v>
      </c>
    </row>
    <row r="3422" spans="28:29">
      <c r="AB3422" s="231" t="s">
        <v>3811</v>
      </c>
      <c r="AC3422" s="217" t="s">
        <v>333</v>
      </c>
    </row>
    <row r="3423" spans="28:29">
      <c r="AB3423" s="231" t="s">
        <v>3812</v>
      </c>
      <c r="AC3423" s="217" t="s">
        <v>333</v>
      </c>
    </row>
    <row r="3424" spans="28:29">
      <c r="AB3424" s="231" t="s">
        <v>3813</v>
      </c>
      <c r="AC3424" s="217" t="s">
        <v>333</v>
      </c>
    </row>
    <row r="3425" spans="28:29">
      <c r="AB3425" s="231" t="s">
        <v>3814</v>
      </c>
      <c r="AC3425" s="217" t="s">
        <v>333</v>
      </c>
    </row>
    <row r="3426" spans="28:29">
      <c r="AB3426" s="231" t="s">
        <v>3815</v>
      </c>
      <c r="AC3426" s="217" t="s">
        <v>333</v>
      </c>
    </row>
    <row r="3427" spans="28:29">
      <c r="AB3427" s="231" t="s">
        <v>3816</v>
      </c>
      <c r="AC3427" s="217" t="s">
        <v>333</v>
      </c>
    </row>
    <row r="3428" spans="28:29">
      <c r="AB3428" s="231" t="s">
        <v>3817</v>
      </c>
      <c r="AC3428" s="217" t="s">
        <v>333</v>
      </c>
    </row>
    <row r="3429" spans="28:29">
      <c r="AB3429" s="231" t="s">
        <v>3818</v>
      </c>
      <c r="AC3429" s="217" t="s">
        <v>333</v>
      </c>
    </row>
    <row r="3430" spans="28:29">
      <c r="AB3430" s="231" t="s">
        <v>3819</v>
      </c>
      <c r="AC3430" s="217" t="s">
        <v>333</v>
      </c>
    </row>
    <row r="3431" spans="28:29">
      <c r="AB3431" s="231" t="s">
        <v>3820</v>
      </c>
      <c r="AC3431" s="217" t="s">
        <v>333</v>
      </c>
    </row>
    <row r="3432" spans="28:29">
      <c r="AB3432" s="231" t="s">
        <v>3821</v>
      </c>
      <c r="AC3432" s="217" t="s">
        <v>333</v>
      </c>
    </row>
    <row r="3433" spans="28:29">
      <c r="AB3433" s="231" t="s">
        <v>3822</v>
      </c>
      <c r="AC3433" s="217" t="s">
        <v>333</v>
      </c>
    </row>
    <row r="3434" spans="28:29">
      <c r="AB3434" s="231" t="s">
        <v>3823</v>
      </c>
      <c r="AC3434" s="217" t="s">
        <v>333</v>
      </c>
    </row>
    <row r="3435" spans="28:29">
      <c r="AB3435" s="231" t="s">
        <v>3824</v>
      </c>
      <c r="AC3435" s="217" t="s">
        <v>333</v>
      </c>
    </row>
    <row r="3436" spans="28:29">
      <c r="AB3436" s="231" t="s">
        <v>3825</v>
      </c>
      <c r="AC3436" s="217" t="s">
        <v>333</v>
      </c>
    </row>
    <row r="3437" spans="28:29">
      <c r="AB3437" s="231" t="s">
        <v>3826</v>
      </c>
      <c r="AC3437" s="217" t="s">
        <v>333</v>
      </c>
    </row>
    <row r="3438" spans="28:29">
      <c r="AB3438" s="231" t="s">
        <v>3827</v>
      </c>
      <c r="AC3438" s="217" t="s">
        <v>333</v>
      </c>
    </row>
    <row r="3439" spans="28:29">
      <c r="AB3439" s="231" t="s">
        <v>3828</v>
      </c>
      <c r="AC3439" s="217" t="s">
        <v>333</v>
      </c>
    </row>
    <row r="3440" spans="28:29">
      <c r="AB3440" s="231" t="s">
        <v>3829</v>
      </c>
      <c r="AC3440" s="217" t="s">
        <v>333</v>
      </c>
    </row>
    <row r="3441" spans="28:29">
      <c r="AB3441" s="231" t="s">
        <v>3830</v>
      </c>
      <c r="AC3441" s="217" t="s">
        <v>333</v>
      </c>
    </row>
    <row r="3442" spans="28:29">
      <c r="AB3442" s="231" t="s">
        <v>3831</v>
      </c>
      <c r="AC3442" s="217" t="s">
        <v>333</v>
      </c>
    </row>
    <row r="3443" spans="28:29">
      <c r="AB3443" s="231" t="s">
        <v>3832</v>
      </c>
      <c r="AC3443" s="217" t="s">
        <v>333</v>
      </c>
    </row>
    <row r="3444" spans="28:29">
      <c r="AB3444" s="231" t="s">
        <v>3833</v>
      </c>
      <c r="AC3444" s="217" t="s">
        <v>333</v>
      </c>
    </row>
    <row r="3445" spans="28:29">
      <c r="AB3445" s="231" t="s">
        <v>3834</v>
      </c>
      <c r="AC3445" s="217" t="s">
        <v>333</v>
      </c>
    </row>
    <row r="3446" spans="28:29">
      <c r="AB3446" s="231" t="s">
        <v>3835</v>
      </c>
      <c r="AC3446" s="217" t="s">
        <v>333</v>
      </c>
    </row>
    <row r="3447" spans="28:29">
      <c r="AB3447" s="231" t="s">
        <v>3836</v>
      </c>
      <c r="AC3447" s="217" t="s">
        <v>333</v>
      </c>
    </row>
    <row r="3448" spans="28:29">
      <c r="AB3448" s="231" t="s">
        <v>3837</v>
      </c>
      <c r="AC3448" s="217" t="s">
        <v>333</v>
      </c>
    </row>
    <row r="3449" spans="28:29">
      <c r="AB3449" s="231" t="s">
        <v>3838</v>
      </c>
      <c r="AC3449" s="217" t="s">
        <v>333</v>
      </c>
    </row>
    <row r="3450" spans="28:29">
      <c r="AB3450" s="231" t="s">
        <v>3839</v>
      </c>
      <c r="AC3450" s="217" t="s">
        <v>333</v>
      </c>
    </row>
    <row r="3451" spans="28:29">
      <c r="AB3451" s="231" t="s">
        <v>3840</v>
      </c>
      <c r="AC3451" s="217" t="s">
        <v>333</v>
      </c>
    </row>
    <row r="3452" spans="28:29">
      <c r="AB3452" s="231" t="s">
        <v>3841</v>
      </c>
      <c r="AC3452" s="217" t="s">
        <v>333</v>
      </c>
    </row>
    <row r="3453" spans="28:29">
      <c r="AB3453" s="231" t="s">
        <v>3842</v>
      </c>
      <c r="AC3453" s="217" t="s">
        <v>333</v>
      </c>
    </row>
    <row r="3454" spans="28:29">
      <c r="AB3454" s="231" t="s">
        <v>3843</v>
      </c>
      <c r="AC3454" s="217" t="s">
        <v>333</v>
      </c>
    </row>
    <row r="3455" spans="28:29">
      <c r="AB3455" s="231" t="s">
        <v>3844</v>
      </c>
      <c r="AC3455" s="217" t="s">
        <v>333</v>
      </c>
    </row>
    <row r="3456" spans="28:29">
      <c r="AB3456" s="231" t="s">
        <v>3845</v>
      </c>
      <c r="AC3456" s="217" t="s">
        <v>333</v>
      </c>
    </row>
    <row r="3457" spans="28:29">
      <c r="AB3457" s="231" t="s">
        <v>3846</v>
      </c>
      <c r="AC3457" s="217" t="s">
        <v>333</v>
      </c>
    </row>
    <row r="3458" spans="28:29">
      <c r="AB3458" s="231" t="s">
        <v>3847</v>
      </c>
      <c r="AC3458" s="217" t="s">
        <v>333</v>
      </c>
    </row>
    <row r="3459" spans="28:29">
      <c r="AB3459" s="231" t="s">
        <v>3848</v>
      </c>
      <c r="AC3459" s="217" t="s">
        <v>333</v>
      </c>
    </row>
    <row r="3460" spans="28:29">
      <c r="AB3460" s="231" t="s">
        <v>3849</v>
      </c>
      <c r="AC3460" s="217" t="s">
        <v>333</v>
      </c>
    </row>
    <row r="3461" spans="28:29">
      <c r="AB3461" s="231" t="s">
        <v>3850</v>
      </c>
      <c r="AC3461" s="217" t="s">
        <v>333</v>
      </c>
    </row>
    <row r="3462" spans="28:29">
      <c r="AB3462" s="231" t="s">
        <v>3851</v>
      </c>
      <c r="AC3462" s="217" t="s">
        <v>333</v>
      </c>
    </row>
    <row r="3463" spans="28:29">
      <c r="AB3463" s="231" t="s">
        <v>3852</v>
      </c>
      <c r="AC3463" s="217" t="s">
        <v>333</v>
      </c>
    </row>
    <row r="3464" spans="28:29">
      <c r="AB3464" s="231" t="s">
        <v>3853</v>
      </c>
      <c r="AC3464" s="217" t="s">
        <v>333</v>
      </c>
    </row>
    <row r="3465" spans="28:29">
      <c r="AB3465" s="231" t="s">
        <v>3854</v>
      </c>
      <c r="AC3465" s="217" t="s">
        <v>333</v>
      </c>
    </row>
    <row r="3466" spans="28:29">
      <c r="AB3466" s="231" t="s">
        <v>3855</v>
      </c>
      <c r="AC3466" s="217" t="s">
        <v>333</v>
      </c>
    </row>
    <row r="3467" spans="28:29">
      <c r="AB3467" s="231" t="s">
        <v>3856</v>
      </c>
      <c r="AC3467" s="217" t="s">
        <v>333</v>
      </c>
    </row>
    <row r="3468" spans="28:29">
      <c r="AB3468" s="231" t="s">
        <v>3857</v>
      </c>
      <c r="AC3468" s="217" t="s">
        <v>333</v>
      </c>
    </row>
    <row r="3469" spans="28:29">
      <c r="AB3469" s="231" t="s">
        <v>3858</v>
      </c>
      <c r="AC3469" s="217" t="s">
        <v>333</v>
      </c>
    </row>
    <row r="3470" spans="28:29">
      <c r="AB3470" s="231" t="s">
        <v>3859</v>
      </c>
      <c r="AC3470" s="217" t="s">
        <v>333</v>
      </c>
    </row>
    <row r="3471" spans="28:29">
      <c r="AB3471" s="231" t="s">
        <v>3860</v>
      </c>
      <c r="AC3471" s="217" t="s">
        <v>333</v>
      </c>
    </row>
    <row r="3472" spans="28:29">
      <c r="AB3472" s="231" t="s">
        <v>3861</v>
      </c>
      <c r="AC3472" s="217" t="s">
        <v>333</v>
      </c>
    </row>
    <row r="3473" spans="28:29">
      <c r="AB3473" s="231" t="s">
        <v>3862</v>
      </c>
      <c r="AC3473" s="217" t="s">
        <v>333</v>
      </c>
    </row>
    <row r="3474" spans="28:29">
      <c r="AB3474" s="231" t="s">
        <v>3863</v>
      </c>
      <c r="AC3474" s="217" t="s">
        <v>333</v>
      </c>
    </row>
    <row r="3475" spans="28:29">
      <c r="AB3475" s="231" t="s">
        <v>3864</v>
      </c>
      <c r="AC3475" s="217" t="s">
        <v>333</v>
      </c>
    </row>
    <row r="3476" spans="28:29">
      <c r="AB3476" s="231" t="s">
        <v>3865</v>
      </c>
      <c r="AC3476" s="217" t="s">
        <v>333</v>
      </c>
    </row>
    <row r="3477" spans="28:29">
      <c r="AB3477" s="231" t="s">
        <v>3866</v>
      </c>
      <c r="AC3477" s="217" t="s">
        <v>333</v>
      </c>
    </row>
    <row r="3478" spans="28:29">
      <c r="AB3478" s="231" t="s">
        <v>3867</v>
      </c>
      <c r="AC3478" s="217" t="s">
        <v>333</v>
      </c>
    </row>
    <row r="3479" spans="28:29">
      <c r="AB3479" s="231" t="s">
        <v>3868</v>
      </c>
      <c r="AC3479" s="217" t="s">
        <v>333</v>
      </c>
    </row>
    <row r="3480" spans="28:29">
      <c r="AB3480" s="231" t="s">
        <v>3869</v>
      </c>
      <c r="AC3480" s="217" t="s">
        <v>333</v>
      </c>
    </row>
    <row r="3481" spans="28:29">
      <c r="AB3481" s="231" t="s">
        <v>3870</v>
      </c>
      <c r="AC3481" s="217" t="s">
        <v>333</v>
      </c>
    </row>
    <row r="3482" spans="28:29">
      <c r="AB3482" s="231" t="s">
        <v>3871</v>
      </c>
      <c r="AC3482" s="217" t="s">
        <v>333</v>
      </c>
    </row>
    <row r="3483" spans="28:29">
      <c r="AB3483" s="231" t="s">
        <v>3872</v>
      </c>
      <c r="AC3483" s="217" t="s">
        <v>333</v>
      </c>
    </row>
    <row r="3484" spans="28:29">
      <c r="AB3484" s="231" t="s">
        <v>3873</v>
      </c>
      <c r="AC3484" s="217" t="s">
        <v>333</v>
      </c>
    </row>
    <row r="3485" spans="28:29">
      <c r="AB3485" s="231" t="s">
        <v>3874</v>
      </c>
      <c r="AC3485" s="217" t="s">
        <v>333</v>
      </c>
    </row>
    <row r="3486" spans="28:29">
      <c r="AB3486" s="231" t="s">
        <v>3875</v>
      </c>
      <c r="AC3486" s="217" t="s">
        <v>333</v>
      </c>
    </row>
    <row r="3487" spans="28:29">
      <c r="AB3487" s="231" t="s">
        <v>3876</v>
      </c>
      <c r="AC3487" s="217" t="s">
        <v>333</v>
      </c>
    </row>
    <row r="3488" spans="28:29">
      <c r="AB3488" s="231" t="s">
        <v>3877</v>
      </c>
      <c r="AC3488" s="217" t="s">
        <v>333</v>
      </c>
    </row>
    <row r="3489" spans="28:29">
      <c r="AB3489" s="231" t="s">
        <v>3878</v>
      </c>
      <c r="AC3489" s="217" t="s">
        <v>333</v>
      </c>
    </row>
    <row r="3490" spans="28:29">
      <c r="AB3490" s="231" t="s">
        <v>3879</v>
      </c>
      <c r="AC3490" s="217" t="s">
        <v>333</v>
      </c>
    </row>
    <row r="3491" spans="28:29">
      <c r="AB3491" s="231" t="s">
        <v>3880</v>
      </c>
      <c r="AC3491" s="217" t="s">
        <v>333</v>
      </c>
    </row>
    <row r="3492" spans="28:29">
      <c r="AB3492" s="231" t="s">
        <v>3881</v>
      </c>
      <c r="AC3492" s="217" t="s">
        <v>333</v>
      </c>
    </row>
    <row r="3493" spans="28:29">
      <c r="AB3493" s="231" t="s">
        <v>3882</v>
      </c>
      <c r="AC3493" s="217" t="s">
        <v>333</v>
      </c>
    </row>
    <row r="3494" spans="28:29">
      <c r="AB3494" s="231" t="s">
        <v>3883</v>
      </c>
      <c r="AC3494" s="217" t="s">
        <v>333</v>
      </c>
    </row>
    <row r="3495" spans="28:29">
      <c r="AB3495" s="231" t="s">
        <v>3884</v>
      </c>
      <c r="AC3495" s="217" t="s">
        <v>333</v>
      </c>
    </row>
    <row r="3496" spans="28:29">
      <c r="AB3496" s="231" t="s">
        <v>3885</v>
      </c>
      <c r="AC3496" s="217" t="s">
        <v>333</v>
      </c>
    </row>
    <row r="3497" spans="28:29">
      <c r="AB3497" s="231" t="s">
        <v>3886</v>
      </c>
      <c r="AC3497" s="217" t="s">
        <v>333</v>
      </c>
    </row>
    <row r="3498" spans="28:29">
      <c r="AB3498" s="231" t="s">
        <v>3887</v>
      </c>
      <c r="AC3498" s="217" t="s">
        <v>333</v>
      </c>
    </row>
    <row r="3499" spans="28:29">
      <c r="AB3499" s="231" t="s">
        <v>3888</v>
      </c>
      <c r="AC3499" s="217" t="s">
        <v>333</v>
      </c>
    </row>
    <row r="3500" spans="28:29">
      <c r="AB3500" s="231" t="s">
        <v>3889</v>
      </c>
      <c r="AC3500" s="217" t="s">
        <v>333</v>
      </c>
    </row>
    <row r="3501" spans="28:29">
      <c r="AB3501" s="231" t="s">
        <v>3890</v>
      </c>
      <c r="AC3501" s="217" t="s">
        <v>333</v>
      </c>
    </row>
    <row r="3502" spans="28:29">
      <c r="AB3502" s="231" t="s">
        <v>3891</v>
      </c>
      <c r="AC3502" s="217" t="s">
        <v>333</v>
      </c>
    </row>
    <row r="3503" spans="28:29">
      <c r="AB3503" s="231" t="s">
        <v>3892</v>
      </c>
      <c r="AC3503" s="217" t="s">
        <v>333</v>
      </c>
    </row>
    <row r="3504" spans="28:29">
      <c r="AB3504" s="231" t="s">
        <v>3893</v>
      </c>
      <c r="AC3504" s="217" t="s">
        <v>333</v>
      </c>
    </row>
    <row r="3505" spans="28:29">
      <c r="AB3505" s="231" t="s">
        <v>3894</v>
      </c>
      <c r="AC3505" s="217" t="s">
        <v>333</v>
      </c>
    </row>
    <row r="3506" spans="28:29">
      <c r="AB3506" s="231" t="s">
        <v>3895</v>
      </c>
      <c r="AC3506" s="217" t="s">
        <v>333</v>
      </c>
    </row>
    <row r="3507" spans="28:29">
      <c r="AB3507" s="231" t="s">
        <v>3896</v>
      </c>
      <c r="AC3507" s="217" t="s">
        <v>333</v>
      </c>
    </row>
    <row r="3508" spans="28:29">
      <c r="AB3508" s="231" t="s">
        <v>3897</v>
      </c>
      <c r="AC3508" s="217" t="s">
        <v>333</v>
      </c>
    </row>
    <row r="3509" spans="28:29">
      <c r="AB3509" s="231" t="s">
        <v>3898</v>
      </c>
      <c r="AC3509" s="217" t="s">
        <v>333</v>
      </c>
    </row>
    <row r="3510" spans="28:29">
      <c r="AB3510" s="231" t="s">
        <v>3899</v>
      </c>
      <c r="AC3510" s="217" t="s">
        <v>333</v>
      </c>
    </row>
    <row r="3511" spans="28:29">
      <c r="AB3511" s="231" t="s">
        <v>3900</v>
      </c>
      <c r="AC3511" s="217" t="s">
        <v>333</v>
      </c>
    </row>
    <row r="3512" spans="28:29">
      <c r="AB3512" s="231" t="s">
        <v>3901</v>
      </c>
      <c r="AC3512" s="217" t="s">
        <v>333</v>
      </c>
    </row>
    <row r="3513" spans="28:29">
      <c r="AB3513" s="231" t="s">
        <v>3902</v>
      </c>
      <c r="AC3513" s="217" t="s">
        <v>333</v>
      </c>
    </row>
    <row r="3514" spans="28:29">
      <c r="AB3514" s="231" t="s">
        <v>3903</v>
      </c>
      <c r="AC3514" s="217" t="s">
        <v>333</v>
      </c>
    </row>
    <row r="3515" spans="28:29">
      <c r="AB3515" s="231" t="s">
        <v>3904</v>
      </c>
      <c r="AC3515" s="217" t="s">
        <v>333</v>
      </c>
    </row>
    <row r="3516" spans="28:29">
      <c r="AB3516" s="231" t="s">
        <v>3905</v>
      </c>
      <c r="AC3516" s="217" t="s">
        <v>333</v>
      </c>
    </row>
    <row r="3517" spans="28:29">
      <c r="AB3517" s="231" t="s">
        <v>3906</v>
      </c>
      <c r="AC3517" s="217" t="s">
        <v>333</v>
      </c>
    </row>
    <row r="3518" spans="28:29">
      <c r="AB3518" s="231" t="s">
        <v>3907</v>
      </c>
      <c r="AC3518" s="217" t="s">
        <v>333</v>
      </c>
    </row>
    <row r="3519" spans="28:29">
      <c r="AB3519" s="231" t="s">
        <v>3908</v>
      </c>
      <c r="AC3519" s="217" t="s">
        <v>333</v>
      </c>
    </row>
    <row r="3520" spans="28:29">
      <c r="AB3520" s="231" t="s">
        <v>3909</v>
      </c>
      <c r="AC3520" s="217" t="s">
        <v>333</v>
      </c>
    </row>
    <row r="3521" spans="28:29">
      <c r="AB3521" s="231" t="s">
        <v>3910</v>
      </c>
      <c r="AC3521" s="217" t="s">
        <v>333</v>
      </c>
    </row>
    <row r="3522" spans="28:29">
      <c r="AB3522" s="231" t="s">
        <v>3911</v>
      </c>
      <c r="AC3522" s="217" t="s">
        <v>333</v>
      </c>
    </row>
    <row r="3523" spans="28:29">
      <c r="AB3523" s="231" t="s">
        <v>3912</v>
      </c>
      <c r="AC3523" s="217" t="s">
        <v>333</v>
      </c>
    </row>
    <row r="3524" spans="28:29">
      <c r="AB3524" s="231" t="s">
        <v>3913</v>
      </c>
      <c r="AC3524" s="217" t="s">
        <v>333</v>
      </c>
    </row>
    <row r="3525" spans="28:29">
      <c r="AB3525" s="231" t="s">
        <v>3914</v>
      </c>
      <c r="AC3525" s="217" t="s">
        <v>333</v>
      </c>
    </row>
    <row r="3526" spans="28:29">
      <c r="AB3526" s="231" t="s">
        <v>3915</v>
      </c>
      <c r="AC3526" s="217" t="s">
        <v>333</v>
      </c>
    </row>
    <row r="3527" spans="28:29">
      <c r="AB3527" s="231" t="s">
        <v>3916</v>
      </c>
      <c r="AC3527" s="217" t="s">
        <v>333</v>
      </c>
    </row>
    <row r="3528" spans="28:29">
      <c r="AB3528" s="231" t="s">
        <v>3917</v>
      </c>
      <c r="AC3528" s="217" t="s">
        <v>333</v>
      </c>
    </row>
    <row r="3529" spans="28:29">
      <c r="AB3529" s="231" t="s">
        <v>3918</v>
      </c>
      <c r="AC3529" s="217" t="s">
        <v>333</v>
      </c>
    </row>
    <row r="3530" spans="28:29">
      <c r="AB3530" s="231" t="s">
        <v>3919</v>
      </c>
      <c r="AC3530" s="217" t="s">
        <v>333</v>
      </c>
    </row>
    <row r="3531" spans="28:29">
      <c r="AB3531" s="231" t="s">
        <v>3920</v>
      </c>
      <c r="AC3531" s="217" t="s">
        <v>333</v>
      </c>
    </row>
    <row r="3532" spans="28:29">
      <c r="AB3532" s="231" t="s">
        <v>3921</v>
      </c>
      <c r="AC3532" s="217" t="s">
        <v>333</v>
      </c>
    </row>
    <row r="3533" spans="28:29">
      <c r="AB3533" s="231" t="s">
        <v>3922</v>
      </c>
      <c r="AC3533" s="217" t="s">
        <v>333</v>
      </c>
    </row>
    <row r="3534" spans="28:29">
      <c r="AB3534" s="231" t="s">
        <v>3923</v>
      </c>
      <c r="AC3534" s="217" t="s">
        <v>333</v>
      </c>
    </row>
    <row r="3535" spans="28:29">
      <c r="AB3535" s="231" t="s">
        <v>3924</v>
      </c>
      <c r="AC3535" s="217" t="s">
        <v>333</v>
      </c>
    </row>
    <row r="3536" spans="28:29">
      <c r="AB3536" s="231" t="s">
        <v>3925</v>
      </c>
      <c r="AC3536" s="217" t="s">
        <v>333</v>
      </c>
    </row>
    <row r="3537" spans="28:29">
      <c r="AB3537" s="231" t="s">
        <v>3926</v>
      </c>
      <c r="AC3537" s="217" t="s">
        <v>333</v>
      </c>
    </row>
    <row r="3538" spans="28:29">
      <c r="AB3538" s="231" t="s">
        <v>3927</v>
      </c>
      <c r="AC3538" s="217" t="s">
        <v>333</v>
      </c>
    </row>
    <row r="3539" spans="28:29">
      <c r="AB3539" s="231" t="s">
        <v>3928</v>
      </c>
      <c r="AC3539" s="217" t="s">
        <v>333</v>
      </c>
    </row>
    <row r="3540" spans="28:29">
      <c r="AB3540" s="231" t="s">
        <v>3929</v>
      </c>
      <c r="AC3540" s="217" t="s">
        <v>333</v>
      </c>
    </row>
    <row r="3541" spans="28:29">
      <c r="AB3541" s="231" t="s">
        <v>3930</v>
      </c>
      <c r="AC3541" s="217" t="s">
        <v>333</v>
      </c>
    </row>
    <row r="3542" spans="28:29">
      <c r="AB3542" s="231" t="s">
        <v>3931</v>
      </c>
      <c r="AC3542" s="217" t="s">
        <v>333</v>
      </c>
    </row>
    <row r="3543" spans="28:29">
      <c r="AB3543" s="231" t="s">
        <v>3932</v>
      </c>
      <c r="AC3543" s="217" t="s">
        <v>333</v>
      </c>
    </row>
    <row r="3544" spans="28:29">
      <c r="AB3544" s="231" t="s">
        <v>3933</v>
      </c>
      <c r="AC3544" s="217" t="s">
        <v>333</v>
      </c>
    </row>
    <row r="3545" spans="28:29">
      <c r="AB3545" s="231" t="s">
        <v>3934</v>
      </c>
      <c r="AC3545" s="217" t="s">
        <v>333</v>
      </c>
    </row>
    <row r="3546" spans="28:29">
      <c r="AB3546" s="231" t="s">
        <v>3935</v>
      </c>
      <c r="AC3546" s="217" t="s">
        <v>333</v>
      </c>
    </row>
    <row r="3547" spans="28:29">
      <c r="AB3547" s="231" t="s">
        <v>3936</v>
      </c>
      <c r="AC3547" s="217" t="s">
        <v>333</v>
      </c>
    </row>
    <row r="3548" spans="28:29">
      <c r="AB3548" s="231" t="s">
        <v>3937</v>
      </c>
      <c r="AC3548" s="217" t="s">
        <v>333</v>
      </c>
    </row>
    <row r="3549" spans="28:29">
      <c r="AB3549" s="231" t="s">
        <v>3938</v>
      </c>
      <c r="AC3549" s="217" t="s">
        <v>333</v>
      </c>
    </row>
    <row r="3550" spans="28:29">
      <c r="AB3550" s="231" t="s">
        <v>3939</v>
      </c>
      <c r="AC3550" s="217" t="s">
        <v>333</v>
      </c>
    </row>
    <row r="3551" spans="28:29">
      <c r="AB3551" s="231" t="s">
        <v>3940</v>
      </c>
      <c r="AC3551" s="217" t="s">
        <v>333</v>
      </c>
    </row>
    <row r="3552" spans="28:29">
      <c r="AB3552" s="231" t="s">
        <v>3941</v>
      </c>
      <c r="AC3552" s="217" t="s">
        <v>333</v>
      </c>
    </row>
    <row r="3553" spans="28:29">
      <c r="AB3553" s="231" t="s">
        <v>3942</v>
      </c>
      <c r="AC3553" s="217" t="s">
        <v>333</v>
      </c>
    </row>
    <row r="3554" spans="28:29">
      <c r="AB3554" s="231" t="s">
        <v>3943</v>
      </c>
      <c r="AC3554" s="217" t="s">
        <v>333</v>
      </c>
    </row>
    <row r="3555" spans="28:29">
      <c r="AB3555" s="231" t="s">
        <v>3944</v>
      </c>
      <c r="AC3555" s="217" t="s">
        <v>333</v>
      </c>
    </row>
    <row r="3556" spans="28:29">
      <c r="AB3556" s="231" t="s">
        <v>3945</v>
      </c>
      <c r="AC3556" s="217" t="s">
        <v>333</v>
      </c>
    </row>
    <row r="3557" spans="28:29">
      <c r="AB3557" s="231" t="s">
        <v>3946</v>
      </c>
      <c r="AC3557" s="217" t="s">
        <v>333</v>
      </c>
    </row>
    <row r="3558" spans="28:29">
      <c r="AB3558" s="231" t="s">
        <v>3947</v>
      </c>
      <c r="AC3558" s="217" t="s">
        <v>333</v>
      </c>
    </row>
    <row r="3559" spans="28:29">
      <c r="AB3559" s="231" t="s">
        <v>3948</v>
      </c>
      <c r="AC3559" s="217" t="s">
        <v>333</v>
      </c>
    </row>
    <row r="3560" spans="28:29">
      <c r="AB3560" s="231" t="s">
        <v>3949</v>
      </c>
      <c r="AC3560" s="217" t="s">
        <v>333</v>
      </c>
    </row>
    <row r="3561" spans="28:29">
      <c r="AB3561" s="231" t="s">
        <v>3950</v>
      </c>
      <c r="AC3561" s="217" t="s">
        <v>333</v>
      </c>
    </row>
    <row r="3562" spans="28:29">
      <c r="AB3562" s="231" t="s">
        <v>3951</v>
      </c>
      <c r="AC3562" s="217" t="s">
        <v>333</v>
      </c>
    </row>
    <row r="3563" spans="28:29">
      <c r="AB3563" s="231" t="s">
        <v>3952</v>
      </c>
      <c r="AC3563" s="217" t="s">
        <v>333</v>
      </c>
    </row>
    <row r="3564" spans="28:29">
      <c r="AB3564" s="231" t="s">
        <v>3953</v>
      </c>
      <c r="AC3564" s="217" t="s">
        <v>333</v>
      </c>
    </row>
    <row r="3565" spans="28:29">
      <c r="AB3565" s="231" t="s">
        <v>3954</v>
      </c>
      <c r="AC3565" s="217" t="s">
        <v>333</v>
      </c>
    </row>
    <row r="3566" spans="28:29">
      <c r="AB3566" s="231" t="s">
        <v>3955</v>
      </c>
      <c r="AC3566" s="217" t="s">
        <v>333</v>
      </c>
    </row>
    <row r="3567" spans="28:29">
      <c r="AB3567" s="231" t="s">
        <v>3956</v>
      </c>
      <c r="AC3567" s="217" t="s">
        <v>333</v>
      </c>
    </row>
    <row r="3568" spans="28:29">
      <c r="AB3568" s="231" t="s">
        <v>3957</v>
      </c>
      <c r="AC3568" s="217" t="s">
        <v>333</v>
      </c>
    </row>
    <row r="3569" spans="28:29">
      <c r="AB3569" s="231" t="s">
        <v>3958</v>
      </c>
      <c r="AC3569" s="217" t="s">
        <v>333</v>
      </c>
    </row>
    <row r="3570" spans="28:29">
      <c r="AB3570" s="231" t="s">
        <v>3959</v>
      </c>
      <c r="AC3570" s="217" t="s">
        <v>333</v>
      </c>
    </row>
    <row r="3571" spans="28:29">
      <c r="AB3571" s="231" t="s">
        <v>3960</v>
      </c>
      <c r="AC3571" s="217" t="s">
        <v>333</v>
      </c>
    </row>
    <row r="3572" spans="28:29">
      <c r="AB3572" s="231" t="s">
        <v>3961</v>
      </c>
      <c r="AC3572" s="217" t="s">
        <v>333</v>
      </c>
    </row>
    <row r="3573" spans="28:29">
      <c r="AB3573" s="231" t="s">
        <v>3962</v>
      </c>
      <c r="AC3573" s="217" t="s">
        <v>333</v>
      </c>
    </row>
    <row r="3574" spans="28:29">
      <c r="AB3574" s="231" t="s">
        <v>3963</v>
      </c>
      <c r="AC3574" s="217" t="s">
        <v>333</v>
      </c>
    </row>
    <row r="3575" spans="28:29">
      <c r="AB3575" s="231" t="s">
        <v>3964</v>
      </c>
      <c r="AC3575" s="217" t="s">
        <v>333</v>
      </c>
    </row>
    <row r="3576" spans="28:29">
      <c r="AB3576" s="231" t="s">
        <v>3965</v>
      </c>
      <c r="AC3576" s="217" t="s">
        <v>333</v>
      </c>
    </row>
    <row r="3577" spans="28:29">
      <c r="AB3577" s="231" t="s">
        <v>3966</v>
      </c>
      <c r="AC3577" s="217" t="s">
        <v>333</v>
      </c>
    </row>
    <row r="3578" spans="28:29">
      <c r="AB3578" s="231" t="s">
        <v>3967</v>
      </c>
      <c r="AC3578" s="217" t="s">
        <v>333</v>
      </c>
    </row>
    <row r="3579" spans="28:29">
      <c r="AB3579" s="231" t="s">
        <v>3968</v>
      </c>
      <c r="AC3579" s="217" t="s">
        <v>333</v>
      </c>
    </row>
    <row r="3580" spans="28:29">
      <c r="AB3580" s="231" t="s">
        <v>3969</v>
      </c>
      <c r="AC3580" s="217" t="s">
        <v>333</v>
      </c>
    </row>
    <row r="3581" spans="28:29">
      <c r="AB3581" s="231" t="s">
        <v>3970</v>
      </c>
      <c r="AC3581" s="217" t="s">
        <v>333</v>
      </c>
    </row>
    <row r="3582" spans="28:29">
      <c r="AB3582" s="231" t="s">
        <v>3971</v>
      </c>
      <c r="AC3582" s="217" t="s">
        <v>333</v>
      </c>
    </row>
    <row r="3583" spans="28:29">
      <c r="AB3583" s="231" t="s">
        <v>3972</v>
      </c>
      <c r="AC3583" s="217" t="s">
        <v>333</v>
      </c>
    </row>
    <row r="3584" spans="28:29">
      <c r="AB3584" s="231" t="s">
        <v>3973</v>
      </c>
      <c r="AC3584" s="217" t="s">
        <v>333</v>
      </c>
    </row>
    <row r="3585" spans="28:29">
      <c r="AB3585" s="231" t="s">
        <v>3974</v>
      </c>
      <c r="AC3585" s="217" t="s">
        <v>333</v>
      </c>
    </row>
    <row r="3586" spans="28:29">
      <c r="AB3586" s="231" t="s">
        <v>3975</v>
      </c>
      <c r="AC3586" s="217" t="s">
        <v>333</v>
      </c>
    </row>
    <row r="3587" spans="28:29">
      <c r="AB3587" s="231" t="s">
        <v>3976</v>
      </c>
      <c r="AC3587" s="217" t="s">
        <v>333</v>
      </c>
    </row>
    <row r="3588" spans="28:29">
      <c r="AB3588" s="231" t="s">
        <v>3977</v>
      </c>
      <c r="AC3588" s="217" t="s">
        <v>333</v>
      </c>
    </row>
    <row r="3589" spans="28:29">
      <c r="AB3589" s="231" t="s">
        <v>3978</v>
      </c>
      <c r="AC3589" s="217" t="s">
        <v>333</v>
      </c>
    </row>
    <row r="3590" spans="28:29">
      <c r="AB3590" s="231" t="s">
        <v>3979</v>
      </c>
      <c r="AC3590" s="217" t="s">
        <v>333</v>
      </c>
    </row>
    <row r="3591" spans="28:29">
      <c r="AB3591" s="231" t="s">
        <v>3980</v>
      </c>
      <c r="AC3591" s="217" t="s">
        <v>333</v>
      </c>
    </row>
    <row r="3592" spans="28:29">
      <c r="AB3592" s="231" t="s">
        <v>3981</v>
      </c>
      <c r="AC3592" s="217" t="s">
        <v>333</v>
      </c>
    </row>
    <row r="3593" spans="28:29">
      <c r="AB3593" s="231" t="s">
        <v>3982</v>
      </c>
      <c r="AC3593" s="217" t="s">
        <v>333</v>
      </c>
    </row>
    <row r="3594" spans="28:29">
      <c r="AB3594" s="231" t="s">
        <v>3983</v>
      </c>
      <c r="AC3594" s="217" t="s">
        <v>333</v>
      </c>
    </row>
    <row r="3595" spans="28:29">
      <c r="AB3595" s="231" t="s">
        <v>3984</v>
      </c>
      <c r="AC3595" s="217" t="s">
        <v>333</v>
      </c>
    </row>
    <row r="3596" spans="28:29">
      <c r="AB3596" s="231" t="s">
        <v>3985</v>
      </c>
      <c r="AC3596" s="217" t="s">
        <v>333</v>
      </c>
    </row>
    <row r="3597" spans="28:29">
      <c r="AB3597" s="231" t="s">
        <v>3986</v>
      </c>
      <c r="AC3597" s="217" t="s">
        <v>333</v>
      </c>
    </row>
    <row r="3598" spans="28:29">
      <c r="AB3598" s="231" t="s">
        <v>3987</v>
      </c>
      <c r="AC3598" s="217" t="s">
        <v>333</v>
      </c>
    </row>
    <row r="3599" spans="28:29">
      <c r="AB3599" s="231" t="s">
        <v>3988</v>
      </c>
      <c r="AC3599" s="217" t="s">
        <v>333</v>
      </c>
    </row>
    <row r="3600" spans="28:29">
      <c r="AB3600" s="231" t="s">
        <v>3989</v>
      </c>
      <c r="AC3600" s="217" t="s">
        <v>333</v>
      </c>
    </row>
    <row r="3601" spans="28:29">
      <c r="AB3601" s="231" t="s">
        <v>3990</v>
      </c>
      <c r="AC3601" s="217" t="s">
        <v>333</v>
      </c>
    </row>
    <row r="3602" spans="28:29">
      <c r="AB3602" s="231" t="s">
        <v>3991</v>
      </c>
      <c r="AC3602" s="217" t="s">
        <v>333</v>
      </c>
    </row>
    <row r="3603" spans="28:29">
      <c r="AB3603" s="231" t="s">
        <v>3992</v>
      </c>
      <c r="AC3603" s="217" t="s">
        <v>333</v>
      </c>
    </row>
    <row r="3604" spans="28:29">
      <c r="AB3604" s="231" t="s">
        <v>3993</v>
      </c>
      <c r="AC3604" s="217" t="s">
        <v>333</v>
      </c>
    </row>
    <row r="3605" spans="28:29">
      <c r="AB3605" s="231" t="s">
        <v>3994</v>
      </c>
      <c r="AC3605" s="217" t="s">
        <v>333</v>
      </c>
    </row>
    <row r="3606" spans="28:29">
      <c r="AB3606" s="231" t="s">
        <v>3995</v>
      </c>
      <c r="AC3606" s="217" t="s">
        <v>333</v>
      </c>
    </row>
    <row r="3607" spans="28:29">
      <c r="AB3607" s="231" t="s">
        <v>3996</v>
      </c>
      <c r="AC3607" s="217" t="s">
        <v>333</v>
      </c>
    </row>
    <row r="3608" spans="28:29">
      <c r="AB3608" s="231" t="s">
        <v>3997</v>
      </c>
      <c r="AC3608" s="217" t="s">
        <v>333</v>
      </c>
    </row>
    <row r="3609" spans="28:29">
      <c r="AB3609" s="231" t="s">
        <v>3998</v>
      </c>
      <c r="AC3609" s="217" t="s">
        <v>333</v>
      </c>
    </row>
    <row r="3610" spans="28:29">
      <c r="AB3610" s="231" t="s">
        <v>3999</v>
      </c>
      <c r="AC3610" s="217" t="s">
        <v>333</v>
      </c>
    </row>
    <row r="3611" spans="28:29">
      <c r="AB3611" s="231" t="s">
        <v>4000</v>
      </c>
      <c r="AC3611" s="217" t="s">
        <v>333</v>
      </c>
    </row>
    <row r="3612" spans="28:29">
      <c r="AB3612" s="231" t="s">
        <v>4001</v>
      </c>
      <c r="AC3612" s="217" t="s">
        <v>333</v>
      </c>
    </row>
    <row r="3613" spans="28:29">
      <c r="AB3613" s="231" t="s">
        <v>4002</v>
      </c>
      <c r="AC3613" s="217" t="s">
        <v>333</v>
      </c>
    </row>
    <row r="3614" spans="28:29">
      <c r="AB3614" s="231" t="s">
        <v>4003</v>
      </c>
      <c r="AC3614" s="217" t="s">
        <v>333</v>
      </c>
    </row>
    <row r="3615" spans="28:29">
      <c r="AB3615" s="231" t="s">
        <v>4004</v>
      </c>
      <c r="AC3615" s="217" t="s">
        <v>333</v>
      </c>
    </row>
    <row r="3616" spans="28:29">
      <c r="AB3616" s="231" t="s">
        <v>4005</v>
      </c>
      <c r="AC3616" s="217" t="s">
        <v>333</v>
      </c>
    </row>
    <row r="3617" spans="28:29">
      <c r="AB3617" s="231" t="s">
        <v>4006</v>
      </c>
      <c r="AC3617" s="217" t="s">
        <v>333</v>
      </c>
    </row>
    <row r="3618" spans="28:29">
      <c r="AB3618" s="231" t="s">
        <v>4007</v>
      </c>
      <c r="AC3618" s="217" t="s">
        <v>333</v>
      </c>
    </row>
    <row r="3619" spans="28:29">
      <c r="AB3619" s="231" t="s">
        <v>4008</v>
      </c>
      <c r="AC3619" s="217" t="s">
        <v>333</v>
      </c>
    </row>
    <row r="3620" spans="28:29">
      <c r="AB3620" s="231" t="s">
        <v>4009</v>
      </c>
      <c r="AC3620" s="217" t="s">
        <v>333</v>
      </c>
    </row>
    <row r="3621" spans="28:29">
      <c r="AB3621" s="231" t="s">
        <v>4010</v>
      </c>
      <c r="AC3621" s="217" t="s">
        <v>333</v>
      </c>
    </row>
    <row r="3622" spans="28:29">
      <c r="AB3622" s="231" t="s">
        <v>4011</v>
      </c>
      <c r="AC3622" s="217" t="s">
        <v>333</v>
      </c>
    </row>
    <row r="3623" spans="28:29">
      <c r="AB3623" s="231" t="s">
        <v>4012</v>
      </c>
      <c r="AC3623" s="217" t="s">
        <v>333</v>
      </c>
    </row>
    <row r="3624" spans="28:29">
      <c r="AB3624" s="231" t="s">
        <v>4013</v>
      </c>
      <c r="AC3624" s="217" t="s">
        <v>333</v>
      </c>
    </row>
    <row r="3625" spans="28:29">
      <c r="AB3625" s="231" t="s">
        <v>4014</v>
      </c>
      <c r="AC3625" s="217" t="s">
        <v>333</v>
      </c>
    </row>
    <row r="3626" spans="28:29">
      <c r="AB3626" s="231" t="s">
        <v>4015</v>
      </c>
      <c r="AC3626" s="217" t="s">
        <v>333</v>
      </c>
    </row>
    <row r="3627" spans="28:29">
      <c r="AB3627" s="231" t="s">
        <v>4016</v>
      </c>
      <c r="AC3627" s="217" t="s">
        <v>333</v>
      </c>
    </row>
    <row r="3628" spans="28:29">
      <c r="AB3628" s="231" t="s">
        <v>4017</v>
      </c>
      <c r="AC3628" s="217" t="s">
        <v>333</v>
      </c>
    </row>
    <row r="3629" spans="28:29">
      <c r="AB3629" s="231" t="s">
        <v>4018</v>
      </c>
      <c r="AC3629" s="217" t="s">
        <v>333</v>
      </c>
    </row>
    <row r="3630" spans="28:29">
      <c r="AB3630" s="231" t="s">
        <v>4019</v>
      </c>
      <c r="AC3630" s="217" t="s">
        <v>333</v>
      </c>
    </row>
    <row r="3631" spans="28:29">
      <c r="AB3631" s="231" t="s">
        <v>4020</v>
      </c>
      <c r="AC3631" s="217" t="s">
        <v>333</v>
      </c>
    </row>
    <row r="3632" spans="28:29">
      <c r="AB3632" s="231" t="s">
        <v>4021</v>
      </c>
      <c r="AC3632" s="217" t="s">
        <v>333</v>
      </c>
    </row>
    <row r="3633" spans="28:29">
      <c r="AB3633" s="231" t="s">
        <v>4022</v>
      </c>
      <c r="AC3633" s="217" t="s">
        <v>333</v>
      </c>
    </row>
    <row r="3634" spans="28:29">
      <c r="AB3634" s="231" t="s">
        <v>4023</v>
      </c>
      <c r="AC3634" s="217" t="s">
        <v>333</v>
      </c>
    </row>
    <row r="3635" spans="28:29">
      <c r="AB3635" s="231" t="s">
        <v>4024</v>
      </c>
      <c r="AC3635" s="217" t="s">
        <v>333</v>
      </c>
    </row>
    <row r="3636" spans="28:29">
      <c r="AB3636" s="231" t="s">
        <v>4025</v>
      </c>
      <c r="AC3636" s="217" t="s">
        <v>333</v>
      </c>
    </row>
    <row r="3637" spans="28:29">
      <c r="AB3637" s="231" t="s">
        <v>4026</v>
      </c>
      <c r="AC3637" s="217" t="s">
        <v>333</v>
      </c>
    </row>
    <row r="3638" spans="28:29">
      <c r="AB3638" s="231" t="s">
        <v>4027</v>
      </c>
      <c r="AC3638" s="217" t="s">
        <v>333</v>
      </c>
    </row>
    <row r="3639" spans="28:29">
      <c r="AB3639" s="231" t="s">
        <v>4028</v>
      </c>
      <c r="AC3639" s="217" t="s">
        <v>333</v>
      </c>
    </row>
    <row r="3640" spans="28:29">
      <c r="AB3640" s="231" t="s">
        <v>4029</v>
      </c>
      <c r="AC3640" s="217" t="s">
        <v>333</v>
      </c>
    </row>
    <row r="3641" spans="28:29">
      <c r="AB3641" s="231" t="s">
        <v>4030</v>
      </c>
      <c r="AC3641" s="217" t="s">
        <v>333</v>
      </c>
    </row>
    <row r="3642" spans="28:29">
      <c r="AB3642" s="231" t="s">
        <v>4031</v>
      </c>
      <c r="AC3642" s="217" t="s">
        <v>333</v>
      </c>
    </row>
    <row r="3643" spans="28:29">
      <c r="AB3643" s="231" t="s">
        <v>4032</v>
      </c>
      <c r="AC3643" s="217" t="s">
        <v>333</v>
      </c>
    </row>
    <row r="3644" spans="28:29">
      <c r="AB3644" s="231" t="s">
        <v>4033</v>
      </c>
      <c r="AC3644" s="217" t="s">
        <v>333</v>
      </c>
    </row>
    <row r="3645" spans="28:29">
      <c r="AB3645" s="231" t="s">
        <v>4034</v>
      </c>
      <c r="AC3645" s="217" t="s">
        <v>333</v>
      </c>
    </row>
    <row r="3646" spans="28:29">
      <c r="AB3646" s="231" t="s">
        <v>4035</v>
      </c>
      <c r="AC3646" s="217" t="s">
        <v>333</v>
      </c>
    </row>
    <row r="3647" spans="28:29">
      <c r="AB3647" s="231" t="s">
        <v>4036</v>
      </c>
      <c r="AC3647" s="217" t="s">
        <v>333</v>
      </c>
    </row>
    <row r="3648" spans="28:29">
      <c r="AB3648" s="231" t="s">
        <v>4037</v>
      </c>
      <c r="AC3648" s="217" t="s">
        <v>333</v>
      </c>
    </row>
    <row r="3649" spans="28:29">
      <c r="AB3649" s="231" t="s">
        <v>4038</v>
      </c>
      <c r="AC3649" s="217" t="s">
        <v>333</v>
      </c>
    </row>
    <row r="3650" spans="28:29">
      <c r="AB3650" s="231" t="s">
        <v>4039</v>
      </c>
      <c r="AC3650" s="217" t="s">
        <v>333</v>
      </c>
    </row>
    <row r="3651" spans="28:29">
      <c r="AB3651" s="231" t="s">
        <v>4040</v>
      </c>
      <c r="AC3651" s="217" t="s">
        <v>333</v>
      </c>
    </row>
    <row r="3652" spans="28:29">
      <c r="AB3652" s="231" t="s">
        <v>4041</v>
      </c>
      <c r="AC3652" s="217" t="s">
        <v>333</v>
      </c>
    </row>
    <row r="3653" spans="28:29">
      <c r="AB3653" s="231" t="s">
        <v>4042</v>
      </c>
      <c r="AC3653" s="217" t="s">
        <v>333</v>
      </c>
    </row>
    <row r="3654" spans="28:29">
      <c r="AB3654" s="231" t="s">
        <v>4043</v>
      </c>
      <c r="AC3654" s="217" t="s">
        <v>333</v>
      </c>
    </row>
    <row r="3655" spans="28:29">
      <c r="AB3655" s="231" t="s">
        <v>4044</v>
      </c>
      <c r="AC3655" s="217" t="s">
        <v>333</v>
      </c>
    </row>
    <row r="3656" spans="28:29">
      <c r="AB3656" s="231" t="s">
        <v>4045</v>
      </c>
      <c r="AC3656" s="217" t="s">
        <v>333</v>
      </c>
    </row>
    <row r="3657" spans="28:29">
      <c r="AB3657" s="231" t="s">
        <v>4046</v>
      </c>
      <c r="AC3657" s="217" t="s">
        <v>333</v>
      </c>
    </row>
    <row r="3658" spans="28:29">
      <c r="AB3658" s="231" t="s">
        <v>4047</v>
      </c>
      <c r="AC3658" s="217" t="s">
        <v>333</v>
      </c>
    </row>
    <row r="3659" spans="28:29">
      <c r="AB3659" s="231" t="s">
        <v>4048</v>
      </c>
      <c r="AC3659" s="217" t="s">
        <v>333</v>
      </c>
    </row>
    <row r="3660" spans="28:29">
      <c r="AB3660" s="231" t="s">
        <v>4049</v>
      </c>
      <c r="AC3660" s="217" t="s">
        <v>333</v>
      </c>
    </row>
    <row r="3661" spans="28:29">
      <c r="AB3661" s="231" t="s">
        <v>4050</v>
      </c>
      <c r="AC3661" s="217" t="s">
        <v>333</v>
      </c>
    </row>
    <row r="3662" spans="28:29">
      <c r="AB3662" s="231" t="s">
        <v>4051</v>
      </c>
      <c r="AC3662" s="217" t="s">
        <v>333</v>
      </c>
    </row>
    <row r="3663" spans="28:29">
      <c r="AB3663" s="231" t="s">
        <v>4052</v>
      </c>
      <c r="AC3663" s="217" t="s">
        <v>333</v>
      </c>
    </row>
    <row r="3664" spans="28:29">
      <c r="AB3664" s="231" t="s">
        <v>4053</v>
      </c>
      <c r="AC3664" s="217" t="s">
        <v>333</v>
      </c>
    </row>
    <row r="3665" spans="28:29">
      <c r="AB3665" s="231" t="s">
        <v>4054</v>
      </c>
      <c r="AC3665" s="217" t="s">
        <v>333</v>
      </c>
    </row>
    <row r="3666" spans="28:29">
      <c r="AB3666" s="231" t="s">
        <v>4055</v>
      </c>
      <c r="AC3666" s="217" t="s">
        <v>333</v>
      </c>
    </row>
    <row r="3667" spans="28:29">
      <c r="AB3667" s="231" t="s">
        <v>4056</v>
      </c>
      <c r="AC3667" s="217" t="s">
        <v>333</v>
      </c>
    </row>
    <row r="3668" spans="28:29">
      <c r="AB3668" s="231" t="s">
        <v>4057</v>
      </c>
      <c r="AC3668" s="217" t="s">
        <v>333</v>
      </c>
    </row>
    <row r="3669" spans="28:29">
      <c r="AB3669" s="231" t="s">
        <v>4058</v>
      </c>
      <c r="AC3669" s="217" t="s">
        <v>333</v>
      </c>
    </row>
    <row r="3670" spans="28:29">
      <c r="AB3670" s="231" t="s">
        <v>4059</v>
      </c>
      <c r="AC3670" s="217" t="s">
        <v>333</v>
      </c>
    </row>
    <row r="3671" spans="28:29">
      <c r="AB3671" s="231" t="s">
        <v>4060</v>
      </c>
      <c r="AC3671" s="217" t="s">
        <v>333</v>
      </c>
    </row>
    <row r="3672" spans="28:29">
      <c r="AB3672" s="231" t="s">
        <v>4061</v>
      </c>
      <c r="AC3672" s="217" t="s">
        <v>333</v>
      </c>
    </row>
    <row r="3673" spans="28:29">
      <c r="AB3673" s="231" t="s">
        <v>4062</v>
      </c>
      <c r="AC3673" s="217" t="s">
        <v>333</v>
      </c>
    </row>
    <row r="3674" spans="28:29">
      <c r="AB3674" s="231" t="s">
        <v>4063</v>
      </c>
      <c r="AC3674" s="217" t="s">
        <v>333</v>
      </c>
    </row>
    <row r="3675" spans="28:29">
      <c r="AB3675" s="231" t="s">
        <v>4064</v>
      </c>
      <c r="AC3675" s="217" t="s">
        <v>333</v>
      </c>
    </row>
    <row r="3676" spans="28:29">
      <c r="AB3676" s="231" t="s">
        <v>4065</v>
      </c>
      <c r="AC3676" s="217" t="s">
        <v>333</v>
      </c>
    </row>
    <row r="3677" spans="28:29">
      <c r="AB3677" s="231" t="s">
        <v>4066</v>
      </c>
      <c r="AC3677" s="217" t="s">
        <v>333</v>
      </c>
    </row>
    <row r="3678" spans="28:29">
      <c r="AB3678" s="231" t="s">
        <v>4067</v>
      </c>
      <c r="AC3678" s="217" t="s">
        <v>333</v>
      </c>
    </row>
    <row r="3679" spans="28:29">
      <c r="AB3679" s="231" t="s">
        <v>4068</v>
      </c>
      <c r="AC3679" s="217" t="s">
        <v>333</v>
      </c>
    </row>
    <row r="3680" spans="28:29">
      <c r="AB3680" s="231" t="s">
        <v>4069</v>
      </c>
      <c r="AC3680" s="217" t="s">
        <v>333</v>
      </c>
    </row>
    <row r="3681" spans="28:29">
      <c r="AB3681" s="231" t="s">
        <v>4070</v>
      </c>
      <c r="AC3681" s="217" t="s">
        <v>333</v>
      </c>
    </row>
    <row r="3682" spans="28:29">
      <c r="AB3682" s="231" t="s">
        <v>4071</v>
      </c>
      <c r="AC3682" s="217" t="s">
        <v>333</v>
      </c>
    </row>
    <row r="3683" spans="28:29">
      <c r="AB3683" s="231" t="s">
        <v>4072</v>
      </c>
      <c r="AC3683" s="217" t="s">
        <v>333</v>
      </c>
    </row>
    <row r="3684" spans="28:29">
      <c r="AB3684" s="231" t="s">
        <v>4073</v>
      </c>
      <c r="AC3684" s="217" t="s">
        <v>333</v>
      </c>
    </row>
    <row r="3685" spans="28:29">
      <c r="AB3685" s="231" t="s">
        <v>4074</v>
      </c>
      <c r="AC3685" s="217" t="s">
        <v>333</v>
      </c>
    </row>
    <row r="3686" spans="28:29">
      <c r="AB3686" s="231" t="s">
        <v>4075</v>
      </c>
      <c r="AC3686" s="217" t="s">
        <v>333</v>
      </c>
    </row>
    <row r="3687" spans="28:29">
      <c r="AB3687" s="231" t="s">
        <v>4076</v>
      </c>
      <c r="AC3687" s="217" t="s">
        <v>333</v>
      </c>
    </row>
    <row r="3688" spans="28:29">
      <c r="AB3688" s="231" t="s">
        <v>4077</v>
      </c>
      <c r="AC3688" s="217" t="s">
        <v>333</v>
      </c>
    </row>
    <row r="3689" spans="28:29">
      <c r="AB3689" s="231" t="s">
        <v>4078</v>
      </c>
      <c r="AC3689" s="217" t="s">
        <v>333</v>
      </c>
    </row>
    <row r="3690" spans="28:29">
      <c r="AB3690" s="231" t="s">
        <v>4079</v>
      </c>
      <c r="AC3690" s="217" t="s">
        <v>333</v>
      </c>
    </row>
    <row r="3691" spans="28:29">
      <c r="AB3691" s="231" t="s">
        <v>4080</v>
      </c>
      <c r="AC3691" s="217" t="s">
        <v>333</v>
      </c>
    </row>
    <row r="3692" spans="28:29">
      <c r="AB3692" s="231" t="s">
        <v>4081</v>
      </c>
      <c r="AC3692" s="217" t="s">
        <v>333</v>
      </c>
    </row>
    <row r="3693" spans="28:29">
      <c r="AB3693" s="231" t="s">
        <v>4082</v>
      </c>
      <c r="AC3693" s="217" t="s">
        <v>333</v>
      </c>
    </row>
    <row r="3694" spans="28:29">
      <c r="AB3694" s="231" t="s">
        <v>4083</v>
      </c>
      <c r="AC3694" s="217" t="s">
        <v>333</v>
      </c>
    </row>
    <row r="3695" spans="28:29">
      <c r="AB3695" s="231" t="s">
        <v>4084</v>
      </c>
      <c r="AC3695" s="217" t="s">
        <v>333</v>
      </c>
    </row>
    <row r="3696" spans="28:29">
      <c r="AB3696" s="231" t="s">
        <v>4085</v>
      </c>
      <c r="AC3696" s="217" t="s">
        <v>333</v>
      </c>
    </row>
    <row r="3697" spans="28:29">
      <c r="AB3697" s="231" t="s">
        <v>4086</v>
      </c>
      <c r="AC3697" s="217" t="s">
        <v>333</v>
      </c>
    </row>
    <row r="3698" spans="28:29">
      <c r="AB3698" s="231" t="s">
        <v>4087</v>
      </c>
      <c r="AC3698" s="217" t="s">
        <v>333</v>
      </c>
    </row>
    <row r="3699" spans="28:29">
      <c r="AB3699" s="231" t="s">
        <v>4088</v>
      </c>
      <c r="AC3699" s="217" t="s">
        <v>333</v>
      </c>
    </row>
    <row r="3700" spans="28:29">
      <c r="AB3700" s="231" t="s">
        <v>4089</v>
      </c>
      <c r="AC3700" s="217" t="s">
        <v>333</v>
      </c>
    </row>
    <row r="3701" spans="28:29">
      <c r="AB3701" s="231" t="s">
        <v>4090</v>
      </c>
      <c r="AC3701" s="217" t="s">
        <v>333</v>
      </c>
    </row>
    <row r="3702" spans="28:29">
      <c r="AB3702" s="231" t="s">
        <v>4091</v>
      </c>
      <c r="AC3702" s="217" t="s">
        <v>333</v>
      </c>
    </row>
    <row r="3703" spans="28:29">
      <c r="AB3703" s="231" t="s">
        <v>4092</v>
      </c>
      <c r="AC3703" s="217" t="s">
        <v>333</v>
      </c>
    </row>
    <row r="3704" spans="28:29">
      <c r="AB3704" s="231" t="s">
        <v>4093</v>
      </c>
      <c r="AC3704" s="217" t="s">
        <v>333</v>
      </c>
    </row>
    <row r="3705" spans="28:29">
      <c r="AB3705" s="231" t="s">
        <v>4094</v>
      </c>
      <c r="AC3705" s="217" t="s">
        <v>333</v>
      </c>
    </row>
    <row r="3706" spans="28:29">
      <c r="AB3706" s="231" t="s">
        <v>4095</v>
      </c>
      <c r="AC3706" s="217" t="s">
        <v>333</v>
      </c>
    </row>
    <row r="3707" spans="28:29">
      <c r="AB3707" s="231" t="s">
        <v>4096</v>
      </c>
      <c r="AC3707" s="217" t="s">
        <v>333</v>
      </c>
    </row>
    <row r="3708" spans="28:29">
      <c r="AB3708" s="231" t="s">
        <v>4097</v>
      </c>
      <c r="AC3708" s="217" t="s">
        <v>333</v>
      </c>
    </row>
    <row r="3709" spans="28:29">
      <c r="AB3709" s="231" t="s">
        <v>4098</v>
      </c>
      <c r="AC3709" s="217" t="s">
        <v>333</v>
      </c>
    </row>
    <row r="3710" spans="28:29">
      <c r="AB3710" s="231" t="s">
        <v>4099</v>
      </c>
      <c r="AC3710" s="217" t="s">
        <v>333</v>
      </c>
    </row>
    <row r="3711" spans="28:29">
      <c r="AB3711" s="231" t="s">
        <v>4100</v>
      </c>
      <c r="AC3711" s="217" t="s">
        <v>333</v>
      </c>
    </row>
    <row r="3712" spans="28:29">
      <c r="AB3712" s="231" t="s">
        <v>4101</v>
      </c>
      <c r="AC3712" s="217" t="s">
        <v>333</v>
      </c>
    </row>
    <row r="3713" spans="28:29">
      <c r="AB3713" s="231" t="s">
        <v>4102</v>
      </c>
      <c r="AC3713" s="217" t="s">
        <v>333</v>
      </c>
    </row>
    <row r="3714" spans="28:29">
      <c r="AB3714" s="231" t="s">
        <v>4103</v>
      </c>
      <c r="AC3714" s="217" t="s">
        <v>333</v>
      </c>
    </row>
    <row r="3715" spans="28:29">
      <c r="AB3715" s="231" t="s">
        <v>4104</v>
      </c>
      <c r="AC3715" s="217" t="s">
        <v>333</v>
      </c>
    </row>
    <row r="3716" spans="28:29">
      <c r="AB3716" s="231" t="s">
        <v>4105</v>
      </c>
      <c r="AC3716" s="217" t="s">
        <v>333</v>
      </c>
    </row>
    <row r="3717" spans="28:29">
      <c r="AB3717" s="231" t="s">
        <v>4106</v>
      </c>
      <c r="AC3717" s="217" t="s">
        <v>333</v>
      </c>
    </row>
    <row r="3718" spans="28:29">
      <c r="AB3718" s="231" t="s">
        <v>4107</v>
      </c>
      <c r="AC3718" s="217" t="s">
        <v>333</v>
      </c>
    </row>
    <row r="3719" spans="28:29">
      <c r="AB3719" s="231" t="s">
        <v>4108</v>
      </c>
      <c r="AC3719" s="217" t="s">
        <v>333</v>
      </c>
    </row>
    <row r="3720" spans="28:29">
      <c r="AB3720" s="231" t="s">
        <v>4109</v>
      </c>
      <c r="AC3720" s="217" t="s">
        <v>333</v>
      </c>
    </row>
    <row r="3721" spans="28:29">
      <c r="AB3721" s="231" t="s">
        <v>4110</v>
      </c>
      <c r="AC3721" s="217" t="s">
        <v>333</v>
      </c>
    </row>
    <row r="3722" spans="28:29">
      <c r="AB3722" s="231" t="s">
        <v>4111</v>
      </c>
      <c r="AC3722" s="217" t="s">
        <v>333</v>
      </c>
    </row>
    <row r="3723" spans="28:29">
      <c r="AB3723" s="231" t="s">
        <v>4112</v>
      </c>
      <c r="AC3723" s="217" t="s">
        <v>333</v>
      </c>
    </row>
    <row r="3724" spans="28:29">
      <c r="AB3724" s="231" t="s">
        <v>4113</v>
      </c>
      <c r="AC3724" s="217" t="s">
        <v>333</v>
      </c>
    </row>
    <row r="3725" spans="28:29">
      <c r="AB3725" s="231" t="s">
        <v>4114</v>
      </c>
      <c r="AC3725" s="217" t="s">
        <v>333</v>
      </c>
    </row>
    <row r="3726" spans="28:29">
      <c r="AB3726" s="231" t="s">
        <v>4115</v>
      </c>
      <c r="AC3726" s="217" t="s">
        <v>333</v>
      </c>
    </row>
    <row r="3727" spans="28:29">
      <c r="AB3727" s="231" t="s">
        <v>4116</v>
      </c>
      <c r="AC3727" s="217" t="s">
        <v>333</v>
      </c>
    </row>
    <row r="3728" spans="28:29">
      <c r="AB3728" s="231" t="s">
        <v>4117</v>
      </c>
      <c r="AC3728" s="217" t="s">
        <v>333</v>
      </c>
    </row>
    <row r="3729" spans="28:29">
      <c r="AB3729" s="231" t="s">
        <v>4118</v>
      </c>
      <c r="AC3729" s="217" t="s">
        <v>333</v>
      </c>
    </row>
    <row r="3730" spans="28:29">
      <c r="AB3730" s="231" t="s">
        <v>4119</v>
      </c>
      <c r="AC3730" s="217" t="s">
        <v>333</v>
      </c>
    </row>
    <row r="3731" spans="28:29">
      <c r="AB3731" s="231" t="s">
        <v>4120</v>
      </c>
      <c r="AC3731" s="217" t="s">
        <v>333</v>
      </c>
    </row>
    <row r="3732" spans="28:29">
      <c r="AB3732" s="231" t="s">
        <v>4121</v>
      </c>
      <c r="AC3732" s="217" t="s">
        <v>333</v>
      </c>
    </row>
    <row r="3733" spans="28:29">
      <c r="AB3733" s="231" t="s">
        <v>4122</v>
      </c>
      <c r="AC3733" s="217" t="s">
        <v>333</v>
      </c>
    </row>
    <row r="3734" spans="28:29">
      <c r="AB3734" s="231" t="s">
        <v>4123</v>
      </c>
      <c r="AC3734" s="217" t="s">
        <v>333</v>
      </c>
    </row>
    <row r="3735" spans="28:29">
      <c r="AB3735" s="231" t="s">
        <v>4124</v>
      </c>
      <c r="AC3735" s="217" t="s">
        <v>333</v>
      </c>
    </row>
    <row r="3736" spans="28:29">
      <c r="AB3736" s="231" t="s">
        <v>4125</v>
      </c>
      <c r="AC3736" s="217" t="s">
        <v>333</v>
      </c>
    </row>
    <row r="3737" spans="28:29">
      <c r="AB3737" s="231" t="s">
        <v>4126</v>
      </c>
      <c r="AC3737" s="217" t="s">
        <v>333</v>
      </c>
    </row>
    <row r="3738" spans="28:29">
      <c r="AB3738" s="231" t="s">
        <v>4127</v>
      </c>
      <c r="AC3738" s="217" t="s">
        <v>333</v>
      </c>
    </row>
    <row r="3739" spans="28:29">
      <c r="AB3739" s="231" t="s">
        <v>4128</v>
      </c>
      <c r="AC3739" s="217" t="s">
        <v>333</v>
      </c>
    </row>
    <row r="3740" spans="28:29">
      <c r="AB3740" s="231" t="s">
        <v>4129</v>
      </c>
      <c r="AC3740" s="217" t="s">
        <v>333</v>
      </c>
    </row>
    <row r="3741" spans="28:29">
      <c r="AB3741" s="231" t="s">
        <v>4130</v>
      </c>
      <c r="AC3741" s="217" t="s">
        <v>333</v>
      </c>
    </row>
    <row r="3742" spans="28:29">
      <c r="AB3742" s="231" t="s">
        <v>4131</v>
      </c>
      <c r="AC3742" s="217" t="s">
        <v>333</v>
      </c>
    </row>
    <row r="3743" spans="28:29">
      <c r="AB3743" s="231" t="s">
        <v>4132</v>
      </c>
      <c r="AC3743" s="217" t="s">
        <v>333</v>
      </c>
    </row>
    <row r="3744" spans="28:29">
      <c r="AB3744" s="231" t="s">
        <v>4133</v>
      </c>
      <c r="AC3744" s="217" t="s">
        <v>333</v>
      </c>
    </row>
    <row r="3745" spans="28:29">
      <c r="AB3745" s="231" t="s">
        <v>4134</v>
      </c>
      <c r="AC3745" s="217" t="s">
        <v>333</v>
      </c>
    </row>
    <row r="3746" spans="28:29">
      <c r="AB3746" s="231" t="s">
        <v>4135</v>
      </c>
      <c r="AC3746" s="217" t="s">
        <v>333</v>
      </c>
    </row>
    <row r="3747" spans="28:29">
      <c r="AB3747" s="231" t="s">
        <v>4136</v>
      </c>
      <c r="AC3747" s="217" t="s">
        <v>333</v>
      </c>
    </row>
    <row r="3748" spans="28:29">
      <c r="AB3748" s="231" t="s">
        <v>4137</v>
      </c>
      <c r="AC3748" s="217" t="s">
        <v>333</v>
      </c>
    </row>
    <row r="3749" spans="28:29">
      <c r="AB3749" s="231" t="s">
        <v>4138</v>
      </c>
      <c r="AC3749" s="217" t="s">
        <v>333</v>
      </c>
    </row>
    <row r="3750" spans="28:29">
      <c r="AB3750" s="231" t="s">
        <v>4139</v>
      </c>
      <c r="AC3750" s="217" t="s">
        <v>333</v>
      </c>
    </row>
    <row r="3751" spans="28:29">
      <c r="AB3751" s="231" t="s">
        <v>4140</v>
      </c>
      <c r="AC3751" s="217" t="s">
        <v>333</v>
      </c>
    </row>
    <row r="3752" spans="28:29">
      <c r="AB3752" s="231" t="s">
        <v>4141</v>
      </c>
      <c r="AC3752" s="217" t="s">
        <v>333</v>
      </c>
    </row>
    <row r="3753" spans="28:29">
      <c r="AB3753" s="231" t="s">
        <v>4142</v>
      </c>
      <c r="AC3753" s="217" t="s">
        <v>333</v>
      </c>
    </row>
    <row r="3754" spans="28:29">
      <c r="AB3754" s="231" t="s">
        <v>4143</v>
      </c>
      <c r="AC3754" s="217" t="s">
        <v>333</v>
      </c>
    </row>
    <row r="3755" spans="28:29">
      <c r="AB3755" s="231" t="s">
        <v>4144</v>
      </c>
      <c r="AC3755" s="217" t="s">
        <v>333</v>
      </c>
    </row>
    <row r="3756" spans="28:29">
      <c r="AB3756" s="231" t="s">
        <v>4145</v>
      </c>
      <c r="AC3756" s="217" t="s">
        <v>333</v>
      </c>
    </row>
    <row r="3757" spans="28:29">
      <c r="AB3757" s="231" t="s">
        <v>4146</v>
      </c>
      <c r="AC3757" s="217" t="s">
        <v>333</v>
      </c>
    </row>
    <row r="3758" spans="28:29">
      <c r="AB3758" s="231" t="s">
        <v>4147</v>
      </c>
      <c r="AC3758" s="217" t="s">
        <v>333</v>
      </c>
    </row>
    <row r="3759" spans="28:29">
      <c r="AB3759" s="231" t="s">
        <v>4148</v>
      </c>
      <c r="AC3759" s="217" t="s">
        <v>333</v>
      </c>
    </row>
    <row r="3760" spans="28:29">
      <c r="AB3760" s="231" t="s">
        <v>4149</v>
      </c>
      <c r="AC3760" s="217" t="s">
        <v>333</v>
      </c>
    </row>
    <row r="3761" spans="28:29">
      <c r="AB3761" s="231" t="s">
        <v>4150</v>
      </c>
      <c r="AC3761" s="217" t="s">
        <v>333</v>
      </c>
    </row>
    <row r="3762" spans="28:29">
      <c r="AB3762" s="231" t="s">
        <v>4151</v>
      </c>
      <c r="AC3762" s="217" t="s">
        <v>333</v>
      </c>
    </row>
    <row r="3763" spans="28:29">
      <c r="AB3763" s="231" t="s">
        <v>4152</v>
      </c>
      <c r="AC3763" s="217" t="s">
        <v>333</v>
      </c>
    </row>
    <row r="3764" spans="28:29">
      <c r="AB3764" s="231" t="s">
        <v>4153</v>
      </c>
      <c r="AC3764" s="217" t="s">
        <v>333</v>
      </c>
    </row>
    <row r="3765" spans="28:29">
      <c r="AB3765" s="231" t="s">
        <v>4154</v>
      </c>
      <c r="AC3765" s="217" t="s">
        <v>333</v>
      </c>
    </row>
    <row r="3766" spans="28:29">
      <c r="AB3766" s="231" t="s">
        <v>4155</v>
      </c>
      <c r="AC3766" s="217" t="s">
        <v>333</v>
      </c>
    </row>
    <row r="3767" spans="28:29">
      <c r="AB3767" s="231" t="s">
        <v>4156</v>
      </c>
      <c r="AC3767" s="217" t="s">
        <v>333</v>
      </c>
    </row>
    <row r="3768" spans="28:29">
      <c r="AB3768" s="231" t="s">
        <v>4157</v>
      </c>
      <c r="AC3768" s="217" t="s">
        <v>333</v>
      </c>
    </row>
    <row r="3769" spans="28:29">
      <c r="AB3769" s="231" t="s">
        <v>4158</v>
      </c>
      <c r="AC3769" s="217" t="s">
        <v>333</v>
      </c>
    </row>
    <row r="3770" spans="28:29">
      <c r="AB3770" s="231" t="s">
        <v>4159</v>
      </c>
      <c r="AC3770" s="217" t="s">
        <v>333</v>
      </c>
    </row>
    <row r="3771" spans="28:29">
      <c r="AB3771" s="231" t="s">
        <v>4160</v>
      </c>
      <c r="AC3771" s="217" t="s">
        <v>333</v>
      </c>
    </row>
    <row r="3772" spans="28:29">
      <c r="AB3772" s="231" t="s">
        <v>4161</v>
      </c>
      <c r="AC3772" s="217" t="s">
        <v>333</v>
      </c>
    </row>
    <row r="3773" spans="28:29">
      <c r="AB3773" s="231" t="s">
        <v>4162</v>
      </c>
      <c r="AC3773" s="217" t="s">
        <v>333</v>
      </c>
    </row>
    <row r="3774" spans="28:29">
      <c r="AB3774" s="231" t="s">
        <v>4163</v>
      </c>
      <c r="AC3774" s="217" t="s">
        <v>333</v>
      </c>
    </row>
    <row r="3775" spans="28:29">
      <c r="AB3775" s="231" t="s">
        <v>4164</v>
      </c>
      <c r="AC3775" s="217" t="s">
        <v>333</v>
      </c>
    </row>
    <row r="3776" spans="28:29">
      <c r="AB3776" s="231" t="s">
        <v>4165</v>
      </c>
      <c r="AC3776" s="217" t="s">
        <v>333</v>
      </c>
    </row>
    <row r="3777" spans="28:29">
      <c r="AB3777" s="231" t="s">
        <v>4166</v>
      </c>
      <c r="AC3777" s="217" t="s">
        <v>333</v>
      </c>
    </row>
    <row r="3778" spans="28:29">
      <c r="AB3778" s="231" t="s">
        <v>4167</v>
      </c>
      <c r="AC3778" s="217" t="s">
        <v>333</v>
      </c>
    </row>
    <row r="3779" spans="28:29">
      <c r="AB3779" s="231" t="s">
        <v>4168</v>
      </c>
      <c r="AC3779" s="217" t="s">
        <v>333</v>
      </c>
    </row>
    <row r="3780" spans="28:29">
      <c r="AB3780" s="231" t="s">
        <v>4169</v>
      </c>
      <c r="AC3780" s="217" t="s">
        <v>333</v>
      </c>
    </row>
    <row r="3781" spans="28:29">
      <c r="AB3781" s="231" t="s">
        <v>4170</v>
      </c>
      <c r="AC3781" s="217" t="s">
        <v>333</v>
      </c>
    </row>
    <row r="3782" spans="28:29">
      <c r="AB3782" s="231" t="s">
        <v>4171</v>
      </c>
      <c r="AC3782" s="217" t="s">
        <v>333</v>
      </c>
    </row>
    <row r="3783" spans="28:29">
      <c r="AB3783" s="231" t="s">
        <v>4172</v>
      </c>
      <c r="AC3783" s="217" t="s">
        <v>333</v>
      </c>
    </row>
    <row r="3784" spans="28:29">
      <c r="AB3784" s="231" t="s">
        <v>4173</v>
      </c>
      <c r="AC3784" s="217" t="s">
        <v>333</v>
      </c>
    </row>
    <row r="3785" spans="28:29">
      <c r="AB3785" s="231" t="s">
        <v>4174</v>
      </c>
      <c r="AC3785" s="217" t="s">
        <v>333</v>
      </c>
    </row>
    <row r="3786" spans="28:29">
      <c r="AB3786" s="231" t="s">
        <v>4175</v>
      </c>
      <c r="AC3786" s="217" t="s">
        <v>333</v>
      </c>
    </row>
    <row r="3787" spans="28:29">
      <c r="AB3787" s="231" t="s">
        <v>4176</v>
      </c>
      <c r="AC3787" s="217" t="s">
        <v>333</v>
      </c>
    </row>
    <row r="3788" spans="28:29">
      <c r="AB3788" s="231" t="s">
        <v>4177</v>
      </c>
      <c r="AC3788" s="217" t="s">
        <v>333</v>
      </c>
    </row>
    <row r="3789" spans="28:29">
      <c r="AB3789" s="231" t="s">
        <v>4178</v>
      </c>
      <c r="AC3789" s="217" t="s">
        <v>333</v>
      </c>
    </row>
    <row r="3790" spans="28:29">
      <c r="AB3790" s="231" t="s">
        <v>4179</v>
      </c>
      <c r="AC3790" s="217" t="s">
        <v>333</v>
      </c>
    </row>
    <row r="3791" spans="28:29">
      <c r="AB3791" s="231" t="s">
        <v>4180</v>
      </c>
      <c r="AC3791" s="217" t="s">
        <v>333</v>
      </c>
    </row>
    <row r="3792" spans="28:29">
      <c r="AB3792" s="231" t="s">
        <v>4181</v>
      </c>
      <c r="AC3792" s="217" t="s">
        <v>333</v>
      </c>
    </row>
    <row r="3793" spans="28:29">
      <c r="AB3793" s="231" t="s">
        <v>4182</v>
      </c>
      <c r="AC3793" s="217" t="s">
        <v>333</v>
      </c>
    </row>
    <row r="3794" spans="28:29">
      <c r="AB3794" s="231" t="s">
        <v>4183</v>
      </c>
      <c r="AC3794" s="217" t="s">
        <v>333</v>
      </c>
    </row>
    <row r="3795" spans="28:29">
      <c r="AB3795" s="231" t="s">
        <v>4184</v>
      </c>
      <c r="AC3795" s="217" t="s">
        <v>333</v>
      </c>
    </row>
    <row r="3796" spans="28:29">
      <c r="AB3796" s="231" t="s">
        <v>4185</v>
      </c>
      <c r="AC3796" s="217" t="s">
        <v>333</v>
      </c>
    </row>
    <row r="3797" spans="28:29">
      <c r="AB3797" s="231" t="s">
        <v>4186</v>
      </c>
      <c r="AC3797" s="217" t="s">
        <v>333</v>
      </c>
    </row>
    <row r="3798" spans="28:29">
      <c r="AB3798" s="231" t="s">
        <v>4187</v>
      </c>
      <c r="AC3798" s="217" t="s">
        <v>333</v>
      </c>
    </row>
    <row r="3799" spans="28:29">
      <c r="AB3799" s="231" t="s">
        <v>4188</v>
      </c>
      <c r="AC3799" s="217" t="s">
        <v>333</v>
      </c>
    </row>
    <row r="3800" spans="28:29">
      <c r="AB3800" s="231" t="s">
        <v>4189</v>
      </c>
      <c r="AC3800" s="217" t="s">
        <v>333</v>
      </c>
    </row>
    <row r="3801" spans="28:29">
      <c r="AB3801" s="231" t="s">
        <v>4190</v>
      </c>
      <c r="AC3801" s="217" t="s">
        <v>333</v>
      </c>
    </row>
    <row r="3802" spans="28:29">
      <c r="AB3802" s="231" t="s">
        <v>4191</v>
      </c>
      <c r="AC3802" s="217" t="s">
        <v>333</v>
      </c>
    </row>
    <row r="3803" spans="28:29">
      <c r="AB3803" s="231" t="s">
        <v>4192</v>
      </c>
      <c r="AC3803" s="217" t="s">
        <v>333</v>
      </c>
    </row>
    <row r="3804" spans="28:29">
      <c r="AB3804" s="231" t="s">
        <v>4193</v>
      </c>
      <c r="AC3804" s="217" t="s">
        <v>333</v>
      </c>
    </row>
    <row r="3805" spans="28:29">
      <c r="AB3805" s="231" t="s">
        <v>4194</v>
      </c>
      <c r="AC3805" s="217" t="s">
        <v>333</v>
      </c>
    </row>
    <row r="3806" spans="28:29">
      <c r="AB3806" s="231" t="s">
        <v>4195</v>
      </c>
      <c r="AC3806" s="217" t="s">
        <v>333</v>
      </c>
    </row>
    <row r="3807" spans="28:29">
      <c r="AB3807" s="231" t="s">
        <v>4196</v>
      </c>
      <c r="AC3807" s="217" t="s">
        <v>333</v>
      </c>
    </row>
    <row r="3808" spans="28:29">
      <c r="AB3808" s="231" t="s">
        <v>4197</v>
      </c>
      <c r="AC3808" s="217" t="s">
        <v>333</v>
      </c>
    </row>
    <row r="3809" spans="28:29">
      <c r="AB3809" s="231" t="s">
        <v>4198</v>
      </c>
      <c r="AC3809" s="217" t="s">
        <v>333</v>
      </c>
    </row>
    <row r="3810" spans="28:29">
      <c r="AB3810" s="231" t="s">
        <v>4199</v>
      </c>
      <c r="AC3810" s="217" t="s">
        <v>333</v>
      </c>
    </row>
    <row r="3811" spans="28:29">
      <c r="AB3811" s="231" t="s">
        <v>4200</v>
      </c>
      <c r="AC3811" s="217" t="s">
        <v>333</v>
      </c>
    </row>
    <row r="3812" spans="28:29">
      <c r="AB3812" s="231" t="s">
        <v>4201</v>
      </c>
      <c r="AC3812" s="217" t="s">
        <v>333</v>
      </c>
    </row>
    <row r="3813" spans="28:29">
      <c r="AB3813" s="231" t="s">
        <v>4202</v>
      </c>
      <c r="AC3813" s="217" t="s">
        <v>333</v>
      </c>
    </row>
    <row r="3814" spans="28:29">
      <c r="AB3814" s="231" t="s">
        <v>4203</v>
      </c>
      <c r="AC3814" s="217" t="s">
        <v>333</v>
      </c>
    </row>
    <row r="3815" spans="28:29">
      <c r="AB3815" s="231" t="s">
        <v>4204</v>
      </c>
      <c r="AC3815" s="217" t="s">
        <v>333</v>
      </c>
    </row>
    <row r="3816" spans="28:29">
      <c r="AB3816" s="231" t="s">
        <v>4205</v>
      </c>
      <c r="AC3816" s="217" t="s">
        <v>333</v>
      </c>
    </row>
    <row r="3817" spans="28:29">
      <c r="AB3817" s="231" t="s">
        <v>4206</v>
      </c>
      <c r="AC3817" s="217" t="s">
        <v>333</v>
      </c>
    </row>
    <row r="3818" spans="28:29">
      <c r="AB3818" s="231" t="s">
        <v>4207</v>
      </c>
      <c r="AC3818" s="217" t="s">
        <v>333</v>
      </c>
    </row>
    <row r="3819" spans="28:29">
      <c r="AB3819" s="231" t="s">
        <v>4208</v>
      </c>
      <c r="AC3819" s="217" t="s">
        <v>333</v>
      </c>
    </row>
    <row r="3820" spans="28:29">
      <c r="AB3820" s="231" t="s">
        <v>4209</v>
      </c>
      <c r="AC3820" s="217" t="s">
        <v>333</v>
      </c>
    </row>
    <row r="3821" spans="28:29">
      <c r="AB3821" s="231" t="s">
        <v>4210</v>
      </c>
      <c r="AC3821" s="217" t="s">
        <v>333</v>
      </c>
    </row>
    <row r="3822" spans="28:29">
      <c r="AB3822" s="231" t="s">
        <v>4211</v>
      </c>
      <c r="AC3822" s="217" t="s">
        <v>333</v>
      </c>
    </row>
    <row r="3823" spans="28:29">
      <c r="AB3823" s="231" t="s">
        <v>4212</v>
      </c>
      <c r="AC3823" s="217" t="s">
        <v>333</v>
      </c>
    </row>
    <row r="3824" spans="28:29">
      <c r="AB3824" s="231" t="s">
        <v>4213</v>
      </c>
      <c r="AC3824" s="217" t="s">
        <v>333</v>
      </c>
    </row>
    <row r="3825" spans="28:29">
      <c r="AB3825" s="231" t="s">
        <v>4214</v>
      </c>
      <c r="AC3825" s="217" t="s">
        <v>333</v>
      </c>
    </row>
    <row r="3826" spans="28:29">
      <c r="AB3826" s="231" t="s">
        <v>4215</v>
      </c>
      <c r="AC3826" s="217" t="s">
        <v>333</v>
      </c>
    </row>
    <row r="3827" spans="28:29">
      <c r="AB3827" s="231" t="s">
        <v>4216</v>
      </c>
      <c r="AC3827" s="217" t="s">
        <v>333</v>
      </c>
    </row>
    <row r="3828" spans="28:29">
      <c r="AB3828" s="231" t="s">
        <v>4217</v>
      </c>
      <c r="AC3828" s="217" t="s">
        <v>333</v>
      </c>
    </row>
    <row r="3829" spans="28:29">
      <c r="AB3829" s="231" t="s">
        <v>4218</v>
      </c>
      <c r="AC3829" s="217" t="s">
        <v>333</v>
      </c>
    </row>
    <row r="3830" spans="28:29">
      <c r="AB3830" s="231" t="s">
        <v>4219</v>
      </c>
      <c r="AC3830" s="217" t="s">
        <v>333</v>
      </c>
    </row>
    <row r="3831" spans="28:29">
      <c r="AB3831" s="231" t="s">
        <v>4220</v>
      </c>
      <c r="AC3831" s="217" t="s">
        <v>333</v>
      </c>
    </row>
    <row r="3832" spans="28:29">
      <c r="AB3832" s="231" t="s">
        <v>4221</v>
      </c>
      <c r="AC3832" s="217" t="s">
        <v>333</v>
      </c>
    </row>
    <row r="3833" spans="28:29">
      <c r="AB3833" s="231" t="s">
        <v>4222</v>
      </c>
      <c r="AC3833" s="217" t="s">
        <v>333</v>
      </c>
    </row>
    <row r="3834" spans="28:29">
      <c r="AB3834" s="231" t="s">
        <v>4223</v>
      </c>
      <c r="AC3834" s="217" t="s">
        <v>333</v>
      </c>
    </row>
    <row r="3835" spans="28:29">
      <c r="AB3835" s="231" t="s">
        <v>4224</v>
      </c>
      <c r="AC3835" s="217" t="s">
        <v>333</v>
      </c>
    </row>
    <row r="3836" spans="28:29">
      <c r="AB3836" s="231" t="s">
        <v>4225</v>
      </c>
      <c r="AC3836" s="217" t="s">
        <v>333</v>
      </c>
    </row>
    <row r="3837" spans="28:29">
      <c r="AB3837" s="231" t="s">
        <v>4226</v>
      </c>
      <c r="AC3837" s="217" t="s">
        <v>333</v>
      </c>
    </row>
    <row r="3838" spans="28:29">
      <c r="AB3838" s="231" t="s">
        <v>4227</v>
      </c>
      <c r="AC3838" s="217" t="s">
        <v>333</v>
      </c>
    </row>
    <row r="3839" spans="28:29">
      <c r="AB3839" s="231" t="s">
        <v>4228</v>
      </c>
      <c r="AC3839" s="217" t="s">
        <v>333</v>
      </c>
    </row>
    <row r="3840" spans="28:29">
      <c r="AB3840" s="231" t="s">
        <v>4229</v>
      </c>
      <c r="AC3840" s="217" t="s">
        <v>333</v>
      </c>
    </row>
    <row r="3841" spans="28:29">
      <c r="AB3841" s="231" t="s">
        <v>4230</v>
      </c>
      <c r="AC3841" s="217" t="s">
        <v>333</v>
      </c>
    </row>
    <row r="3842" spans="28:29">
      <c r="AB3842" s="231" t="s">
        <v>4231</v>
      </c>
      <c r="AC3842" s="217" t="s">
        <v>333</v>
      </c>
    </row>
    <row r="3843" spans="28:29">
      <c r="AB3843" s="231" t="s">
        <v>4232</v>
      </c>
      <c r="AC3843" s="217" t="s">
        <v>333</v>
      </c>
    </row>
    <row r="3844" spans="28:29">
      <c r="AB3844" s="231" t="s">
        <v>4233</v>
      </c>
      <c r="AC3844" s="217" t="s">
        <v>333</v>
      </c>
    </row>
    <row r="3845" spans="28:29">
      <c r="AB3845" s="231" t="s">
        <v>4234</v>
      </c>
      <c r="AC3845" s="217" t="s">
        <v>333</v>
      </c>
    </row>
    <row r="3846" spans="28:29">
      <c r="AB3846" s="231" t="s">
        <v>4235</v>
      </c>
      <c r="AC3846" s="217" t="s">
        <v>333</v>
      </c>
    </row>
    <row r="3847" spans="28:29">
      <c r="AB3847" s="231" t="s">
        <v>4236</v>
      </c>
      <c r="AC3847" s="217" t="s">
        <v>333</v>
      </c>
    </row>
    <row r="3848" spans="28:29">
      <c r="AB3848" s="231" t="s">
        <v>4237</v>
      </c>
      <c r="AC3848" s="217" t="s">
        <v>333</v>
      </c>
    </row>
    <row r="3849" spans="28:29">
      <c r="AB3849" s="231" t="s">
        <v>4238</v>
      </c>
      <c r="AC3849" s="217" t="s">
        <v>333</v>
      </c>
    </row>
    <row r="3850" spans="28:29">
      <c r="AB3850" s="231" t="s">
        <v>4239</v>
      </c>
      <c r="AC3850" s="217" t="s">
        <v>333</v>
      </c>
    </row>
    <row r="3851" spans="28:29">
      <c r="AB3851" s="231" t="s">
        <v>4240</v>
      </c>
      <c r="AC3851" s="217" t="s">
        <v>333</v>
      </c>
    </row>
    <row r="3852" spans="28:29">
      <c r="AB3852" s="231" t="s">
        <v>4241</v>
      </c>
      <c r="AC3852" s="217" t="s">
        <v>333</v>
      </c>
    </row>
    <row r="3853" spans="28:29">
      <c r="AB3853" s="231" t="s">
        <v>4242</v>
      </c>
      <c r="AC3853" s="217" t="s">
        <v>333</v>
      </c>
    </row>
    <row r="3854" spans="28:29">
      <c r="AB3854" s="231" t="s">
        <v>4243</v>
      </c>
      <c r="AC3854" s="217" t="s">
        <v>333</v>
      </c>
    </row>
    <row r="3855" spans="28:29">
      <c r="AB3855" s="231" t="s">
        <v>4244</v>
      </c>
      <c r="AC3855" s="217" t="s">
        <v>333</v>
      </c>
    </row>
    <row r="3856" spans="28:29">
      <c r="AB3856" s="231" t="s">
        <v>4245</v>
      </c>
      <c r="AC3856" s="217" t="s">
        <v>333</v>
      </c>
    </row>
    <row r="3857" spans="28:29">
      <c r="AB3857" s="231" t="s">
        <v>4246</v>
      </c>
      <c r="AC3857" s="217" t="s">
        <v>333</v>
      </c>
    </row>
    <row r="3858" spans="28:29">
      <c r="AB3858" s="231" t="s">
        <v>4247</v>
      </c>
      <c r="AC3858" s="217" t="s">
        <v>333</v>
      </c>
    </row>
    <row r="3859" spans="28:29">
      <c r="AB3859" s="231" t="s">
        <v>4248</v>
      </c>
      <c r="AC3859" s="217" t="s">
        <v>333</v>
      </c>
    </row>
    <row r="3860" spans="28:29">
      <c r="AB3860" s="231" t="s">
        <v>4249</v>
      </c>
      <c r="AC3860" s="217" t="s">
        <v>333</v>
      </c>
    </row>
    <row r="3861" spans="28:29">
      <c r="AB3861" s="231" t="s">
        <v>4250</v>
      </c>
      <c r="AC3861" s="217" t="s">
        <v>333</v>
      </c>
    </row>
    <row r="3862" spans="28:29">
      <c r="AB3862" s="231" t="s">
        <v>4251</v>
      </c>
      <c r="AC3862" s="217" t="s">
        <v>333</v>
      </c>
    </row>
    <row r="3863" spans="28:29">
      <c r="AB3863" s="231" t="s">
        <v>4252</v>
      </c>
      <c r="AC3863" s="217" t="s">
        <v>333</v>
      </c>
    </row>
    <row r="3864" spans="28:29">
      <c r="AB3864" s="231" t="s">
        <v>4253</v>
      </c>
      <c r="AC3864" s="217" t="s">
        <v>333</v>
      </c>
    </row>
    <row r="3865" spans="28:29">
      <c r="AB3865" s="231" t="s">
        <v>4254</v>
      </c>
      <c r="AC3865" s="217" t="s">
        <v>333</v>
      </c>
    </row>
    <row r="3866" spans="28:29">
      <c r="AB3866" s="231" t="s">
        <v>4255</v>
      </c>
      <c r="AC3866" s="217" t="s">
        <v>333</v>
      </c>
    </row>
    <row r="3867" spans="28:29">
      <c r="AB3867" s="231" t="s">
        <v>4256</v>
      </c>
      <c r="AC3867" s="217" t="s">
        <v>333</v>
      </c>
    </row>
    <row r="3868" spans="28:29">
      <c r="AB3868" s="231" t="s">
        <v>4257</v>
      </c>
      <c r="AC3868" s="217" t="s">
        <v>333</v>
      </c>
    </row>
    <row r="3869" spans="28:29">
      <c r="AB3869" s="231" t="s">
        <v>4258</v>
      </c>
      <c r="AC3869" s="217" t="s">
        <v>333</v>
      </c>
    </row>
    <row r="3870" spans="28:29">
      <c r="AB3870" s="231" t="s">
        <v>4259</v>
      </c>
      <c r="AC3870" s="217" t="s">
        <v>333</v>
      </c>
    </row>
    <row r="3871" spans="28:29">
      <c r="AB3871" s="231" t="s">
        <v>4260</v>
      </c>
      <c r="AC3871" s="217" t="s">
        <v>333</v>
      </c>
    </row>
    <row r="3872" spans="28:29">
      <c r="AB3872" s="231" t="s">
        <v>4261</v>
      </c>
      <c r="AC3872" s="217" t="s">
        <v>333</v>
      </c>
    </row>
    <row r="3873" spans="28:29">
      <c r="AB3873" s="231" t="s">
        <v>4262</v>
      </c>
      <c r="AC3873" s="217" t="s">
        <v>333</v>
      </c>
    </row>
    <row r="3874" spans="28:29">
      <c r="AB3874" s="231" t="s">
        <v>4263</v>
      </c>
      <c r="AC3874" s="217" t="s">
        <v>333</v>
      </c>
    </row>
    <row r="3875" spans="28:29">
      <c r="AB3875" s="231" t="s">
        <v>4264</v>
      </c>
      <c r="AC3875" s="217" t="s">
        <v>333</v>
      </c>
    </row>
    <row r="3876" spans="28:29">
      <c r="AB3876" s="231" t="s">
        <v>4265</v>
      </c>
      <c r="AC3876" s="217" t="s">
        <v>333</v>
      </c>
    </row>
    <row r="3877" spans="28:29">
      <c r="AB3877" s="231" t="s">
        <v>4266</v>
      </c>
      <c r="AC3877" s="217" t="s">
        <v>333</v>
      </c>
    </row>
    <row r="3878" spans="28:29">
      <c r="AB3878" s="231" t="s">
        <v>4267</v>
      </c>
      <c r="AC3878" s="217" t="s">
        <v>333</v>
      </c>
    </row>
    <row r="3879" spans="28:29">
      <c r="AB3879" s="231" t="s">
        <v>4268</v>
      </c>
      <c r="AC3879" s="217" t="s">
        <v>333</v>
      </c>
    </row>
    <row r="3880" spans="28:29">
      <c r="AB3880" s="231" t="s">
        <v>4269</v>
      </c>
      <c r="AC3880" s="217" t="s">
        <v>333</v>
      </c>
    </row>
    <row r="3881" spans="28:29">
      <c r="AB3881" s="231" t="s">
        <v>4270</v>
      </c>
      <c r="AC3881" s="217" t="s">
        <v>333</v>
      </c>
    </row>
    <row r="3882" spans="28:29">
      <c r="AB3882" s="231" t="s">
        <v>4271</v>
      </c>
      <c r="AC3882" s="217" t="s">
        <v>333</v>
      </c>
    </row>
    <row r="3883" spans="28:29">
      <c r="AB3883" s="231" t="s">
        <v>4272</v>
      </c>
      <c r="AC3883" s="217" t="s">
        <v>333</v>
      </c>
    </row>
    <row r="3884" spans="28:29">
      <c r="AB3884" s="231" t="s">
        <v>4273</v>
      </c>
      <c r="AC3884" s="217" t="s">
        <v>333</v>
      </c>
    </row>
    <row r="3885" spans="28:29">
      <c r="AB3885" s="231" t="s">
        <v>4274</v>
      </c>
      <c r="AC3885" s="217" t="s">
        <v>333</v>
      </c>
    </row>
    <row r="3886" spans="28:29">
      <c r="AB3886" s="231" t="s">
        <v>4275</v>
      </c>
      <c r="AC3886" s="217" t="s">
        <v>333</v>
      </c>
    </row>
    <row r="3887" spans="28:29">
      <c r="AB3887" s="231" t="s">
        <v>4276</v>
      </c>
      <c r="AC3887" s="217" t="s">
        <v>333</v>
      </c>
    </row>
    <row r="3888" spans="28:29">
      <c r="AB3888" s="231" t="s">
        <v>4277</v>
      </c>
      <c r="AC3888" s="217" t="s">
        <v>333</v>
      </c>
    </row>
    <row r="3889" spans="28:29">
      <c r="AB3889" s="231" t="s">
        <v>4278</v>
      </c>
      <c r="AC3889" s="217" t="s">
        <v>333</v>
      </c>
    </row>
    <row r="3890" spans="28:29">
      <c r="AB3890" s="231" t="s">
        <v>4279</v>
      </c>
      <c r="AC3890" s="217" t="s">
        <v>333</v>
      </c>
    </row>
    <row r="3891" spans="28:29">
      <c r="AB3891" s="231" t="s">
        <v>4280</v>
      </c>
      <c r="AC3891" s="217" t="s">
        <v>333</v>
      </c>
    </row>
    <row r="3892" spans="28:29">
      <c r="AB3892" s="231" t="s">
        <v>4281</v>
      </c>
      <c r="AC3892" s="217" t="s">
        <v>333</v>
      </c>
    </row>
    <row r="3893" spans="28:29">
      <c r="AB3893" s="231" t="s">
        <v>4282</v>
      </c>
      <c r="AC3893" s="217" t="s">
        <v>333</v>
      </c>
    </row>
    <row r="3894" spans="28:29">
      <c r="AB3894" s="231" t="s">
        <v>4283</v>
      </c>
      <c r="AC3894" s="217" t="s">
        <v>333</v>
      </c>
    </row>
    <row r="3895" spans="28:29">
      <c r="AB3895" s="231" t="s">
        <v>4284</v>
      </c>
      <c r="AC3895" s="217" t="s">
        <v>333</v>
      </c>
    </row>
    <row r="3896" spans="28:29">
      <c r="AB3896" s="231" t="s">
        <v>4285</v>
      </c>
      <c r="AC3896" s="217" t="s">
        <v>333</v>
      </c>
    </row>
    <row r="3897" spans="28:29">
      <c r="AB3897" s="231" t="s">
        <v>4286</v>
      </c>
      <c r="AC3897" s="217" t="s">
        <v>333</v>
      </c>
    </row>
    <row r="3898" spans="28:29">
      <c r="AB3898" s="231" t="s">
        <v>4287</v>
      </c>
      <c r="AC3898" s="217" t="s">
        <v>333</v>
      </c>
    </row>
    <row r="3899" spans="28:29">
      <c r="AB3899" s="231" t="s">
        <v>4288</v>
      </c>
      <c r="AC3899" s="217" t="s">
        <v>333</v>
      </c>
    </row>
    <row r="3900" spans="28:29">
      <c r="AB3900" s="231" t="s">
        <v>4289</v>
      </c>
      <c r="AC3900" s="217" t="s">
        <v>333</v>
      </c>
    </row>
    <row r="3901" spans="28:29">
      <c r="AB3901" s="231" t="s">
        <v>4290</v>
      </c>
      <c r="AC3901" s="217" t="s">
        <v>333</v>
      </c>
    </row>
    <row r="3902" spans="28:29">
      <c r="AB3902" s="231" t="s">
        <v>4291</v>
      </c>
      <c r="AC3902" s="217" t="s">
        <v>333</v>
      </c>
    </row>
    <row r="3903" spans="28:29">
      <c r="AB3903" s="231" t="s">
        <v>4292</v>
      </c>
      <c r="AC3903" s="217" t="s">
        <v>333</v>
      </c>
    </row>
    <row r="3904" spans="28:29">
      <c r="AB3904" s="231" t="s">
        <v>4293</v>
      </c>
      <c r="AC3904" s="217" t="s">
        <v>333</v>
      </c>
    </row>
    <row r="3905" spans="28:29">
      <c r="AB3905" s="231" t="s">
        <v>4294</v>
      </c>
      <c r="AC3905" s="217" t="s">
        <v>333</v>
      </c>
    </row>
    <row r="3906" spans="28:29">
      <c r="AB3906" s="231" t="s">
        <v>4295</v>
      </c>
      <c r="AC3906" s="217" t="s">
        <v>333</v>
      </c>
    </row>
    <row r="3907" spans="28:29">
      <c r="AB3907" s="231" t="s">
        <v>4296</v>
      </c>
      <c r="AC3907" s="217" t="s">
        <v>333</v>
      </c>
    </row>
    <row r="3908" spans="28:29">
      <c r="AB3908" s="231" t="s">
        <v>4297</v>
      </c>
      <c r="AC3908" s="217" t="s">
        <v>333</v>
      </c>
    </row>
    <row r="3909" spans="28:29">
      <c r="AB3909" s="231" t="s">
        <v>4298</v>
      </c>
      <c r="AC3909" s="217" t="s">
        <v>333</v>
      </c>
    </row>
    <row r="3910" spans="28:29">
      <c r="AB3910" s="231" t="s">
        <v>4299</v>
      </c>
      <c r="AC3910" s="217" t="s">
        <v>333</v>
      </c>
    </row>
    <row r="3911" spans="28:29">
      <c r="AB3911" s="231" t="s">
        <v>4300</v>
      </c>
      <c r="AC3911" s="217" t="s">
        <v>333</v>
      </c>
    </row>
    <row r="3912" spans="28:29">
      <c r="AB3912" s="231" t="s">
        <v>4301</v>
      </c>
      <c r="AC3912" s="217" t="s">
        <v>333</v>
      </c>
    </row>
    <row r="3913" spans="28:29">
      <c r="AB3913" s="231" t="s">
        <v>4302</v>
      </c>
      <c r="AC3913" s="217" t="s">
        <v>333</v>
      </c>
    </row>
    <row r="3914" spans="28:29">
      <c r="AB3914" s="231" t="s">
        <v>4303</v>
      </c>
      <c r="AC3914" s="217" t="s">
        <v>333</v>
      </c>
    </row>
    <row r="3915" spans="28:29">
      <c r="AB3915" s="231" t="s">
        <v>4304</v>
      </c>
      <c r="AC3915" s="217" t="s">
        <v>333</v>
      </c>
    </row>
    <row r="3916" spans="28:29">
      <c r="AB3916" s="231" t="s">
        <v>4305</v>
      </c>
      <c r="AC3916" s="217" t="s">
        <v>333</v>
      </c>
    </row>
    <row r="3917" spans="28:29">
      <c r="AB3917" s="231" t="s">
        <v>4306</v>
      </c>
      <c r="AC3917" s="217" t="s">
        <v>333</v>
      </c>
    </row>
    <row r="3918" spans="28:29">
      <c r="AB3918" s="231" t="s">
        <v>4307</v>
      </c>
      <c r="AC3918" s="217" t="s">
        <v>333</v>
      </c>
    </row>
    <row r="3919" spans="28:29">
      <c r="AB3919" s="231" t="s">
        <v>4308</v>
      </c>
      <c r="AC3919" s="217" t="s">
        <v>333</v>
      </c>
    </row>
    <row r="3920" spans="28:29">
      <c r="AB3920" s="231" t="s">
        <v>4309</v>
      </c>
      <c r="AC3920" s="217" t="s">
        <v>333</v>
      </c>
    </row>
    <row r="3921" spans="28:29">
      <c r="AB3921" s="231" t="s">
        <v>4310</v>
      </c>
      <c r="AC3921" s="217" t="s">
        <v>333</v>
      </c>
    </row>
    <row r="3922" spans="28:29">
      <c r="AB3922" s="231" t="s">
        <v>4311</v>
      </c>
      <c r="AC3922" s="217" t="s">
        <v>333</v>
      </c>
    </row>
    <row r="3923" spans="28:29">
      <c r="AB3923" s="231" t="s">
        <v>4312</v>
      </c>
      <c r="AC3923" s="217" t="s">
        <v>333</v>
      </c>
    </row>
    <row r="3924" spans="28:29">
      <c r="AB3924" s="231" t="s">
        <v>4313</v>
      </c>
      <c r="AC3924" s="217" t="s">
        <v>333</v>
      </c>
    </row>
    <row r="3925" spans="28:29">
      <c r="AB3925" s="231" t="s">
        <v>4314</v>
      </c>
      <c r="AC3925" s="217" t="s">
        <v>333</v>
      </c>
    </row>
    <row r="3926" spans="28:29">
      <c r="AB3926" s="231" t="s">
        <v>4315</v>
      </c>
      <c r="AC3926" s="217" t="s">
        <v>333</v>
      </c>
    </row>
    <row r="3927" spans="28:29">
      <c r="AB3927" s="231" t="s">
        <v>4316</v>
      </c>
      <c r="AC3927" s="217" t="s">
        <v>333</v>
      </c>
    </row>
    <row r="3928" spans="28:29">
      <c r="AB3928" s="231" t="s">
        <v>4317</v>
      </c>
      <c r="AC3928" s="217" t="s">
        <v>333</v>
      </c>
    </row>
    <row r="3929" spans="28:29">
      <c r="AB3929" s="231" t="s">
        <v>4318</v>
      </c>
      <c r="AC3929" s="217" t="s">
        <v>333</v>
      </c>
    </row>
    <row r="3930" spans="28:29">
      <c r="AB3930" s="231" t="s">
        <v>4319</v>
      </c>
      <c r="AC3930" s="217" t="s">
        <v>333</v>
      </c>
    </row>
    <row r="3931" spans="28:29">
      <c r="AB3931" s="231" t="s">
        <v>4320</v>
      </c>
      <c r="AC3931" s="217" t="s">
        <v>333</v>
      </c>
    </row>
    <row r="3932" spans="28:29">
      <c r="AB3932" s="231" t="s">
        <v>4321</v>
      </c>
      <c r="AC3932" s="217" t="s">
        <v>333</v>
      </c>
    </row>
    <row r="3933" spans="28:29">
      <c r="AB3933" s="231" t="s">
        <v>4322</v>
      </c>
      <c r="AC3933" s="217" t="s">
        <v>333</v>
      </c>
    </row>
    <row r="3934" spans="28:29">
      <c r="AB3934" s="231" t="s">
        <v>4323</v>
      </c>
      <c r="AC3934" s="217" t="s">
        <v>333</v>
      </c>
    </row>
    <row r="3935" spans="28:29">
      <c r="AB3935" s="231" t="s">
        <v>4324</v>
      </c>
      <c r="AC3935" s="217" t="s">
        <v>333</v>
      </c>
    </row>
    <row r="3936" spans="28:29">
      <c r="AB3936" s="231" t="s">
        <v>4325</v>
      </c>
      <c r="AC3936" s="217" t="s">
        <v>333</v>
      </c>
    </row>
    <row r="3937" spans="28:29">
      <c r="AB3937" s="231" t="s">
        <v>4326</v>
      </c>
      <c r="AC3937" s="217" t="s">
        <v>333</v>
      </c>
    </row>
    <row r="3938" spans="28:29">
      <c r="AB3938" s="231" t="s">
        <v>4327</v>
      </c>
      <c r="AC3938" s="217" t="s">
        <v>333</v>
      </c>
    </row>
    <row r="3939" spans="28:29">
      <c r="AB3939" s="231" t="s">
        <v>4328</v>
      </c>
      <c r="AC3939" s="217" t="s">
        <v>333</v>
      </c>
    </row>
    <row r="3940" spans="28:29">
      <c r="AB3940" s="231" t="s">
        <v>4329</v>
      </c>
      <c r="AC3940" s="217" t="s">
        <v>333</v>
      </c>
    </row>
    <row r="3941" spans="28:29">
      <c r="AB3941" s="231" t="s">
        <v>4330</v>
      </c>
      <c r="AC3941" s="217" t="s">
        <v>333</v>
      </c>
    </row>
    <row r="3942" spans="28:29">
      <c r="AB3942" s="231" t="s">
        <v>4331</v>
      </c>
      <c r="AC3942" s="217" t="s">
        <v>333</v>
      </c>
    </row>
    <row r="3943" spans="28:29">
      <c r="AB3943" s="231" t="s">
        <v>4332</v>
      </c>
      <c r="AC3943" s="217" t="s">
        <v>333</v>
      </c>
    </row>
    <row r="3944" spans="28:29">
      <c r="AB3944" s="231" t="s">
        <v>4333</v>
      </c>
      <c r="AC3944" s="217" t="s">
        <v>333</v>
      </c>
    </row>
    <row r="3945" spans="28:29">
      <c r="AB3945" s="231" t="s">
        <v>4334</v>
      </c>
      <c r="AC3945" s="217" t="s">
        <v>333</v>
      </c>
    </row>
    <row r="3946" spans="28:29">
      <c r="AB3946" s="231" t="s">
        <v>4335</v>
      </c>
      <c r="AC3946" s="217" t="s">
        <v>333</v>
      </c>
    </row>
    <row r="3947" spans="28:29">
      <c r="AB3947" s="231" t="s">
        <v>4336</v>
      </c>
      <c r="AC3947" s="217" t="s">
        <v>333</v>
      </c>
    </row>
    <row r="3948" spans="28:29">
      <c r="AB3948" s="231" t="s">
        <v>4337</v>
      </c>
      <c r="AC3948" s="217" t="s">
        <v>333</v>
      </c>
    </row>
    <row r="3949" spans="28:29">
      <c r="AB3949" s="231" t="s">
        <v>4338</v>
      </c>
      <c r="AC3949" s="217" t="s">
        <v>333</v>
      </c>
    </row>
    <row r="3950" spans="28:29">
      <c r="AB3950" s="231" t="s">
        <v>4339</v>
      </c>
      <c r="AC3950" s="217" t="s">
        <v>333</v>
      </c>
    </row>
    <row r="3951" spans="28:29">
      <c r="AB3951" s="231" t="s">
        <v>4340</v>
      </c>
      <c r="AC3951" s="217" t="s">
        <v>333</v>
      </c>
    </row>
    <row r="3952" spans="28:29">
      <c r="AB3952" s="231" t="s">
        <v>4341</v>
      </c>
      <c r="AC3952" s="217" t="s">
        <v>333</v>
      </c>
    </row>
    <row r="3953" spans="28:29">
      <c r="AB3953" s="231" t="s">
        <v>4342</v>
      </c>
      <c r="AC3953" s="217" t="s">
        <v>333</v>
      </c>
    </row>
    <row r="3954" spans="28:29">
      <c r="AB3954" s="231" t="s">
        <v>4343</v>
      </c>
      <c r="AC3954" s="217" t="s">
        <v>333</v>
      </c>
    </row>
    <row r="3955" spans="28:29">
      <c r="AB3955" s="231" t="s">
        <v>4344</v>
      </c>
      <c r="AC3955" s="217" t="s">
        <v>333</v>
      </c>
    </row>
    <row r="3956" spans="28:29">
      <c r="AB3956" s="231" t="s">
        <v>4345</v>
      </c>
      <c r="AC3956" s="217" t="s">
        <v>333</v>
      </c>
    </row>
    <row r="3957" spans="28:29">
      <c r="AB3957" s="231" t="s">
        <v>4346</v>
      </c>
      <c r="AC3957" s="217" t="s">
        <v>333</v>
      </c>
    </row>
    <row r="3958" spans="28:29">
      <c r="AB3958" s="231" t="s">
        <v>4347</v>
      </c>
      <c r="AC3958" s="217" t="s">
        <v>333</v>
      </c>
    </row>
    <row r="3959" spans="28:29">
      <c r="AB3959" s="231" t="s">
        <v>4348</v>
      </c>
      <c r="AC3959" s="217" t="s">
        <v>333</v>
      </c>
    </row>
    <row r="3960" spans="28:29">
      <c r="AB3960" s="231" t="s">
        <v>4349</v>
      </c>
      <c r="AC3960" s="217" t="s">
        <v>333</v>
      </c>
    </row>
    <row r="3961" spans="28:29">
      <c r="AB3961" s="231" t="s">
        <v>4350</v>
      </c>
      <c r="AC3961" s="217" t="s">
        <v>333</v>
      </c>
    </row>
    <row r="3962" spans="28:29">
      <c r="AB3962" s="231" t="s">
        <v>4351</v>
      </c>
      <c r="AC3962" s="217" t="s">
        <v>333</v>
      </c>
    </row>
    <row r="3963" spans="28:29">
      <c r="AB3963" s="231" t="s">
        <v>4352</v>
      </c>
      <c r="AC3963" s="217" t="s">
        <v>333</v>
      </c>
    </row>
    <row r="3964" spans="28:29">
      <c r="AB3964" s="231" t="s">
        <v>4353</v>
      </c>
      <c r="AC3964" s="217" t="s">
        <v>333</v>
      </c>
    </row>
    <row r="3965" spans="28:29">
      <c r="AB3965" s="231" t="s">
        <v>4354</v>
      </c>
      <c r="AC3965" s="217" t="s">
        <v>333</v>
      </c>
    </row>
    <row r="3966" spans="28:29">
      <c r="AB3966" s="231" t="s">
        <v>4355</v>
      </c>
      <c r="AC3966" s="217" t="s">
        <v>333</v>
      </c>
    </row>
    <row r="3967" spans="28:29">
      <c r="AB3967" s="231" t="s">
        <v>4356</v>
      </c>
      <c r="AC3967" s="217" t="s">
        <v>333</v>
      </c>
    </row>
    <row r="3968" spans="28:29">
      <c r="AB3968" s="231" t="s">
        <v>4357</v>
      </c>
      <c r="AC3968" s="217" t="s">
        <v>333</v>
      </c>
    </row>
    <row r="3969" spans="28:29">
      <c r="AB3969" s="231" t="s">
        <v>4358</v>
      </c>
      <c r="AC3969" s="217" t="s">
        <v>333</v>
      </c>
    </row>
    <row r="3970" spans="28:29">
      <c r="AB3970" s="231" t="s">
        <v>4359</v>
      </c>
      <c r="AC3970" s="217" t="s">
        <v>333</v>
      </c>
    </row>
    <row r="3971" spans="28:29">
      <c r="AB3971" s="231" t="s">
        <v>4360</v>
      </c>
      <c r="AC3971" s="217" t="s">
        <v>333</v>
      </c>
    </row>
    <row r="3972" spans="28:29">
      <c r="AB3972" s="231" t="s">
        <v>4361</v>
      </c>
      <c r="AC3972" s="217" t="s">
        <v>333</v>
      </c>
    </row>
    <row r="3973" spans="28:29">
      <c r="AB3973" s="231" t="s">
        <v>4362</v>
      </c>
      <c r="AC3973" s="217" t="s">
        <v>333</v>
      </c>
    </row>
    <row r="3974" spans="28:29">
      <c r="AB3974" s="231" t="s">
        <v>4363</v>
      </c>
      <c r="AC3974" s="217" t="s">
        <v>333</v>
      </c>
    </row>
    <row r="3975" spans="28:29">
      <c r="AB3975" s="231" t="s">
        <v>4364</v>
      </c>
      <c r="AC3975" s="217" t="s">
        <v>333</v>
      </c>
    </row>
    <row r="3976" spans="28:29">
      <c r="AB3976" s="231" t="s">
        <v>4365</v>
      </c>
      <c r="AC3976" s="217" t="s">
        <v>333</v>
      </c>
    </row>
    <row r="3977" spans="28:29">
      <c r="AB3977" s="231" t="s">
        <v>4366</v>
      </c>
      <c r="AC3977" s="217" t="s">
        <v>333</v>
      </c>
    </row>
    <row r="3978" spans="28:29">
      <c r="AB3978" s="231" t="s">
        <v>4367</v>
      </c>
      <c r="AC3978" s="217" t="s">
        <v>333</v>
      </c>
    </row>
    <row r="3979" spans="28:29">
      <c r="AB3979" s="231" t="s">
        <v>4368</v>
      </c>
      <c r="AC3979" s="217" t="s">
        <v>333</v>
      </c>
    </row>
    <row r="3980" spans="28:29">
      <c r="AB3980" s="231" t="s">
        <v>4369</v>
      </c>
      <c r="AC3980" s="217" t="s">
        <v>333</v>
      </c>
    </row>
    <row r="3981" spans="28:29">
      <c r="AB3981" s="231" t="s">
        <v>4370</v>
      </c>
      <c r="AC3981" s="217" t="s">
        <v>333</v>
      </c>
    </row>
    <row r="3982" spans="28:29">
      <c r="AB3982" s="231" t="s">
        <v>4371</v>
      </c>
      <c r="AC3982" s="217" t="s">
        <v>333</v>
      </c>
    </row>
    <row r="3983" spans="28:29">
      <c r="AB3983" s="231" t="s">
        <v>4372</v>
      </c>
      <c r="AC3983" s="217" t="s">
        <v>333</v>
      </c>
    </row>
    <row r="3984" spans="28:29">
      <c r="AB3984" s="231" t="s">
        <v>4373</v>
      </c>
      <c r="AC3984" s="217" t="s">
        <v>333</v>
      </c>
    </row>
    <row r="3985" spans="28:29">
      <c r="AB3985" s="231" t="s">
        <v>4374</v>
      </c>
      <c r="AC3985" s="217" t="s">
        <v>333</v>
      </c>
    </row>
    <row r="3986" spans="28:29">
      <c r="AB3986" s="231" t="s">
        <v>4375</v>
      </c>
      <c r="AC3986" s="217" t="s">
        <v>333</v>
      </c>
    </row>
    <row r="3987" spans="28:29">
      <c r="AB3987" s="231" t="s">
        <v>4376</v>
      </c>
      <c r="AC3987" s="217" t="s">
        <v>333</v>
      </c>
    </row>
    <row r="3988" spans="28:29">
      <c r="AB3988" s="231" t="s">
        <v>4377</v>
      </c>
      <c r="AC3988" s="217" t="s">
        <v>333</v>
      </c>
    </row>
    <row r="3989" spans="28:29">
      <c r="AB3989" s="231" t="s">
        <v>4378</v>
      </c>
      <c r="AC3989" s="217" t="s">
        <v>333</v>
      </c>
    </row>
    <row r="3990" spans="28:29">
      <c r="AB3990" s="231" t="s">
        <v>4379</v>
      </c>
      <c r="AC3990" s="217" t="s">
        <v>333</v>
      </c>
    </row>
    <row r="3991" spans="28:29">
      <c r="AB3991" s="231" t="s">
        <v>4380</v>
      </c>
      <c r="AC3991" s="217" t="s">
        <v>333</v>
      </c>
    </row>
    <row r="3992" spans="28:29">
      <c r="AB3992" s="231" t="s">
        <v>4381</v>
      </c>
      <c r="AC3992" s="217" t="s">
        <v>333</v>
      </c>
    </row>
    <row r="3993" spans="28:29">
      <c r="AB3993" s="231" t="s">
        <v>4382</v>
      </c>
      <c r="AC3993" s="217" t="s">
        <v>333</v>
      </c>
    </row>
    <row r="3994" spans="28:29">
      <c r="AB3994" s="231" t="s">
        <v>4383</v>
      </c>
      <c r="AC3994" s="217" t="s">
        <v>333</v>
      </c>
    </row>
    <row r="3995" spans="28:29">
      <c r="AB3995" s="231" t="s">
        <v>4384</v>
      </c>
      <c r="AC3995" s="217" t="s">
        <v>333</v>
      </c>
    </row>
    <row r="3996" spans="28:29">
      <c r="AB3996" s="231" t="s">
        <v>4385</v>
      </c>
      <c r="AC3996" s="217" t="s">
        <v>333</v>
      </c>
    </row>
    <row r="3997" spans="28:29">
      <c r="AB3997" s="231" t="s">
        <v>4386</v>
      </c>
      <c r="AC3997" s="217" t="s">
        <v>333</v>
      </c>
    </row>
    <row r="3998" spans="28:29">
      <c r="AB3998" s="231" t="s">
        <v>4387</v>
      </c>
      <c r="AC3998" s="217" t="s">
        <v>333</v>
      </c>
    </row>
    <row r="3999" spans="28:29">
      <c r="AB3999" s="231" t="s">
        <v>4388</v>
      </c>
      <c r="AC3999" s="217" t="s">
        <v>333</v>
      </c>
    </row>
    <row r="4000" spans="28:29">
      <c r="AB4000" s="231" t="s">
        <v>4389</v>
      </c>
      <c r="AC4000" s="217" t="s">
        <v>333</v>
      </c>
    </row>
    <row r="4001" spans="28:29">
      <c r="AB4001" s="231" t="s">
        <v>4390</v>
      </c>
      <c r="AC4001" s="217" t="s">
        <v>333</v>
      </c>
    </row>
    <row r="4002" spans="28:29">
      <c r="AB4002" s="231" t="s">
        <v>4391</v>
      </c>
      <c r="AC4002" s="217" t="s">
        <v>333</v>
      </c>
    </row>
    <row r="4003" spans="28:29">
      <c r="AB4003" s="231" t="s">
        <v>4392</v>
      </c>
      <c r="AC4003" s="217" t="s">
        <v>333</v>
      </c>
    </row>
    <row r="4004" spans="28:29">
      <c r="AB4004" s="231" t="s">
        <v>4393</v>
      </c>
      <c r="AC4004" s="217" t="s">
        <v>333</v>
      </c>
    </row>
    <row r="4005" spans="28:29">
      <c r="AB4005" s="231" t="s">
        <v>4394</v>
      </c>
      <c r="AC4005" s="217" t="s">
        <v>333</v>
      </c>
    </row>
    <row r="4006" spans="28:29">
      <c r="AB4006" s="231" t="s">
        <v>4395</v>
      </c>
      <c r="AC4006" s="217" t="s">
        <v>333</v>
      </c>
    </row>
    <row r="4007" spans="28:29">
      <c r="AB4007" s="231" t="s">
        <v>4396</v>
      </c>
      <c r="AC4007" s="217" t="s">
        <v>333</v>
      </c>
    </row>
    <row r="4008" spans="28:29">
      <c r="AB4008" s="231" t="s">
        <v>4397</v>
      </c>
      <c r="AC4008" s="217" t="s">
        <v>333</v>
      </c>
    </row>
    <row r="4009" spans="28:29">
      <c r="AB4009" s="231" t="s">
        <v>4398</v>
      </c>
      <c r="AC4009" s="217" t="s">
        <v>333</v>
      </c>
    </row>
    <row r="4010" spans="28:29">
      <c r="AB4010" s="231" t="s">
        <v>4399</v>
      </c>
      <c r="AC4010" s="217" t="s">
        <v>333</v>
      </c>
    </row>
    <row r="4011" spans="28:29">
      <c r="AB4011" s="231" t="s">
        <v>4400</v>
      </c>
      <c r="AC4011" s="217" t="s">
        <v>333</v>
      </c>
    </row>
    <row r="4012" spans="28:29">
      <c r="AB4012" s="231" t="s">
        <v>4401</v>
      </c>
      <c r="AC4012" s="217" t="s">
        <v>333</v>
      </c>
    </row>
    <row r="4013" spans="28:29">
      <c r="AB4013" s="231" t="s">
        <v>4402</v>
      </c>
      <c r="AC4013" s="217" t="s">
        <v>333</v>
      </c>
    </row>
    <row r="4014" spans="28:29">
      <c r="AB4014" s="231" t="s">
        <v>4403</v>
      </c>
      <c r="AC4014" s="217" t="s">
        <v>333</v>
      </c>
    </row>
    <row r="4015" spans="28:29">
      <c r="AB4015" s="231" t="s">
        <v>4404</v>
      </c>
      <c r="AC4015" s="217" t="s">
        <v>333</v>
      </c>
    </row>
    <row r="4016" spans="28:29">
      <c r="AB4016" s="231" t="s">
        <v>4405</v>
      </c>
      <c r="AC4016" s="217" t="s">
        <v>333</v>
      </c>
    </row>
    <row r="4017" spans="28:29">
      <c r="AB4017" s="231" t="s">
        <v>4406</v>
      </c>
      <c r="AC4017" s="217" t="s">
        <v>333</v>
      </c>
    </row>
    <row r="4018" spans="28:29">
      <c r="AB4018" s="231" t="s">
        <v>4407</v>
      </c>
      <c r="AC4018" s="217" t="s">
        <v>333</v>
      </c>
    </row>
    <row r="4019" spans="28:29">
      <c r="AB4019" s="231" t="s">
        <v>4408</v>
      </c>
      <c r="AC4019" s="217" t="s">
        <v>333</v>
      </c>
    </row>
    <row r="4020" spans="28:29">
      <c r="AB4020" s="231" t="s">
        <v>4409</v>
      </c>
      <c r="AC4020" s="217" t="s">
        <v>333</v>
      </c>
    </row>
    <row r="4021" spans="28:29">
      <c r="AB4021" s="231" t="s">
        <v>4410</v>
      </c>
      <c r="AC4021" s="217" t="s">
        <v>333</v>
      </c>
    </row>
    <row r="4022" spans="28:29">
      <c r="AB4022" s="231" t="s">
        <v>4411</v>
      </c>
      <c r="AC4022" s="217" t="s">
        <v>333</v>
      </c>
    </row>
    <row r="4023" spans="28:29">
      <c r="AB4023" s="231" t="s">
        <v>4412</v>
      </c>
      <c r="AC4023" s="217" t="s">
        <v>333</v>
      </c>
    </row>
    <row r="4024" spans="28:29">
      <c r="AB4024" s="231" t="s">
        <v>4413</v>
      </c>
      <c r="AC4024" s="217" t="s">
        <v>333</v>
      </c>
    </row>
    <row r="4025" spans="28:29">
      <c r="AB4025" s="231" t="s">
        <v>4414</v>
      </c>
      <c r="AC4025" s="217" t="s">
        <v>333</v>
      </c>
    </row>
    <row r="4026" spans="28:29">
      <c r="AB4026" s="231" t="s">
        <v>4415</v>
      </c>
      <c r="AC4026" s="217" t="s">
        <v>333</v>
      </c>
    </row>
    <row r="4027" spans="28:29">
      <c r="AB4027" s="231" t="s">
        <v>4416</v>
      </c>
      <c r="AC4027" s="217" t="s">
        <v>333</v>
      </c>
    </row>
    <row r="4028" spans="28:29">
      <c r="AB4028" s="231" t="s">
        <v>4417</v>
      </c>
      <c r="AC4028" s="217" t="s">
        <v>333</v>
      </c>
    </row>
    <row r="4029" spans="28:29">
      <c r="AB4029" s="231" t="s">
        <v>4418</v>
      </c>
      <c r="AC4029" s="217" t="s">
        <v>333</v>
      </c>
    </row>
    <row r="4030" spans="28:29">
      <c r="AB4030" s="231" t="s">
        <v>4419</v>
      </c>
      <c r="AC4030" s="217" t="s">
        <v>333</v>
      </c>
    </row>
    <row r="4031" spans="28:29">
      <c r="AB4031" s="231" t="s">
        <v>4420</v>
      </c>
      <c r="AC4031" s="217" t="s">
        <v>333</v>
      </c>
    </row>
    <row r="4032" spans="28:29">
      <c r="AB4032" s="231" t="s">
        <v>4421</v>
      </c>
      <c r="AC4032" s="217" t="s">
        <v>333</v>
      </c>
    </row>
    <row r="4033" spans="28:29">
      <c r="AB4033" s="231" t="s">
        <v>4422</v>
      </c>
      <c r="AC4033" s="217" t="s">
        <v>333</v>
      </c>
    </row>
    <row r="4034" spans="28:29">
      <c r="AB4034" s="231" t="s">
        <v>4423</v>
      </c>
      <c r="AC4034" s="217" t="s">
        <v>333</v>
      </c>
    </row>
    <row r="4035" spans="28:29">
      <c r="AB4035" s="231" t="s">
        <v>4424</v>
      </c>
      <c r="AC4035" s="217" t="s">
        <v>333</v>
      </c>
    </row>
    <row r="4036" spans="28:29">
      <c r="AB4036" s="231" t="s">
        <v>4425</v>
      </c>
      <c r="AC4036" s="217" t="s">
        <v>333</v>
      </c>
    </row>
    <row r="4037" spans="28:29">
      <c r="AB4037" s="231" t="s">
        <v>4426</v>
      </c>
      <c r="AC4037" s="217" t="s">
        <v>333</v>
      </c>
    </row>
    <row r="4038" spans="28:29">
      <c r="AB4038" s="231" t="s">
        <v>4427</v>
      </c>
      <c r="AC4038" s="217" t="s">
        <v>333</v>
      </c>
    </row>
    <row r="4039" spans="28:29">
      <c r="AB4039" s="231" t="s">
        <v>4428</v>
      </c>
      <c r="AC4039" s="217" t="s">
        <v>333</v>
      </c>
    </row>
    <row r="4040" spans="28:29">
      <c r="AB4040" s="231" t="s">
        <v>4429</v>
      </c>
      <c r="AC4040" s="217" t="s">
        <v>333</v>
      </c>
    </row>
    <row r="4041" spans="28:29">
      <c r="AB4041" s="231" t="s">
        <v>4430</v>
      </c>
      <c r="AC4041" s="217" t="s">
        <v>333</v>
      </c>
    </row>
    <row r="4042" spans="28:29">
      <c r="AB4042" s="231" t="s">
        <v>4431</v>
      </c>
      <c r="AC4042" s="217" t="s">
        <v>333</v>
      </c>
    </row>
    <row r="4043" spans="28:29">
      <c r="AB4043" s="231" t="s">
        <v>4432</v>
      </c>
      <c r="AC4043" s="217" t="s">
        <v>333</v>
      </c>
    </row>
    <row r="4044" spans="28:29">
      <c r="AB4044" s="231" t="s">
        <v>4433</v>
      </c>
      <c r="AC4044" s="217" t="s">
        <v>333</v>
      </c>
    </row>
    <row r="4045" spans="28:29">
      <c r="AB4045" s="231" t="s">
        <v>4434</v>
      </c>
      <c r="AC4045" s="217" t="s">
        <v>333</v>
      </c>
    </row>
    <row r="4046" spans="28:29">
      <c r="AB4046" s="231" t="s">
        <v>4435</v>
      </c>
      <c r="AC4046" s="217" t="s">
        <v>333</v>
      </c>
    </row>
    <row r="4047" spans="28:29">
      <c r="AB4047" s="231" t="s">
        <v>4436</v>
      </c>
      <c r="AC4047" s="217" t="s">
        <v>333</v>
      </c>
    </row>
    <row r="4048" spans="28:29">
      <c r="AB4048" s="231" t="s">
        <v>4437</v>
      </c>
      <c r="AC4048" s="217" t="s">
        <v>333</v>
      </c>
    </row>
    <row r="4049" spans="28:29">
      <c r="AB4049" s="231" t="s">
        <v>4438</v>
      </c>
      <c r="AC4049" s="217" t="s">
        <v>333</v>
      </c>
    </row>
    <row r="4050" spans="28:29">
      <c r="AB4050" s="231" t="s">
        <v>4439</v>
      </c>
      <c r="AC4050" s="217" t="s">
        <v>333</v>
      </c>
    </row>
    <row r="4051" spans="28:29">
      <c r="AB4051" s="231" t="s">
        <v>4440</v>
      </c>
      <c r="AC4051" s="217" t="s">
        <v>333</v>
      </c>
    </row>
    <row r="4052" spans="28:29">
      <c r="AB4052" s="231" t="s">
        <v>4441</v>
      </c>
      <c r="AC4052" s="217" t="s">
        <v>333</v>
      </c>
    </row>
    <row r="4053" spans="28:29">
      <c r="AB4053" s="231" t="s">
        <v>4442</v>
      </c>
      <c r="AC4053" s="217" t="s">
        <v>333</v>
      </c>
    </row>
    <row r="4054" spans="28:29">
      <c r="AB4054" s="231" t="s">
        <v>4443</v>
      </c>
      <c r="AC4054" s="217" t="s">
        <v>333</v>
      </c>
    </row>
    <row r="4055" spans="28:29">
      <c r="AB4055" s="231" t="s">
        <v>4444</v>
      </c>
      <c r="AC4055" s="217" t="s">
        <v>333</v>
      </c>
    </row>
    <row r="4056" spans="28:29">
      <c r="AB4056" s="231" t="s">
        <v>4445</v>
      </c>
      <c r="AC4056" s="217" t="s">
        <v>333</v>
      </c>
    </row>
    <row r="4057" spans="28:29">
      <c r="AB4057" s="231" t="s">
        <v>4446</v>
      </c>
      <c r="AC4057" s="217" t="s">
        <v>333</v>
      </c>
    </row>
    <row r="4058" spans="28:29">
      <c r="AB4058" s="231" t="s">
        <v>4447</v>
      </c>
      <c r="AC4058" s="217" t="s">
        <v>333</v>
      </c>
    </row>
    <row r="4059" spans="28:29">
      <c r="AB4059" s="231" t="s">
        <v>4448</v>
      </c>
      <c r="AC4059" s="217" t="s">
        <v>333</v>
      </c>
    </row>
    <row r="4060" spans="28:29">
      <c r="AB4060" s="231" t="s">
        <v>4449</v>
      </c>
      <c r="AC4060" s="217" t="s">
        <v>333</v>
      </c>
    </row>
    <row r="4061" spans="28:29">
      <c r="AB4061" s="231" t="s">
        <v>4450</v>
      </c>
      <c r="AC4061" s="217" t="s">
        <v>333</v>
      </c>
    </row>
    <row r="4062" spans="28:29">
      <c r="AB4062" s="231" t="s">
        <v>4451</v>
      </c>
      <c r="AC4062" s="217" t="s">
        <v>333</v>
      </c>
    </row>
    <row r="4063" spans="28:29">
      <c r="AB4063" s="231" t="s">
        <v>4452</v>
      </c>
      <c r="AC4063" s="217" t="s">
        <v>333</v>
      </c>
    </row>
    <row r="4064" spans="28:29">
      <c r="AB4064" s="231" t="s">
        <v>4453</v>
      </c>
      <c r="AC4064" s="217" t="s">
        <v>333</v>
      </c>
    </row>
    <row r="4065" spans="28:29">
      <c r="AB4065" s="231" t="s">
        <v>4454</v>
      </c>
      <c r="AC4065" s="217" t="s">
        <v>333</v>
      </c>
    </row>
    <row r="4066" spans="28:29">
      <c r="AB4066" s="231" t="s">
        <v>4455</v>
      </c>
      <c r="AC4066" s="217" t="s">
        <v>333</v>
      </c>
    </row>
    <row r="4067" spans="28:29">
      <c r="AB4067" s="231" t="s">
        <v>4456</v>
      </c>
      <c r="AC4067" s="217" t="s">
        <v>333</v>
      </c>
    </row>
    <row r="4068" spans="28:29">
      <c r="AB4068" s="231" t="s">
        <v>4457</v>
      </c>
      <c r="AC4068" s="217" t="s">
        <v>333</v>
      </c>
    </row>
    <row r="4069" spans="28:29">
      <c r="AB4069" s="231" t="s">
        <v>4458</v>
      </c>
      <c r="AC4069" s="217" t="s">
        <v>333</v>
      </c>
    </row>
    <row r="4070" spans="28:29">
      <c r="AB4070" s="231" t="s">
        <v>4459</v>
      </c>
      <c r="AC4070" s="217" t="s">
        <v>333</v>
      </c>
    </row>
    <row r="4071" spans="28:29">
      <c r="AB4071" s="231" t="s">
        <v>4460</v>
      </c>
      <c r="AC4071" s="217" t="s">
        <v>333</v>
      </c>
    </row>
    <row r="4072" spans="28:29">
      <c r="AB4072" s="231" t="s">
        <v>4461</v>
      </c>
      <c r="AC4072" s="217" t="s">
        <v>333</v>
      </c>
    </row>
    <row r="4073" spans="28:29">
      <c r="AB4073" s="231" t="s">
        <v>4462</v>
      </c>
      <c r="AC4073" s="217" t="s">
        <v>333</v>
      </c>
    </row>
    <row r="4074" spans="28:29">
      <c r="AB4074" s="231" t="s">
        <v>4463</v>
      </c>
      <c r="AC4074" s="217" t="s">
        <v>333</v>
      </c>
    </row>
    <row r="4075" spans="28:29">
      <c r="AB4075" s="231" t="s">
        <v>4464</v>
      </c>
      <c r="AC4075" s="217" t="s">
        <v>333</v>
      </c>
    </row>
    <row r="4076" spans="28:29">
      <c r="AB4076" s="231" t="s">
        <v>4465</v>
      </c>
      <c r="AC4076" s="217" t="s">
        <v>333</v>
      </c>
    </row>
    <row r="4077" spans="28:29">
      <c r="AB4077" s="231" t="s">
        <v>4466</v>
      </c>
      <c r="AC4077" s="217" t="s">
        <v>333</v>
      </c>
    </row>
    <row r="4078" spans="28:29">
      <c r="AB4078" s="231" t="s">
        <v>4467</v>
      </c>
      <c r="AC4078" s="217" t="s">
        <v>333</v>
      </c>
    </row>
    <row r="4079" spans="28:29">
      <c r="AB4079" s="231" t="s">
        <v>4468</v>
      </c>
      <c r="AC4079" s="217" t="s">
        <v>333</v>
      </c>
    </row>
    <row r="4080" spans="28:29">
      <c r="AB4080" s="231" t="s">
        <v>4469</v>
      </c>
      <c r="AC4080" s="217" t="s">
        <v>333</v>
      </c>
    </row>
    <row r="4081" spans="28:29">
      <c r="AB4081" s="231" t="s">
        <v>4470</v>
      </c>
      <c r="AC4081" s="217" t="s">
        <v>333</v>
      </c>
    </row>
    <row r="4082" spans="28:29">
      <c r="AB4082" s="231" t="s">
        <v>4471</v>
      </c>
      <c r="AC4082" s="217" t="s">
        <v>333</v>
      </c>
    </row>
    <row r="4083" spans="28:29">
      <c r="AB4083" s="231" t="s">
        <v>4472</v>
      </c>
      <c r="AC4083" s="217" t="s">
        <v>333</v>
      </c>
    </row>
    <row r="4084" spans="28:29">
      <c r="AB4084" s="231" t="s">
        <v>4473</v>
      </c>
      <c r="AC4084" s="217" t="s">
        <v>333</v>
      </c>
    </row>
    <row r="4085" spans="28:29">
      <c r="AB4085" s="231" t="s">
        <v>4474</v>
      </c>
      <c r="AC4085" s="217" t="s">
        <v>333</v>
      </c>
    </row>
    <row r="4086" spans="28:29">
      <c r="AB4086" s="231" t="s">
        <v>4475</v>
      </c>
      <c r="AC4086" s="217" t="s">
        <v>333</v>
      </c>
    </row>
    <row r="4087" spans="28:29">
      <c r="AB4087" s="231" t="s">
        <v>4476</v>
      </c>
      <c r="AC4087" s="217" t="s">
        <v>333</v>
      </c>
    </row>
    <row r="4088" spans="28:29">
      <c r="AB4088" s="231" t="s">
        <v>4477</v>
      </c>
      <c r="AC4088" s="217" t="s">
        <v>333</v>
      </c>
    </row>
    <row r="4089" spans="28:29">
      <c r="AB4089" s="231" t="s">
        <v>4478</v>
      </c>
      <c r="AC4089" s="217" t="s">
        <v>333</v>
      </c>
    </row>
    <row r="4090" spans="28:29">
      <c r="AB4090" s="231" t="s">
        <v>4479</v>
      </c>
      <c r="AC4090" s="217" t="s">
        <v>333</v>
      </c>
    </row>
    <row r="4091" spans="28:29">
      <c r="AB4091" s="231" t="s">
        <v>4480</v>
      </c>
      <c r="AC4091" s="217" t="s">
        <v>333</v>
      </c>
    </row>
    <row r="4092" spans="28:29">
      <c r="AB4092" s="231" t="s">
        <v>4481</v>
      </c>
      <c r="AC4092" s="217" t="s">
        <v>333</v>
      </c>
    </row>
    <row r="4093" spans="28:29">
      <c r="AB4093" s="231" t="s">
        <v>4482</v>
      </c>
      <c r="AC4093" s="217" t="s">
        <v>333</v>
      </c>
    </row>
    <row r="4094" spans="28:29">
      <c r="AB4094" s="231" t="s">
        <v>4483</v>
      </c>
      <c r="AC4094" s="217" t="s">
        <v>333</v>
      </c>
    </row>
    <row r="4095" spans="28:29">
      <c r="AB4095" s="231" t="s">
        <v>4484</v>
      </c>
      <c r="AC4095" s="217" t="s">
        <v>333</v>
      </c>
    </row>
    <row r="4096" spans="28:29">
      <c r="AB4096" s="231" t="s">
        <v>4485</v>
      </c>
      <c r="AC4096" s="217" t="s">
        <v>333</v>
      </c>
    </row>
    <row r="4097" spans="28:29">
      <c r="AB4097" s="231" t="s">
        <v>4486</v>
      </c>
      <c r="AC4097" s="217" t="s">
        <v>333</v>
      </c>
    </row>
    <row r="4098" spans="28:29">
      <c r="AB4098" s="231" t="s">
        <v>4487</v>
      </c>
      <c r="AC4098" s="217" t="s">
        <v>333</v>
      </c>
    </row>
    <row r="4099" spans="28:29">
      <c r="AB4099" s="231" t="s">
        <v>4488</v>
      </c>
      <c r="AC4099" s="217" t="s">
        <v>333</v>
      </c>
    </row>
    <row r="4100" spans="28:29">
      <c r="AB4100" s="231" t="s">
        <v>4489</v>
      </c>
      <c r="AC4100" s="217" t="s">
        <v>333</v>
      </c>
    </row>
    <row r="4101" spans="28:29">
      <c r="AB4101" s="231" t="s">
        <v>4490</v>
      </c>
      <c r="AC4101" s="217" t="s">
        <v>333</v>
      </c>
    </row>
    <row r="4102" spans="28:29">
      <c r="AB4102" s="231" t="s">
        <v>4491</v>
      </c>
      <c r="AC4102" s="217" t="s">
        <v>333</v>
      </c>
    </row>
    <row r="4103" spans="28:29">
      <c r="AB4103" s="231" t="s">
        <v>4492</v>
      </c>
      <c r="AC4103" s="217" t="s">
        <v>333</v>
      </c>
    </row>
    <row r="4104" spans="28:29">
      <c r="AB4104" s="231" t="s">
        <v>4493</v>
      </c>
      <c r="AC4104" s="217" t="s">
        <v>333</v>
      </c>
    </row>
    <row r="4105" spans="28:29">
      <c r="AB4105" s="231" t="s">
        <v>4494</v>
      </c>
      <c r="AC4105" s="217" t="s">
        <v>333</v>
      </c>
    </row>
    <row r="4106" spans="28:29">
      <c r="AB4106" s="231" t="s">
        <v>4495</v>
      </c>
      <c r="AC4106" s="217" t="s">
        <v>333</v>
      </c>
    </row>
    <row r="4107" spans="28:29">
      <c r="AB4107" s="231" t="s">
        <v>4496</v>
      </c>
      <c r="AC4107" s="217" t="s">
        <v>333</v>
      </c>
    </row>
    <row r="4108" spans="28:29">
      <c r="AB4108" s="231" t="s">
        <v>4497</v>
      </c>
      <c r="AC4108" s="217" t="s">
        <v>333</v>
      </c>
    </row>
    <row r="4109" spans="28:29">
      <c r="AB4109" s="231" t="s">
        <v>4498</v>
      </c>
      <c r="AC4109" s="217" t="s">
        <v>333</v>
      </c>
    </row>
    <row r="4110" spans="28:29">
      <c r="AB4110" s="231" t="s">
        <v>4499</v>
      </c>
      <c r="AC4110" s="217" t="s">
        <v>333</v>
      </c>
    </row>
    <row r="4111" spans="28:29">
      <c r="AB4111" s="231" t="s">
        <v>4500</v>
      </c>
      <c r="AC4111" s="217" t="s">
        <v>333</v>
      </c>
    </row>
    <row r="4112" spans="28:29">
      <c r="AB4112" s="231" t="s">
        <v>4501</v>
      </c>
      <c r="AC4112" s="217" t="s">
        <v>333</v>
      </c>
    </row>
    <row r="4113" spans="28:29">
      <c r="AB4113" s="231" t="s">
        <v>4502</v>
      </c>
      <c r="AC4113" s="217" t="s">
        <v>333</v>
      </c>
    </row>
    <row r="4114" spans="28:29">
      <c r="AB4114" s="231" t="s">
        <v>4503</v>
      </c>
      <c r="AC4114" s="217" t="s">
        <v>333</v>
      </c>
    </row>
    <row r="4115" spans="28:29">
      <c r="AB4115" s="231" t="s">
        <v>4504</v>
      </c>
      <c r="AC4115" s="217" t="s">
        <v>333</v>
      </c>
    </row>
    <row r="4116" spans="28:29">
      <c r="AB4116" s="231" t="s">
        <v>4505</v>
      </c>
      <c r="AC4116" s="217" t="s">
        <v>333</v>
      </c>
    </row>
    <row r="4117" spans="28:29">
      <c r="AB4117" s="231" t="s">
        <v>4506</v>
      </c>
      <c r="AC4117" s="217" t="s">
        <v>333</v>
      </c>
    </row>
    <row r="4118" spans="28:29">
      <c r="AB4118" s="231" t="s">
        <v>4507</v>
      </c>
      <c r="AC4118" s="217" t="s">
        <v>333</v>
      </c>
    </row>
    <row r="4119" spans="28:29">
      <c r="AB4119" s="231" t="s">
        <v>4508</v>
      </c>
      <c r="AC4119" s="217" t="s">
        <v>333</v>
      </c>
    </row>
    <row r="4120" spans="28:29">
      <c r="AB4120" s="231" t="s">
        <v>4509</v>
      </c>
      <c r="AC4120" s="217" t="s">
        <v>333</v>
      </c>
    </row>
    <row r="4121" spans="28:29">
      <c r="AB4121" s="231" t="s">
        <v>4510</v>
      </c>
      <c r="AC4121" s="217" t="s">
        <v>333</v>
      </c>
    </row>
    <row r="4122" spans="28:29">
      <c r="AB4122" s="231" t="s">
        <v>4511</v>
      </c>
      <c r="AC4122" s="217" t="s">
        <v>333</v>
      </c>
    </row>
    <row r="4123" spans="28:29">
      <c r="AB4123" s="231" t="s">
        <v>4512</v>
      </c>
      <c r="AC4123" s="217" t="s">
        <v>333</v>
      </c>
    </row>
    <row r="4124" spans="28:29">
      <c r="AB4124" s="231" t="s">
        <v>4513</v>
      </c>
      <c r="AC4124" s="217" t="s">
        <v>333</v>
      </c>
    </row>
    <row r="4125" spans="28:29">
      <c r="AB4125" s="231" t="s">
        <v>4514</v>
      </c>
      <c r="AC4125" s="217" t="s">
        <v>333</v>
      </c>
    </row>
    <row r="4126" spans="28:29">
      <c r="AB4126" s="231" t="s">
        <v>4515</v>
      </c>
      <c r="AC4126" s="217" t="s">
        <v>333</v>
      </c>
    </row>
    <row r="4127" spans="28:29">
      <c r="AB4127" s="231" t="s">
        <v>4516</v>
      </c>
      <c r="AC4127" s="217" t="s">
        <v>333</v>
      </c>
    </row>
    <row r="4128" spans="28:29">
      <c r="AB4128" s="231" t="s">
        <v>4517</v>
      </c>
      <c r="AC4128" s="217" t="s">
        <v>333</v>
      </c>
    </row>
    <row r="4129" spans="28:29">
      <c r="AB4129" s="231" t="s">
        <v>4518</v>
      </c>
      <c r="AC4129" s="217" t="s">
        <v>333</v>
      </c>
    </row>
    <row r="4130" spans="28:29">
      <c r="AB4130" s="231" t="s">
        <v>4519</v>
      </c>
      <c r="AC4130" s="217" t="s">
        <v>333</v>
      </c>
    </row>
    <row r="4131" spans="28:29">
      <c r="AB4131" s="231" t="s">
        <v>4520</v>
      </c>
      <c r="AC4131" s="217" t="s">
        <v>333</v>
      </c>
    </row>
    <row r="4132" spans="28:29">
      <c r="AB4132" s="231" t="s">
        <v>4521</v>
      </c>
      <c r="AC4132" s="217" t="s">
        <v>333</v>
      </c>
    </row>
    <row r="4133" spans="28:29">
      <c r="AB4133" s="231" t="s">
        <v>4522</v>
      </c>
      <c r="AC4133" s="217" t="s">
        <v>333</v>
      </c>
    </row>
    <row r="4134" spans="28:29">
      <c r="AB4134" s="231" t="s">
        <v>4523</v>
      </c>
      <c r="AC4134" s="217" t="s">
        <v>333</v>
      </c>
    </row>
    <row r="4135" spans="28:29">
      <c r="AB4135" s="231" t="s">
        <v>4524</v>
      </c>
      <c r="AC4135" s="217" t="s">
        <v>333</v>
      </c>
    </row>
    <row r="4136" spans="28:29">
      <c r="AB4136" s="231" t="s">
        <v>4525</v>
      </c>
      <c r="AC4136" s="217" t="s">
        <v>333</v>
      </c>
    </row>
    <row r="4137" spans="28:29">
      <c r="AB4137" s="231" t="s">
        <v>4526</v>
      </c>
      <c r="AC4137" s="217" t="s">
        <v>333</v>
      </c>
    </row>
    <row r="4138" spans="28:29">
      <c r="AB4138" s="231" t="s">
        <v>4527</v>
      </c>
      <c r="AC4138" s="217" t="s">
        <v>333</v>
      </c>
    </row>
    <row r="4139" spans="28:29">
      <c r="AB4139" s="231" t="s">
        <v>4528</v>
      </c>
      <c r="AC4139" s="217" t="s">
        <v>333</v>
      </c>
    </row>
    <row r="4140" spans="28:29">
      <c r="AB4140" s="231" t="s">
        <v>4529</v>
      </c>
      <c r="AC4140" s="217" t="s">
        <v>333</v>
      </c>
    </row>
    <row r="4141" spans="28:29">
      <c r="AB4141" s="231" t="s">
        <v>4530</v>
      </c>
      <c r="AC4141" s="217" t="s">
        <v>333</v>
      </c>
    </row>
    <row r="4142" spans="28:29">
      <c r="AB4142" s="231" t="s">
        <v>4531</v>
      </c>
      <c r="AC4142" s="217" t="s">
        <v>333</v>
      </c>
    </row>
    <row r="4143" spans="28:29">
      <c r="AB4143" s="231" t="s">
        <v>4532</v>
      </c>
      <c r="AC4143" s="217" t="s">
        <v>333</v>
      </c>
    </row>
    <row r="4144" spans="28:29">
      <c r="AB4144" s="231" t="s">
        <v>4533</v>
      </c>
      <c r="AC4144" s="217" t="s">
        <v>333</v>
      </c>
    </row>
    <row r="4145" spans="28:29">
      <c r="AB4145" s="231" t="s">
        <v>4534</v>
      </c>
      <c r="AC4145" s="217" t="s">
        <v>333</v>
      </c>
    </row>
    <row r="4146" spans="28:29">
      <c r="AB4146" s="231" t="s">
        <v>4535</v>
      </c>
      <c r="AC4146" s="217" t="s">
        <v>333</v>
      </c>
    </row>
    <row r="4147" spans="28:29">
      <c r="AB4147" s="231" t="s">
        <v>4536</v>
      </c>
      <c r="AC4147" s="217" t="s">
        <v>333</v>
      </c>
    </row>
    <row r="4148" spans="28:29">
      <c r="AB4148" s="231" t="s">
        <v>4537</v>
      </c>
      <c r="AC4148" s="217" t="s">
        <v>333</v>
      </c>
    </row>
    <row r="4149" spans="28:29">
      <c r="AB4149" s="231" t="s">
        <v>4538</v>
      </c>
      <c r="AC4149" s="217" t="s">
        <v>333</v>
      </c>
    </row>
    <row r="4150" spans="28:29">
      <c r="AB4150" s="231" t="s">
        <v>4539</v>
      </c>
      <c r="AC4150" s="217" t="s">
        <v>333</v>
      </c>
    </row>
    <row r="4151" spans="28:29">
      <c r="AB4151" s="231" t="s">
        <v>4540</v>
      </c>
      <c r="AC4151" s="217" t="s">
        <v>333</v>
      </c>
    </row>
    <row r="4152" spans="28:29">
      <c r="AB4152" s="231" t="s">
        <v>4541</v>
      </c>
      <c r="AC4152" s="217" t="s">
        <v>333</v>
      </c>
    </row>
    <row r="4153" spans="28:29">
      <c r="AB4153" s="231" t="s">
        <v>4542</v>
      </c>
      <c r="AC4153" s="217" t="s">
        <v>333</v>
      </c>
    </row>
    <row r="4154" spans="28:29">
      <c r="AB4154" s="231" t="s">
        <v>4543</v>
      </c>
      <c r="AC4154" s="217" t="s">
        <v>333</v>
      </c>
    </row>
    <row r="4155" spans="28:29">
      <c r="AB4155" s="231" t="s">
        <v>4544</v>
      </c>
      <c r="AC4155" s="217" t="s">
        <v>333</v>
      </c>
    </row>
    <row r="4156" spans="28:29">
      <c r="AB4156" s="231" t="s">
        <v>4545</v>
      </c>
      <c r="AC4156" s="217" t="s">
        <v>333</v>
      </c>
    </row>
    <row r="4157" spans="28:29">
      <c r="AB4157" s="231" t="s">
        <v>4546</v>
      </c>
      <c r="AC4157" s="217" t="s">
        <v>333</v>
      </c>
    </row>
    <row r="4158" spans="28:29">
      <c r="AB4158" s="231" t="s">
        <v>4547</v>
      </c>
      <c r="AC4158" s="217" t="s">
        <v>333</v>
      </c>
    </row>
    <row r="4159" spans="28:29">
      <c r="AB4159" s="231" t="s">
        <v>4548</v>
      </c>
      <c r="AC4159" s="217" t="s">
        <v>333</v>
      </c>
    </row>
    <row r="4160" spans="28:29">
      <c r="AB4160" s="231" t="s">
        <v>4549</v>
      </c>
      <c r="AC4160" s="217" t="s">
        <v>333</v>
      </c>
    </row>
    <row r="4161" spans="28:29">
      <c r="AB4161" s="231" t="s">
        <v>4550</v>
      </c>
      <c r="AC4161" s="217" t="s">
        <v>333</v>
      </c>
    </row>
    <row r="4162" spans="28:29">
      <c r="AB4162" s="231" t="s">
        <v>4551</v>
      </c>
      <c r="AC4162" s="217" t="s">
        <v>333</v>
      </c>
    </row>
    <row r="4163" spans="28:29">
      <c r="AB4163" s="231" t="s">
        <v>4552</v>
      </c>
      <c r="AC4163" s="217" t="s">
        <v>333</v>
      </c>
    </row>
    <row r="4164" spans="28:29">
      <c r="AB4164" s="231" t="s">
        <v>4553</v>
      </c>
      <c r="AC4164" s="217" t="s">
        <v>333</v>
      </c>
    </row>
    <row r="4165" spans="28:29">
      <c r="AB4165" s="231" t="s">
        <v>4554</v>
      </c>
      <c r="AC4165" s="217" t="s">
        <v>333</v>
      </c>
    </row>
    <row r="4166" spans="28:29">
      <c r="AB4166" s="231" t="s">
        <v>4555</v>
      </c>
      <c r="AC4166" s="217" t="s">
        <v>333</v>
      </c>
    </row>
    <row r="4167" spans="28:29">
      <c r="AB4167" s="231" t="s">
        <v>4556</v>
      </c>
      <c r="AC4167" s="217" t="s">
        <v>333</v>
      </c>
    </row>
    <row r="4168" spans="28:29">
      <c r="AB4168" s="231" t="s">
        <v>4557</v>
      </c>
      <c r="AC4168" s="217" t="s">
        <v>333</v>
      </c>
    </row>
    <row r="4169" spans="28:29">
      <c r="AB4169" s="231" t="s">
        <v>4558</v>
      </c>
      <c r="AC4169" s="217" t="s">
        <v>333</v>
      </c>
    </row>
    <row r="4170" spans="28:29">
      <c r="AB4170" s="231" t="s">
        <v>4559</v>
      </c>
      <c r="AC4170" s="217" t="s">
        <v>333</v>
      </c>
    </row>
    <row r="4171" spans="28:29">
      <c r="AB4171" s="231" t="s">
        <v>4560</v>
      </c>
      <c r="AC4171" s="217" t="s">
        <v>333</v>
      </c>
    </row>
    <row r="4172" spans="28:29">
      <c r="AB4172" s="231" t="s">
        <v>4561</v>
      </c>
      <c r="AC4172" s="217" t="s">
        <v>333</v>
      </c>
    </row>
    <row r="4173" spans="28:29">
      <c r="AB4173" s="231" t="s">
        <v>4562</v>
      </c>
      <c r="AC4173" s="217" t="s">
        <v>333</v>
      </c>
    </row>
    <row r="4174" spans="28:29">
      <c r="AB4174" s="231" t="s">
        <v>4563</v>
      </c>
      <c r="AC4174" s="217" t="s">
        <v>333</v>
      </c>
    </row>
    <row r="4175" spans="28:29">
      <c r="AB4175" s="231" t="s">
        <v>4564</v>
      </c>
      <c r="AC4175" s="217" t="s">
        <v>333</v>
      </c>
    </row>
    <row r="4176" spans="28:29">
      <c r="AB4176" s="231" t="s">
        <v>4565</v>
      </c>
      <c r="AC4176" s="217" t="s">
        <v>333</v>
      </c>
    </row>
    <row r="4177" spans="28:29">
      <c r="AB4177" s="231" t="s">
        <v>4566</v>
      </c>
      <c r="AC4177" s="217" t="s">
        <v>333</v>
      </c>
    </row>
    <row r="4178" spans="28:29">
      <c r="AB4178" s="231" t="s">
        <v>4567</v>
      </c>
      <c r="AC4178" s="217" t="s">
        <v>333</v>
      </c>
    </row>
    <row r="4179" spans="28:29">
      <c r="AB4179" s="231" t="s">
        <v>4568</v>
      </c>
      <c r="AC4179" s="217" t="s">
        <v>333</v>
      </c>
    </row>
    <row r="4180" spans="28:29">
      <c r="AB4180" s="231" t="s">
        <v>4569</v>
      </c>
      <c r="AC4180" s="217" t="s">
        <v>333</v>
      </c>
    </row>
    <row r="4181" spans="28:29">
      <c r="AB4181" s="231" t="s">
        <v>4570</v>
      </c>
      <c r="AC4181" s="217" t="s">
        <v>333</v>
      </c>
    </row>
    <row r="4182" spans="28:29">
      <c r="AB4182" s="231" t="s">
        <v>4571</v>
      </c>
      <c r="AC4182" s="217" t="s">
        <v>333</v>
      </c>
    </row>
    <row r="4183" spans="28:29">
      <c r="AB4183" s="231" t="s">
        <v>4572</v>
      </c>
      <c r="AC4183" s="217" t="s">
        <v>333</v>
      </c>
    </row>
    <row r="4184" spans="28:29">
      <c r="AB4184" s="231" t="s">
        <v>4573</v>
      </c>
      <c r="AC4184" s="217" t="s">
        <v>333</v>
      </c>
    </row>
    <row r="4185" spans="28:29">
      <c r="AB4185" s="231" t="s">
        <v>4574</v>
      </c>
      <c r="AC4185" s="217" t="s">
        <v>333</v>
      </c>
    </row>
    <row r="4186" spans="28:29">
      <c r="AB4186" s="231" t="s">
        <v>4575</v>
      </c>
      <c r="AC4186" s="217" t="s">
        <v>333</v>
      </c>
    </row>
    <row r="4187" spans="28:29">
      <c r="AB4187" s="231" t="s">
        <v>4576</v>
      </c>
      <c r="AC4187" s="217" t="s">
        <v>333</v>
      </c>
    </row>
    <row r="4188" spans="28:29">
      <c r="AB4188" s="231" t="s">
        <v>4577</v>
      </c>
      <c r="AC4188" s="217" t="s">
        <v>333</v>
      </c>
    </row>
    <row r="4189" spans="28:29">
      <c r="AB4189" s="231" t="s">
        <v>4578</v>
      </c>
      <c r="AC4189" s="217" t="s">
        <v>333</v>
      </c>
    </row>
    <row r="4190" spans="28:29">
      <c r="AB4190" s="231" t="s">
        <v>4579</v>
      </c>
      <c r="AC4190" s="217" t="s">
        <v>333</v>
      </c>
    </row>
    <row r="4191" spans="28:29">
      <c r="AB4191" s="231" t="s">
        <v>4580</v>
      </c>
      <c r="AC4191" s="217" t="s">
        <v>333</v>
      </c>
    </row>
    <row r="4192" spans="28:29">
      <c r="AB4192" s="231" t="s">
        <v>4581</v>
      </c>
      <c r="AC4192" s="217" t="s">
        <v>333</v>
      </c>
    </row>
    <row r="4193" spans="28:29">
      <c r="AB4193" s="231" t="s">
        <v>4582</v>
      </c>
      <c r="AC4193" s="217" t="s">
        <v>333</v>
      </c>
    </row>
    <row r="4194" spans="28:29">
      <c r="AB4194" s="231" t="s">
        <v>4583</v>
      </c>
      <c r="AC4194" s="217" t="s">
        <v>333</v>
      </c>
    </row>
    <row r="4195" spans="28:29">
      <c r="AB4195" s="231" t="s">
        <v>4584</v>
      </c>
      <c r="AC4195" s="217" t="s">
        <v>333</v>
      </c>
    </row>
    <row r="4196" spans="28:29">
      <c r="AB4196" s="231" t="s">
        <v>4585</v>
      </c>
      <c r="AC4196" s="217" t="s">
        <v>333</v>
      </c>
    </row>
    <row r="4197" spans="28:29">
      <c r="AB4197" s="231" t="s">
        <v>4586</v>
      </c>
      <c r="AC4197" s="217" t="s">
        <v>333</v>
      </c>
    </row>
    <row r="4198" spans="28:29">
      <c r="AB4198" s="231" t="s">
        <v>4587</v>
      </c>
      <c r="AC4198" s="217" t="s">
        <v>333</v>
      </c>
    </row>
    <row r="4199" spans="28:29">
      <c r="AB4199" s="231" t="s">
        <v>4588</v>
      </c>
      <c r="AC4199" s="217" t="s">
        <v>333</v>
      </c>
    </row>
    <row r="4200" spans="28:29">
      <c r="AB4200" s="231" t="s">
        <v>4589</v>
      </c>
      <c r="AC4200" s="217" t="s">
        <v>333</v>
      </c>
    </row>
    <row r="4201" spans="28:29">
      <c r="AB4201" s="231" t="s">
        <v>4590</v>
      </c>
      <c r="AC4201" s="217" t="s">
        <v>333</v>
      </c>
    </row>
    <row r="4202" spans="28:29">
      <c r="AB4202" s="231" t="s">
        <v>4591</v>
      </c>
      <c r="AC4202" s="217" t="s">
        <v>333</v>
      </c>
    </row>
    <row r="4203" spans="28:29">
      <c r="AB4203" s="231" t="s">
        <v>4592</v>
      </c>
      <c r="AC4203" s="217" t="s">
        <v>333</v>
      </c>
    </row>
    <row r="4204" spans="28:29">
      <c r="AB4204" s="231" t="s">
        <v>4593</v>
      </c>
      <c r="AC4204" s="217" t="s">
        <v>333</v>
      </c>
    </row>
    <row r="4205" spans="28:29">
      <c r="AB4205" s="231" t="s">
        <v>4594</v>
      </c>
      <c r="AC4205" s="217" t="s">
        <v>333</v>
      </c>
    </row>
    <row r="4206" spans="28:29">
      <c r="AB4206" s="231" t="s">
        <v>4595</v>
      </c>
      <c r="AC4206" s="217" t="s">
        <v>333</v>
      </c>
    </row>
    <row r="4207" spans="28:29">
      <c r="AB4207" s="231" t="s">
        <v>4596</v>
      </c>
      <c r="AC4207" s="217" t="s">
        <v>333</v>
      </c>
    </row>
    <row r="4208" spans="28:29">
      <c r="AB4208" s="231" t="s">
        <v>4597</v>
      </c>
      <c r="AC4208" s="217" t="s">
        <v>333</v>
      </c>
    </row>
    <row r="4209" spans="28:29">
      <c r="AB4209" s="231" t="s">
        <v>4598</v>
      </c>
      <c r="AC4209" s="217" t="s">
        <v>333</v>
      </c>
    </row>
    <row r="4210" spans="28:29">
      <c r="AB4210" s="231" t="s">
        <v>4599</v>
      </c>
      <c r="AC4210" s="217" t="s">
        <v>333</v>
      </c>
    </row>
    <row r="4211" spans="28:29">
      <c r="AB4211" s="231" t="s">
        <v>4600</v>
      </c>
      <c r="AC4211" s="217" t="s">
        <v>333</v>
      </c>
    </row>
    <row r="4212" spans="28:29">
      <c r="AB4212" s="231" t="s">
        <v>4601</v>
      </c>
      <c r="AC4212" s="217" t="s">
        <v>333</v>
      </c>
    </row>
    <row r="4213" spans="28:29">
      <c r="AB4213" s="231" t="s">
        <v>4602</v>
      </c>
      <c r="AC4213" s="217" t="s">
        <v>333</v>
      </c>
    </row>
    <row r="4214" spans="28:29">
      <c r="AB4214" s="231" t="s">
        <v>4603</v>
      </c>
      <c r="AC4214" s="217" t="s">
        <v>333</v>
      </c>
    </row>
    <row r="4215" spans="28:29">
      <c r="AB4215" s="231" t="s">
        <v>4604</v>
      </c>
      <c r="AC4215" s="217" t="s">
        <v>333</v>
      </c>
    </row>
    <row r="4216" spans="28:29">
      <c r="AB4216" s="231" t="s">
        <v>4605</v>
      </c>
      <c r="AC4216" s="217" t="s">
        <v>333</v>
      </c>
    </row>
    <row r="4217" spans="28:29">
      <c r="AB4217" s="231" t="s">
        <v>4606</v>
      </c>
      <c r="AC4217" s="217" t="s">
        <v>333</v>
      </c>
    </row>
    <row r="4218" spans="28:29">
      <c r="AB4218" s="231" t="s">
        <v>4607</v>
      </c>
      <c r="AC4218" s="217" t="s">
        <v>333</v>
      </c>
    </row>
    <row r="4219" spans="28:29">
      <c r="AB4219" s="231" t="s">
        <v>4608</v>
      </c>
      <c r="AC4219" s="217" t="s">
        <v>333</v>
      </c>
    </row>
    <row r="4220" spans="28:29">
      <c r="AB4220" s="231" t="s">
        <v>4609</v>
      </c>
      <c r="AC4220" s="217" t="s">
        <v>333</v>
      </c>
    </row>
    <row r="4221" spans="28:29">
      <c r="AB4221" s="231" t="s">
        <v>4610</v>
      </c>
      <c r="AC4221" s="217" t="s">
        <v>333</v>
      </c>
    </row>
    <row r="4222" spans="28:29">
      <c r="AB4222" s="231" t="s">
        <v>4611</v>
      </c>
      <c r="AC4222" s="217" t="s">
        <v>333</v>
      </c>
    </row>
    <row r="4223" spans="28:29">
      <c r="AB4223" s="231" t="s">
        <v>4612</v>
      </c>
      <c r="AC4223" s="217" t="s">
        <v>333</v>
      </c>
    </row>
    <row r="4224" spans="28:29">
      <c r="AB4224" s="231" t="s">
        <v>4613</v>
      </c>
      <c r="AC4224" s="217" t="s">
        <v>333</v>
      </c>
    </row>
    <row r="4225" spans="28:29">
      <c r="AB4225" s="231" t="s">
        <v>4614</v>
      </c>
      <c r="AC4225" s="217" t="s">
        <v>333</v>
      </c>
    </row>
    <row r="4226" spans="28:29">
      <c r="AB4226" s="231" t="s">
        <v>4615</v>
      </c>
      <c r="AC4226" s="217" t="s">
        <v>333</v>
      </c>
    </row>
    <row r="4227" spans="28:29">
      <c r="AB4227" s="231" t="s">
        <v>4616</v>
      </c>
      <c r="AC4227" s="217" t="s">
        <v>333</v>
      </c>
    </row>
    <row r="4228" spans="28:29">
      <c r="AB4228" s="231" t="s">
        <v>4617</v>
      </c>
      <c r="AC4228" s="217" t="s">
        <v>333</v>
      </c>
    </row>
    <row r="4229" spans="28:29">
      <c r="AB4229" s="231" t="s">
        <v>4618</v>
      </c>
      <c r="AC4229" s="217" t="s">
        <v>333</v>
      </c>
    </row>
    <row r="4230" spans="28:29">
      <c r="AB4230" s="231" t="s">
        <v>4619</v>
      </c>
      <c r="AC4230" s="217" t="s">
        <v>333</v>
      </c>
    </row>
    <row r="4231" spans="28:29">
      <c r="AB4231" s="231" t="s">
        <v>4620</v>
      </c>
      <c r="AC4231" s="217" t="s">
        <v>333</v>
      </c>
    </row>
    <row r="4232" spans="28:29">
      <c r="AB4232" s="231" t="s">
        <v>4621</v>
      </c>
      <c r="AC4232" s="217" t="s">
        <v>333</v>
      </c>
    </row>
    <row r="4233" spans="28:29">
      <c r="AB4233" s="231" t="s">
        <v>4622</v>
      </c>
      <c r="AC4233" s="217" t="s">
        <v>333</v>
      </c>
    </row>
    <row r="4234" spans="28:29">
      <c r="AB4234" s="231" t="s">
        <v>4623</v>
      </c>
      <c r="AC4234" s="217" t="s">
        <v>333</v>
      </c>
    </row>
    <row r="4235" spans="28:29">
      <c r="AB4235" s="231" t="s">
        <v>4624</v>
      </c>
      <c r="AC4235" s="217" t="s">
        <v>333</v>
      </c>
    </row>
    <row r="4236" spans="28:29">
      <c r="AB4236" s="231" t="s">
        <v>4625</v>
      </c>
      <c r="AC4236" s="217" t="s">
        <v>333</v>
      </c>
    </row>
    <row r="4237" spans="28:29">
      <c r="AB4237" s="231" t="s">
        <v>4626</v>
      </c>
      <c r="AC4237" s="217" t="s">
        <v>333</v>
      </c>
    </row>
    <row r="4238" spans="28:29">
      <c r="AB4238" s="231" t="s">
        <v>4627</v>
      </c>
      <c r="AC4238" s="217" t="s">
        <v>333</v>
      </c>
    </row>
    <row r="4239" spans="28:29">
      <c r="AB4239" s="231" t="s">
        <v>4628</v>
      </c>
      <c r="AC4239" s="217" t="s">
        <v>333</v>
      </c>
    </row>
    <row r="4240" spans="28:29">
      <c r="AB4240" s="231" t="s">
        <v>4629</v>
      </c>
      <c r="AC4240" s="217" t="s">
        <v>333</v>
      </c>
    </row>
    <row r="4241" spans="28:29">
      <c r="AB4241" s="231" t="s">
        <v>4630</v>
      </c>
      <c r="AC4241" s="217" t="s">
        <v>333</v>
      </c>
    </row>
    <row r="4242" spans="28:29">
      <c r="AB4242" s="231" t="s">
        <v>4631</v>
      </c>
      <c r="AC4242" s="217" t="s">
        <v>333</v>
      </c>
    </row>
    <row r="4243" spans="28:29">
      <c r="AB4243" s="231" t="s">
        <v>4632</v>
      </c>
      <c r="AC4243" s="217" t="s">
        <v>333</v>
      </c>
    </row>
    <row r="4244" spans="28:29">
      <c r="AB4244" s="231" t="s">
        <v>4633</v>
      </c>
      <c r="AC4244" s="217" t="s">
        <v>333</v>
      </c>
    </row>
    <row r="4245" spans="28:29">
      <c r="AB4245" s="231" t="s">
        <v>4634</v>
      </c>
      <c r="AC4245" s="217" t="s">
        <v>333</v>
      </c>
    </row>
    <row r="4246" spans="28:29">
      <c r="AB4246" s="231" t="s">
        <v>4635</v>
      </c>
      <c r="AC4246" s="217" t="s">
        <v>333</v>
      </c>
    </row>
    <row r="4247" spans="28:29">
      <c r="AB4247" s="231" t="s">
        <v>4636</v>
      </c>
      <c r="AC4247" s="217" t="s">
        <v>333</v>
      </c>
    </row>
    <row r="4248" spans="28:29">
      <c r="AB4248" s="231" t="s">
        <v>4637</v>
      </c>
      <c r="AC4248" s="217" t="s">
        <v>333</v>
      </c>
    </row>
    <row r="4249" spans="28:29">
      <c r="AB4249" s="231" t="s">
        <v>4638</v>
      </c>
      <c r="AC4249" s="217" t="s">
        <v>333</v>
      </c>
    </row>
    <row r="4250" spans="28:29">
      <c r="AB4250" s="231" t="s">
        <v>4639</v>
      </c>
      <c r="AC4250" s="217" t="s">
        <v>333</v>
      </c>
    </row>
    <row r="4251" spans="28:29">
      <c r="AB4251" s="231" t="s">
        <v>4640</v>
      </c>
      <c r="AC4251" s="217" t="s">
        <v>333</v>
      </c>
    </row>
    <row r="4252" spans="28:29">
      <c r="AB4252" s="231" t="s">
        <v>4641</v>
      </c>
      <c r="AC4252" s="217" t="s">
        <v>333</v>
      </c>
    </row>
    <row r="4253" spans="28:29">
      <c r="AB4253" s="231" t="s">
        <v>4642</v>
      </c>
      <c r="AC4253" s="217" t="s">
        <v>333</v>
      </c>
    </row>
    <row r="4254" spans="28:29">
      <c r="AB4254" s="231" t="s">
        <v>4643</v>
      </c>
      <c r="AC4254" s="217" t="s">
        <v>333</v>
      </c>
    </row>
    <row r="4255" spans="28:29">
      <c r="AB4255" s="231" t="s">
        <v>4644</v>
      </c>
      <c r="AC4255" s="217" t="s">
        <v>333</v>
      </c>
    </row>
    <row r="4256" spans="28:29">
      <c r="AB4256" s="231" t="s">
        <v>4645</v>
      </c>
      <c r="AC4256" s="217" t="s">
        <v>333</v>
      </c>
    </row>
    <row r="4257" spans="28:29">
      <c r="AB4257" s="231" t="s">
        <v>4646</v>
      </c>
      <c r="AC4257" s="217" t="s">
        <v>333</v>
      </c>
    </row>
    <row r="4258" spans="28:29">
      <c r="AB4258" s="231" t="s">
        <v>4647</v>
      </c>
      <c r="AC4258" s="217" t="s">
        <v>333</v>
      </c>
    </row>
    <row r="4259" spans="28:29">
      <c r="AB4259" s="231" t="s">
        <v>4648</v>
      </c>
      <c r="AC4259" s="217" t="s">
        <v>333</v>
      </c>
    </row>
    <row r="4260" spans="28:29">
      <c r="AB4260" s="231" t="s">
        <v>4649</v>
      </c>
      <c r="AC4260" s="217" t="s">
        <v>333</v>
      </c>
    </row>
    <row r="4261" spans="28:29">
      <c r="AB4261" s="231" t="s">
        <v>4650</v>
      </c>
      <c r="AC4261" s="217" t="s">
        <v>333</v>
      </c>
    </row>
    <row r="4262" spans="28:29">
      <c r="AB4262" s="231" t="s">
        <v>4651</v>
      </c>
      <c r="AC4262" s="217" t="s">
        <v>333</v>
      </c>
    </row>
    <row r="4263" spans="28:29">
      <c r="AB4263" s="231" t="s">
        <v>4652</v>
      </c>
      <c r="AC4263" s="217" t="s">
        <v>333</v>
      </c>
    </row>
    <row r="4264" spans="28:29">
      <c r="AB4264" s="231" t="s">
        <v>4653</v>
      </c>
      <c r="AC4264" s="217" t="s">
        <v>333</v>
      </c>
    </row>
    <row r="4265" spans="28:29">
      <c r="AB4265" s="231" t="s">
        <v>4654</v>
      </c>
      <c r="AC4265" s="217" t="s">
        <v>333</v>
      </c>
    </row>
    <row r="4266" spans="28:29">
      <c r="AB4266" s="231" t="s">
        <v>4655</v>
      </c>
      <c r="AC4266" s="217" t="s">
        <v>333</v>
      </c>
    </row>
    <row r="4267" spans="28:29">
      <c r="AB4267" s="231" t="s">
        <v>4656</v>
      </c>
      <c r="AC4267" s="217" t="s">
        <v>333</v>
      </c>
    </row>
    <row r="4268" spans="28:29">
      <c r="AB4268" s="231" t="s">
        <v>4657</v>
      </c>
      <c r="AC4268" s="217" t="s">
        <v>333</v>
      </c>
    </row>
    <row r="4269" spans="28:29">
      <c r="AB4269" s="231" t="s">
        <v>4658</v>
      </c>
      <c r="AC4269" s="217" t="s">
        <v>333</v>
      </c>
    </row>
    <row r="4270" spans="28:29">
      <c r="AB4270" s="231" t="s">
        <v>4659</v>
      </c>
      <c r="AC4270" s="217" t="s">
        <v>333</v>
      </c>
    </row>
    <row r="4271" spans="28:29">
      <c r="AB4271" s="231" t="s">
        <v>4660</v>
      </c>
      <c r="AC4271" s="217" t="s">
        <v>333</v>
      </c>
    </row>
    <row r="4272" spans="28:29">
      <c r="AB4272" s="231" t="s">
        <v>4661</v>
      </c>
      <c r="AC4272" s="217" t="s">
        <v>333</v>
      </c>
    </row>
    <row r="4273" spans="28:29">
      <c r="AB4273" s="231" t="s">
        <v>4662</v>
      </c>
      <c r="AC4273" s="217" t="s">
        <v>333</v>
      </c>
    </row>
    <row r="4274" spans="28:29">
      <c r="AB4274" s="231" t="s">
        <v>4663</v>
      </c>
      <c r="AC4274" s="217" t="s">
        <v>333</v>
      </c>
    </row>
    <row r="4275" spans="28:29">
      <c r="AB4275" s="231" t="s">
        <v>4664</v>
      </c>
      <c r="AC4275" s="217" t="s">
        <v>333</v>
      </c>
    </row>
    <row r="4276" spans="28:29">
      <c r="AB4276" s="231" t="s">
        <v>4665</v>
      </c>
      <c r="AC4276" s="217" t="s">
        <v>333</v>
      </c>
    </row>
    <row r="4277" spans="28:29">
      <c r="AB4277" s="231" t="s">
        <v>4666</v>
      </c>
      <c r="AC4277" s="217" t="s">
        <v>333</v>
      </c>
    </row>
    <row r="4278" spans="28:29">
      <c r="AB4278" s="231" t="s">
        <v>4667</v>
      </c>
      <c r="AC4278" s="217" t="s">
        <v>333</v>
      </c>
    </row>
    <row r="4279" spans="28:29">
      <c r="AB4279" s="231" t="s">
        <v>4668</v>
      </c>
      <c r="AC4279" s="217" t="s">
        <v>333</v>
      </c>
    </row>
    <row r="4280" spans="28:29">
      <c r="AB4280" s="231" t="s">
        <v>4669</v>
      </c>
      <c r="AC4280" s="217" t="s">
        <v>333</v>
      </c>
    </row>
    <row r="4281" spans="28:29">
      <c r="AB4281" s="231" t="s">
        <v>4670</v>
      </c>
      <c r="AC4281" s="217" t="s">
        <v>333</v>
      </c>
    </row>
    <row r="4282" spans="28:29">
      <c r="AB4282" s="231" t="s">
        <v>4671</v>
      </c>
      <c r="AC4282" s="217" t="s">
        <v>333</v>
      </c>
    </row>
    <row r="4283" spans="28:29">
      <c r="AB4283" s="231" t="s">
        <v>4672</v>
      </c>
      <c r="AC4283" s="217" t="s">
        <v>333</v>
      </c>
    </row>
    <row r="4284" spans="28:29">
      <c r="AB4284" s="231" t="s">
        <v>4673</v>
      </c>
      <c r="AC4284" s="217" t="s">
        <v>333</v>
      </c>
    </row>
    <row r="4285" spans="28:29">
      <c r="AB4285" s="231" t="s">
        <v>4674</v>
      </c>
      <c r="AC4285" s="217" t="s">
        <v>333</v>
      </c>
    </row>
    <row r="4286" spans="28:29">
      <c r="AB4286" s="231" t="s">
        <v>4675</v>
      </c>
      <c r="AC4286" s="217" t="s">
        <v>333</v>
      </c>
    </row>
    <row r="4287" spans="28:29">
      <c r="AB4287" s="231" t="s">
        <v>4676</v>
      </c>
      <c r="AC4287" s="217" t="s">
        <v>333</v>
      </c>
    </row>
    <row r="4288" spans="28:29">
      <c r="AB4288" s="231" t="s">
        <v>4677</v>
      </c>
      <c r="AC4288" s="217" t="s">
        <v>333</v>
      </c>
    </row>
    <row r="4289" spans="28:29">
      <c r="AB4289" s="231" t="s">
        <v>4678</v>
      </c>
      <c r="AC4289" s="217" t="s">
        <v>333</v>
      </c>
    </row>
    <row r="4290" spans="28:29">
      <c r="AB4290" s="231" t="s">
        <v>4679</v>
      </c>
      <c r="AC4290" s="217" t="s">
        <v>333</v>
      </c>
    </row>
    <row r="4291" spans="28:29">
      <c r="AB4291" s="231" t="s">
        <v>4680</v>
      </c>
      <c r="AC4291" s="217" t="s">
        <v>333</v>
      </c>
    </row>
    <row r="4292" spans="28:29">
      <c r="AB4292" s="231" t="s">
        <v>4681</v>
      </c>
      <c r="AC4292" s="217" t="s">
        <v>333</v>
      </c>
    </row>
    <row r="4293" spans="28:29">
      <c r="AB4293" s="231" t="s">
        <v>4682</v>
      </c>
      <c r="AC4293" s="217" t="s">
        <v>333</v>
      </c>
    </row>
    <row r="4294" spans="28:29">
      <c r="AB4294" s="231" t="s">
        <v>4683</v>
      </c>
      <c r="AC4294" s="217" t="s">
        <v>333</v>
      </c>
    </row>
    <row r="4295" spans="28:29">
      <c r="AB4295" s="231" t="s">
        <v>4684</v>
      </c>
      <c r="AC4295" s="217" t="s">
        <v>333</v>
      </c>
    </row>
    <row r="4296" spans="28:29">
      <c r="AB4296" s="231" t="s">
        <v>4685</v>
      </c>
      <c r="AC4296" s="217" t="s">
        <v>333</v>
      </c>
    </row>
    <row r="4297" spans="28:29">
      <c r="AB4297" s="231" t="s">
        <v>4686</v>
      </c>
      <c r="AC4297" s="217" t="s">
        <v>333</v>
      </c>
    </row>
    <row r="4298" spans="28:29">
      <c r="AB4298" s="231" t="s">
        <v>4687</v>
      </c>
      <c r="AC4298" s="217" t="s">
        <v>333</v>
      </c>
    </row>
    <row r="4299" spans="28:29">
      <c r="AB4299" s="231" t="s">
        <v>4688</v>
      </c>
      <c r="AC4299" s="217" t="s">
        <v>333</v>
      </c>
    </row>
    <row r="4300" spans="28:29">
      <c r="AB4300" s="231" t="s">
        <v>4689</v>
      </c>
      <c r="AC4300" s="217" t="s">
        <v>333</v>
      </c>
    </row>
    <row r="4301" spans="28:29">
      <c r="AB4301" s="231" t="s">
        <v>4690</v>
      </c>
      <c r="AC4301" s="217" t="s">
        <v>333</v>
      </c>
    </row>
    <row r="4302" spans="28:29">
      <c r="AB4302" s="231" t="s">
        <v>4691</v>
      </c>
      <c r="AC4302" s="217" t="s">
        <v>333</v>
      </c>
    </row>
    <row r="4303" spans="28:29">
      <c r="AB4303" s="231" t="s">
        <v>4692</v>
      </c>
      <c r="AC4303" s="217" t="s">
        <v>333</v>
      </c>
    </row>
    <row r="4304" spans="28:29">
      <c r="AB4304" s="231" t="s">
        <v>4693</v>
      </c>
      <c r="AC4304" s="217" t="s">
        <v>333</v>
      </c>
    </row>
    <row r="4305" spans="28:29">
      <c r="AB4305" s="231" t="s">
        <v>4694</v>
      </c>
      <c r="AC4305" s="217" t="s">
        <v>333</v>
      </c>
    </row>
    <row r="4306" spans="28:29">
      <c r="AB4306" s="231" t="s">
        <v>4695</v>
      </c>
      <c r="AC4306" s="217" t="s">
        <v>333</v>
      </c>
    </row>
    <row r="4307" spans="28:29">
      <c r="AB4307" s="231" t="s">
        <v>4696</v>
      </c>
      <c r="AC4307" s="217" t="s">
        <v>333</v>
      </c>
    </row>
    <row r="4308" spans="28:29">
      <c r="AB4308" s="231" t="s">
        <v>4697</v>
      </c>
      <c r="AC4308" s="217" t="s">
        <v>333</v>
      </c>
    </row>
    <row r="4309" spans="28:29">
      <c r="AB4309" s="231" t="s">
        <v>4698</v>
      </c>
      <c r="AC4309" s="217" t="s">
        <v>333</v>
      </c>
    </row>
    <row r="4310" spans="28:29">
      <c r="AB4310" s="231" t="s">
        <v>4699</v>
      </c>
      <c r="AC4310" s="217" t="s">
        <v>333</v>
      </c>
    </row>
    <row r="4311" spans="28:29">
      <c r="AB4311" s="231" t="s">
        <v>4700</v>
      </c>
      <c r="AC4311" s="217" t="s">
        <v>333</v>
      </c>
    </row>
    <row r="4312" spans="28:29">
      <c r="AB4312" s="231" t="s">
        <v>4701</v>
      </c>
      <c r="AC4312" s="217" t="s">
        <v>333</v>
      </c>
    </row>
    <row r="4313" spans="28:29">
      <c r="AB4313" s="231" t="s">
        <v>4702</v>
      </c>
      <c r="AC4313" s="217" t="s">
        <v>333</v>
      </c>
    </row>
    <row r="4314" spans="28:29">
      <c r="AB4314" s="231" t="s">
        <v>4703</v>
      </c>
      <c r="AC4314" s="217" t="s">
        <v>333</v>
      </c>
    </row>
    <row r="4315" spans="28:29">
      <c r="AB4315" s="231" t="s">
        <v>4704</v>
      </c>
      <c r="AC4315" s="217" t="s">
        <v>333</v>
      </c>
    </row>
    <row r="4316" spans="28:29">
      <c r="AB4316" s="231" t="s">
        <v>4705</v>
      </c>
      <c r="AC4316" s="217" t="s">
        <v>333</v>
      </c>
    </row>
    <row r="4317" spans="28:29">
      <c r="AB4317" s="231" t="s">
        <v>4706</v>
      </c>
      <c r="AC4317" s="217" t="s">
        <v>333</v>
      </c>
    </row>
    <row r="4318" spans="28:29">
      <c r="AB4318" s="231" t="s">
        <v>4707</v>
      </c>
      <c r="AC4318" s="217" t="s">
        <v>333</v>
      </c>
    </row>
    <row r="4319" spans="28:29">
      <c r="AB4319" s="231" t="s">
        <v>4708</v>
      </c>
      <c r="AC4319" s="217" t="s">
        <v>333</v>
      </c>
    </row>
    <row r="4320" spans="28:29">
      <c r="AB4320" s="231" t="s">
        <v>4709</v>
      </c>
      <c r="AC4320" s="217" t="s">
        <v>333</v>
      </c>
    </row>
    <row r="4321" spans="28:29">
      <c r="AB4321" s="231" t="s">
        <v>4710</v>
      </c>
      <c r="AC4321" s="217" t="s">
        <v>333</v>
      </c>
    </row>
    <row r="4322" spans="28:29">
      <c r="AB4322" s="231" t="s">
        <v>4711</v>
      </c>
      <c r="AC4322" s="217" t="s">
        <v>333</v>
      </c>
    </row>
    <row r="4323" spans="28:29">
      <c r="AB4323" s="231" t="s">
        <v>4712</v>
      </c>
      <c r="AC4323" s="217" t="s">
        <v>333</v>
      </c>
    </row>
    <row r="4324" spans="28:29">
      <c r="AB4324" s="231" t="s">
        <v>4713</v>
      </c>
      <c r="AC4324" s="217" t="s">
        <v>333</v>
      </c>
    </row>
    <row r="4325" spans="28:29">
      <c r="AB4325" s="231" t="s">
        <v>4714</v>
      </c>
      <c r="AC4325" s="217" t="s">
        <v>333</v>
      </c>
    </row>
    <row r="4326" spans="28:29">
      <c r="AB4326" s="231" t="s">
        <v>4715</v>
      </c>
      <c r="AC4326" s="217" t="s">
        <v>333</v>
      </c>
    </row>
    <row r="4327" spans="28:29">
      <c r="AB4327" s="231" t="s">
        <v>4716</v>
      </c>
      <c r="AC4327" s="217" t="s">
        <v>333</v>
      </c>
    </row>
    <row r="4328" spans="28:29">
      <c r="AB4328" s="231" t="s">
        <v>4717</v>
      </c>
      <c r="AC4328" s="217" t="s">
        <v>333</v>
      </c>
    </row>
    <row r="4329" spans="28:29">
      <c r="AB4329" s="231" t="s">
        <v>4718</v>
      </c>
      <c r="AC4329" s="217" t="s">
        <v>333</v>
      </c>
    </row>
    <row r="4330" spans="28:29">
      <c r="AB4330" s="231" t="s">
        <v>4719</v>
      </c>
      <c r="AC4330" s="217" t="s">
        <v>333</v>
      </c>
    </row>
    <row r="4331" spans="28:29">
      <c r="AB4331" s="231" t="s">
        <v>4720</v>
      </c>
      <c r="AC4331" s="217" t="s">
        <v>333</v>
      </c>
    </row>
    <row r="4332" spans="28:29">
      <c r="AB4332" s="231" t="s">
        <v>4721</v>
      </c>
      <c r="AC4332" s="217" t="s">
        <v>333</v>
      </c>
    </row>
    <row r="4333" spans="28:29">
      <c r="AB4333" s="231" t="s">
        <v>4722</v>
      </c>
      <c r="AC4333" s="217" t="s">
        <v>333</v>
      </c>
    </row>
    <row r="4334" spans="28:29">
      <c r="AB4334" s="231" t="s">
        <v>4723</v>
      </c>
      <c r="AC4334" s="217" t="s">
        <v>333</v>
      </c>
    </row>
    <row r="4335" spans="28:29">
      <c r="AB4335" s="231" t="s">
        <v>4724</v>
      </c>
      <c r="AC4335" s="217" t="s">
        <v>333</v>
      </c>
    </row>
    <row r="4336" spans="28:29">
      <c r="AB4336" s="231" t="s">
        <v>4725</v>
      </c>
      <c r="AC4336" s="217" t="s">
        <v>333</v>
      </c>
    </row>
    <row r="4337" spans="28:29">
      <c r="AB4337" s="231" t="s">
        <v>4726</v>
      </c>
      <c r="AC4337" s="217" t="s">
        <v>333</v>
      </c>
    </row>
    <row r="4338" spans="28:29">
      <c r="AB4338" s="231" t="s">
        <v>4727</v>
      </c>
      <c r="AC4338" s="217" t="s">
        <v>333</v>
      </c>
    </row>
    <row r="4339" spans="28:29">
      <c r="AB4339" s="231" t="s">
        <v>4728</v>
      </c>
      <c r="AC4339" s="217" t="s">
        <v>333</v>
      </c>
    </row>
    <row r="4340" spans="28:29">
      <c r="AB4340" s="231" t="s">
        <v>4729</v>
      </c>
      <c r="AC4340" s="217" t="s">
        <v>333</v>
      </c>
    </row>
    <row r="4341" spans="28:29">
      <c r="AB4341" s="231" t="s">
        <v>4730</v>
      </c>
      <c r="AC4341" s="217" t="s">
        <v>333</v>
      </c>
    </row>
    <row r="4342" spans="28:29">
      <c r="AB4342" s="231" t="s">
        <v>4731</v>
      </c>
      <c r="AC4342" s="217" t="s">
        <v>333</v>
      </c>
    </row>
    <row r="4343" spans="28:29">
      <c r="AB4343" s="231" t="s">
        <v>4732</v>
      </c>
      <c r="AC4343" s="217" t="s">
        <v>333</v>
      </c>
    </row>
    <row r="4344" spans="28:29">
      <c r="AB4344" s="231" t="s">
        <v>4733</v>
      </c>
      <c r="AC4344" s="217" t="s">
        <v>333</v>
      </c>
    </row>
    <row r="4345" spans="28:29">
      <c r="AB4345" s="231" t="s">
        <v>4734</v>
      </c>
      <c r="AC4345" s="217" t="s">
        <v>333</v>
      </c>
    </row>
    <row r="4346" spans="28:29">
      <c r="AB4346" s="231" t="s">
        <v>4735</v>
      </c>
      <c r="AC4346" s="217" t="s">
        <v>333</v>
      </c>
    </row>
    <row r="4347" spans="28:29">
      <c r="AB4347" s="231" t="s">
        <v>4736</v>
      </c>
      <c r="AC4347" s="217" t="s">
        <v>333</v>
      </c>
    </row>
    <row r="4348" spans="28:29">
      <c r="AB4348" s="231" t="s">
        <v>4737</v>
      </c>
      <c r="AC4348" s="217" t="s">
        <v>333</v>
      </c>
    </row>
    <row r="4349" spans="28:29">
      <c r="AB4349" s="231" t="s">
        <v>4738</v>
      </c>
      <c r="AC4349" s="217" t="s">
        <v>333</v>
      </c>
    </row>
    <row r="4350" spans="28:29">
      <c r="AB4350" s="231" t="s">
        <v>4739</v>
      </c>
      <c r="AC4350" s="217" t="s">
        <v>333</v>
      </c>
    </row>
    <row r="4351" spans="28:29">
      <c r="AB4351" s="231" t="s">
        <v>4740</v>
      </c>
      <c r="AC4351" s="217" t="s">
        <v>333</v>
      </c>
    </row>
    <row r="4352" spans="28:29">
      <c r="AB4352" s="231" t="s">
        <v>4741</v>
      </c>
      <c r="AC4352" s="217" t="s">
        <v>333</v>
      </c>
    </row>
    <row r="4353" spans="28:29">
      <c r="AB4353" s="231" t="s">
        <v>4742</v>
      </c>
      <c r="AC4353" s="217" t="s">
        <v>333</v>
      </c>
    </row>
    <row r="4354" spans="28:29">
      <c r="AB4354" s="231" t="s">
        <v>4743</v>
      </c>
      <c r="AC4354" s="217" t="s">
        <v>333</v>
      </c>
    </row>
    <row r="4355" spans="28:29">
      <c r="AB4355" s="231" t="s">
        <v>4744</v>
      </c>
      <c r="AC4355" s="217" t="s">
        <v>333</v>
      </c>
    </row>
    <row r="4356" spans="28:29">
      <c r="AB4356" s="231" t="s">
        <v>4745</v>
      </c>
      <c r="AC4356" s="217" t="s">
        <v>333</v>
      </c>
    </row>
    <row r="4357" spans="28:29">
      <c r="AB4357" s="231" t="s">
        <v>4746</v>
      </c>
      <c r="AC4357" s="217" t="s">
        <v>333</v>
      </c>
    </row>
    <row r="4358" spans="28:29">
      <c r="AB4358" s="231" t="s">
        <v>4747</v>
      </c>
      <c r="AC4358" s="217" t="s">
        <v>333</v>
      </c>
    </row>
    <row r="4359" spans="28:29">
      <c r="AB4359" s="231" t="s">
        <v>4748</v>
      </c>
      <c r="AC4359" s="217" t="s">
        <v>333</v>
      </c>
    </row>
    <row r="4360" spans="28:29">
      <c r="AB4360" s="231" t="s">
        <v>4749</v>
      </c>
      <c r="AC4360" s="217" t="s">
        <v>333</v>
      </c>
    </row>
    <row r="4361" spans="28:29">
      <c r="AB4361" s="231" t="s">
        <v>4750</v>
      </c>
      <c r="AC4361" s="217" t="s">
        <v>333</v>
      </c>
    </row>
    <row r="4362" spans="28:29">
      <c r="AB4362" s="231" t="s">
        <v>4751</v>
      </c>
      <c r="AC4362" s="217" t="s">
        <v>333</v>
      </c>
    </row>
    <row r="4363" spans="28:29">
      <c r="AB4363" s="231" t="s">
        <v>4752</v>
      </c>
      <c r="AC4363" s="217" t="s">
        <v>333</v>
      </c>
    </row>
    <row r="4364" spans="28:29">
      <c r="AB4364" s="231" t="s">
        <v>4753</v>
      </c>
      <c r="AC4364" s="217" t="s">
        <v>333</v>
      </c>
    </row>
    <row r="4365" spans="28:29">
      <c r="AB4365" s="231" t="s">
        <v>4754</v>
      </c>
      <c r="AC4365" s="217" t="s">
        <v>333</v>
      </c>
    </row>
    <row r="4366" spans="28:29">
      <c r="AB4366" s="231" t="s">
        <v>4755</v>
      </c>
      <c r="AC4366" s="217" t="s">
        <v>333</v>
      </c>
    </row>
    <row r="4367" spans="28:29">
      <c r="AB4367" s="231" t="s">
        <v>4756</v>
      </c>
      <c r="AC4367" s="217" t="s">
        <v>333</v>
      </c>
    </row>
    <row r="4368" spans="28:29">
      <c r="AB4368" s="231" t="s">
        <v>4757</v>
      </c>
      <c r="AC4368" s="217" t="s">
        <v>333</v>
      </c>
    </row>
    <row r="4369" spans="28:29">
      <c r="AB4369" s="231" t="s">
        <v>4758</v>
      </c>
      <c r="AC4369" s="217" t="s">
        <v>333</v>
      </c>
    </row>
    <row r="4370" spans="28:29">
      <c r="AB4370" s="231" t="s">
        <v>4759</v>
      </c>
      <c r="AC4370" s="217" t="s">
        <v>333</v>
      </c>
    </row>
    <row r="4371" spans="28:29">
      <c r="AB4371" s="231" t="s">
        <v>4760</v>
      </c>
      <c r="AC4371" s="217" t="s">
        <v>333</v>
      </c>
    </row>
    <row r="4372" spans="28:29">
      <c r="AB4372" s="231" t="s">
        <v>4761</v>
      </c>
      <c r="AC4372" s="217" t="s">
        <v>333</v>
      </c>
    </row>
    <row r="4373" spans="28:29">
      <c r="AB4373" s="231" t="s">
        <v>4762</v>
      </c>
      <c r="AC4373" s="217" t="s">
        <v>333</v>
      </c>
    </row>
    <row r="4374" spans="28:29">
      <c r="AB4374" s="231" t="s">
        <v>4763</v>
      </c>
      <c r="AC4374" s="217" t="s">
        <v>333</v>
      </c>
    </row>
    <row r="4375" spans="28:29">
      <c r="AB4375" s="231" t="s">
        <v>4764</v>
      </c>
      <c r="AC4375" s="217" t="s">
        <v>333</v>
      </c>
    </row>
    <row r="4376" spans="28:29">
      <c r="AB4376" s="231" t="s">
        <v>4765</v>
      </c>
      <c r="AC4376" s="217" t="s">
        <v>333</v>
      </c>
    </row>
    <row r="4377" spans="28:29">
      <c r="AB4377" s="231" t="s">
        <v>4766</v>
      </c>
      <c r="AC4377" s="217" t="s">
        <v>333</v>
      </c>
    </row>
    <row r="4378" spans="28:29">
      <c r="AB4378" s="231" t="s">
        <v>4767</v>
      </c>
      <c r="AC4378" s="217" t="s">
        <v>333</v>
      </c>
    </row>
    <row r="4379" spans="28:29">
      <c r="AB4379" s="231" t="s">
        <v>4768</v>
      </c>
      <c r="AC4379" s="217" t="s">
        <v>333</v>
      </c>
    </row>
    <row r="4380" spans="28:29">
      <c r="AB4380" s="231" t="s">
        <v>4769</v>
      </c>
      <c r="AC4380" s="217" t="s">
        <v>333</v>
      </c>
    </row>
    <row r="4381" spans="28:29">
      <c r="AB4381" s="231" t="s">
        <v>4770</v>
      </c>
      <c r="AC4381" s="217" t="s">
        <v>333</v>
      </c>
    </row>
    <row r="4382" spans="28:29">
      <c r="AB4382" s="231" t="s">
        <v>4771</v>
      </c>
      <c r="AC4382" s="217" t="s">
        <v>333</v>
      </c>
    </row>
    <row r="4383" spans="28:29">
      <c r="AB4383" s="231" t="s">
        <v>4772</v>
      </c>
      <c r="AC4383" s="217" t="s">
        <v>333</v>
      </c>
    </row>
    <row r="4384" spans="28:29">
      <c r="AB4384" s="231" t="s">
        <v>4773</v>
      </c>
      <c r="AC4384" s="217" t="s">
        <v>333</v>
      </c>
    </row>
    <row r="4385" spans="28:29">
      <c r="AB4385" s="231" t="s">
        <v>4774</v>
      </c>
      <c r="AC4385" s="217" t="s">
        <v>333</v>
      </c>
    </row>
    <row r="4386" spans="28:29">
      <c r="AB4386" s="231" t="s">
        <v>4775</v>
      </c>
      <c r="AC4386" s="217" t="s">
        <v>333</v>
      </c>
    </row>
    <row r="4387" spans="28:29">
      <c r="AB4387" s="231" t="s">
        <v>4776</v>
      </c>
      <c r="AC4387" s="217" t="s">
        <v>333</v>
      </c>
    </row>
    <row r="4388" spans="28:29">
      <c r="AB4388" s="231" t="s">
        <v>4777</v>
      </c>
      <c r="AC4388" s="217" t="s">
        <v>333</v>
      </c>
    </row>
    <row r="4389" spans="28:29">
      <c r="AB4389" s="231" t="s">
        <v>4778</v>
      </c>
      <c r="AC4389" s="217" t="s">
        <v>333</v>
      </c>
    </row>
    <row r="4390" spans="28:29">
      <c r="AB4390" s="231" t="s">
        <v>4779</v>
      </c>
      <c r="AC4390" s="217" t="s">
        <v>333</v>
      </c>
    </row>
    <row r="4391" spans="28:29">
      <c r="AB4391" s="231" t="s">
        <v>4780</v>
      </c>
      <c r="AC4391" s="217" t="s">
        <v>333</v>
      </c>
    </row>
    <row r="4392" spans="28:29">
      <c r="AB4392" s="231" t="s">
        <v>4781</v>
      </c>
      <c r="AC4392" s="217" t="s">
        <v>333</v>
      </c>
    </row>
    <row r="4393" spans="28:29">
      <c r="AB4393" s="231" t="s">
        <v>4782</v>
      </c>
      <c r="AC4393" s="217" t="s">
        <v>333</v>
      </c>
    </row>
    <row r="4394" spans="28:29">
      <c r="AB4394" s="231" t="s">
        <v>4783</v>
      </c>
      <c r="AC4394" s="217" t="s">
        <v>333</v>
      </c>
    </row>
    <row r="4395" spans="28:29">
      <c r="AB4395" s="231" t="s">
        <v>4784</v>
      </c>
      <c r="AC4395" s="217" t="s">
        <v>333</v>
      </c>
    </row>
    <row r="4396" spans="28:29">
      <c r="AB4396" s="231" t="s">
        <v>4785</v>
      </c>
      <c r="AC4396" s="217" t="s">
        <v>333</v>
      </c>
    </row>
    <row r="4397" spans="28:29">
      <c r="AB4397" s="231" t="s">
        <v>4786</v>
      </c>
      <c r="AC4397" s="217" t="s">
        <v>333</v>
      </c>
    </row>
    <row r="4398" spans="28:29">
      <c r="AB4398" s="231" t="s">
        <v>4787</v>
      </c>
      <c r="AC4398" s="217" t="s">
        <v>333</v>
      </c>
    </row>
    <row r="4399" spans="28:29">
      <c r="AB4399" s="231" t="s">
        <v>4788</v>
      </c>
      <c r="AC4399" s="217" t="s">
        <v>333</v>
      </c>
    </row>
    <row r="4400" spans="28:29">
      <c r="AB4400" s="231" t="s">
        <v>4789</v>
      </c>
      <c r="AC4400" s="217" t="s">
        <v>333</v>
      </c>
    </row>
    <row r="4401" spans="28:29">
      <c r="AB4401" s="231" t="s">
        <v>4790</v>
      </c>
      <c r="AC4401" s="217" t="s">
        <v>333</v>
      </c>
    </row>
    <row r="4402" spans="28:29">
      <c r="AB4402" s="231" t="s">
        <v>4791</v>
      </c>
      <c r="AC4402" s="217" t="s">
        <v>333</v>
      </c>
    </row>
    <row r="4403" spans="28:29">
      <c r="AB4403" s="231" t="s">
        <v>4792</v>
      </c>
      <c r="AC4403" s="217" t="s">
        <v>333</v>
      </c>
    </row>
    <row r="4404" spans="28:29">
      <c r="AB4404" s="231" t="s">
        <v>4793</v>
      </c>
      <c r="AC4404" s="217" t="s">
        <v>333</v>
      </c>
    </row>
    <row r="4405" spans="28:29">
      <c r="AB4405" s="231" t="s">
        <v>4794</v>
      </c>
      <c r="AC4405" s="217" t="s">
        <v>333</v>
      </c>
    </row>
    <row r="4406" spans="28:29">
      <c r="AB4406" s="231" t="s">
        <v>4795</v>
      </c>
      <c r="AC4406" s="217" t="s">
        <v>333</v>
      </c>
    </row>
    <row r="4407" spans="28:29">
      <c r="AB4407" s="231" t="s">
        <v>4796</v>
      </c>
      <c r="AC4407" s="217" t="s">
        <v>333</v>
      </c>
    </row>
    <row r="4408" spans="28:29">
      <c r="AB4408" s="231" t="s">
        <v>4797</v>
      </c>
      <c r="AC4408" s="217" t="s">
        <v>333</v>
      </c>
    </row>
    <row r="4409" spans="28:29">
      <c r="AB4409" s="231" t="s">
        <v>4798</v>
      </c>
      <c r="AC4409" s="217" t="s">
        <v>333</v>
      </c>
    </row>
    <row r="4410" spans="28:29">
      <c r="AB4410" s="231" t="s">
        <v>4799</v>
      </c>
      <c r="AC4410" s="217" t="s">
        <v>333</v>
      </c>
    </row>
    <row r="4411" spans="28:29">
      <c r="AB4411" s="231" t="s">
        <v>4800</v>
      </c>
      <c r="AC4411" s="217" t="s">
        <v>333</v>
      </c>
    </row>
    <row r="4412" spans="28:29">
      <c r="AB4412" s="231" t="s">
        <v>4801</v>
      </c>
      <c r="AC4412" s="217" t="s">
        <v>333</v>
      </c>
    </row>
    <row r="4413" spans="28:29">
      <c r="AB4413" s="231" t="s">
        <v>4802</v>
      </c>
      <c r="AC4413" s="217" t="s">
        <v>333</v>
      </c>
    </row>
    <row r="4414" spans="28:29">
      <c r="AB4414" s="231" t="s">
        <v>4803</v>
      </c>
      <c r="AC4414" s="217" t="s">
        <v>333</v>
      </c>
    </row>
    <row r="4415" spans="28:29">
      <c r="AB4415" s="231" t="s">
        <v>4804</v>
      </c>
      <c r="AC4415" s="217" t="s">
        <v>333</v>
      </c>
    </row>
    <row r="4416" spans="28:29">
      <c r="AB4416" s="231" t="s">
        <v>4805</v>
      </c>
      <c r="AC4416" s="217" t="s">
        <v>333</v>
      </c>
    </row>
    <row r="4417" spans="28:29">
      <c r="AB4417" s="231" t="s">
        <v>4806</v>
      </c>
      <c r="AC4417" s="217" t="s">
        <v>333</v>
      </c>
    </row>
    <row r="4418" spans="28:29">
      <c r="AB4418" s="231" t="s">
        <v>4807</v>
      </c>
      <c r="AC4418" s="217" t="s">
        <v>333</v>
      </c>
    </row>
    <row r="4419" spans="28:29">
      <c r="AB4419" s="231" t="s">
        <v>4808</v>
      </c>
      <c r="AC4419" s="217" t="s">
        <v>333</v>
      </c>
    </row>
    <row r="4420" spans="28:29">
      <c r="AB4420" s="231" t="s">
        <v>4809</v>
      </c>
      <c r="AC4420" s="217" t="s">
        <v>333</v>
      </c>
    </row>
    <row r="4421" spans="28:29">
      <c r="AB4421" s="231" t="s">
        <v>4810</v>
      </c>
      <c r="AC4421" s="217" t="s">
        <v>333</v>
      </c>
    </row>
    <row r="4422" spans="28:29">
      <c r="AB4422" s="231" t="s">
        <v>4811</v>
      </c>
      <c r="AC4422" s="217" t="s">
        <v>333</v>
      </c>
    </row>
    <row r="4423" spans="28:29">
      <c r="AB4423" s="231" t="s">
        <v>4812</v>
      </c>
      <c r="AC4423" s="217" t="s">
        <v>333</v>
      </c>
    </row>
    <row r="4424" spans="28:29">
      <c r="AB4424" s="231" t="s">
        <v>4813</v>
      </c>
      <c r="AC4424" s="217" t="s">
        <v>333</v>
      </c>
    </row>
    <row r="4425" spans="28:29">
      <c r="AB4425" s="231" t="s">
        <v>4814</v>
      </c>
      <c r="AC4425" s="217" t="s">
        <v>333</v>
      </c>
    </row>
    <row r="4426" spans="28:29">
      <c r="AB4426" s="231" t="s">
        <v>4815</v>
      </c>
      <c r="AC4426" s="217" t="s">
        <v>333</v>
      </c>
    </row>
    <row r="4427" spans="28:29">
      <c r="AB4427" s="231" t="s">
        <v>4816</v>
      </c>
      <c r="AC4427" s="217" t="s">
        <v>333</v>
      </c>
    </row>
    <row r="4428" spans="28:29">
      <c r="AB4428" s="231" t="s">
        <v>4817</v>
      </c>
      <c r="AC4428" s="217" t="s">
        <v>333</v>
      </c>
    </row>
    <row r="4429" spans="28:29">
      <c r="AB4429" s="231" t="s">
        <v>4818</v>
      </c>
      <c r="AC4429" s="217" t="s">
        <v>333</v>
      </c>
    </row>
    <row r="4430" spans="28:29">
      <c r="AB4430" s="231" t="s">
        <v>4819</v>
      </c>
      <c r="AC4430" s="217" t="s">
        <v>333</v>
      </c>
    </row>
    <row r="4431" spans="28:29">
      <c r="AB4431" s="231" t="s">
        <v>4820</v>
      </c>
      <c r="AC4431" s="217" t="s">
        <v>333</v>
      </c>
    </row>
    <row r="4432" spans="28:29">
      <c r="AB4432" s="231" t="s">
        <v>4821</v>
      </c>
      <c r="AC4432" s="217" t="s">
        <v>333</v>
      </c>
    </row>
    <row r="4433" spans="28:29">
      <c r="AB4433" s="231" t="s">
        <v>4822</v>
      </c>
      <c r="AC4433" s="217" t="s">
        <v>333</v>
      </c>
    </row>
    <row r="4434" spans="28:29">
      <c r="AB4434" s="231" t="s">
        <v>4823</v>
      </c>
      <c r="AC4434" s="217" t="s">
        <v>333</v>
      </c>
    </row>
    <row r="4435" spans="28:29">
      <c r="AB4435" s="231" t="s">
        <v>4824</v>
      </c>
      <c r="AC4435" s="217" t="s">
        <v>333</v>
      </c>
    </row>
    <row r="4436" spans="28:29">
      <c r="AB4436" s="231" t="s">
        <v>4825</v>
      </c>
      <c r="AC4436" s="217" t="s">
        <v>333</v>
      </c>
    </row>
    <row r="4437" spans="28:29">
      <c r="AB4437" s="231" t="s">
        <v>4826</v>
      </c>
      <c r="AC4437" s="217" t="s">
        <v>333</v>
      </c>
    </row>
    <row r="4438" spans="28:29">
      <c r="AB4438" s="231" t="s">
        <v>4827</v>
      </c>
      <c r="AC4438" s="217" t="s">
        <v>333</v>
      </c>
    </row>
    <row r="4439" spans="28:29">
      <c r="AB4439" s="231" t="s">
        <v>4828</v>
      </c>
      <c r="AC4439" s="217" t="s">
        <v>333</v>
      </c>
    </row>
    <row r="4440" spans="28:29">
      <c r="AB4440" s="231" t="s">
        <v>4829</v>
      </c>
      <c r="AC4440" s="217" t="s">
        <v>333</v>
      </c>
    </row>
    <row r="4441" spans="28:29">
      <c r="AB4441" s="231" t="s">
        <v>4830</v>
      </c>
      <c r="AC4441" s="217" t="s">
        <v>333</v>
      </c>
    </row>
    <row r="4442" spans="28:29">
      <c r="AB4442" s="231" t="s">
        <v>4831</v>
      </c>
      <c r="AC4442" s="217" t="s">
        <v>333</v>
      </c>
    </row>
    <row r="4443" spans="28:29">
      <c r="AB4443" s="231" t="s">
        <v>4832</v>
      </c>
      <c r="AC4443" s="217" t="s">
        <v>333</v>
      </c>
    </row>
    <row r="4444" spans="28:29">
      <c r="AB4444" s="231" t="s">
        <v>4833</v>
      </c>
      <c r="AC4444" s="217" t="s">
        <v>333</v>
      </c>
    </row>
    <row r="4445" spans="28:29">
      <c r="AB4445" s="231" t="s">
        <v>4834</v>
      </c>
      <c r="AC4445" s="217" t="s">
        <v>333</v>
      </c>
    </row>
    <row r="4446" spans="28:29">
      <c r="AB4446" s="231" t="s">
        <v>4835</v>
      </c>
      <c r="AC4446" s="217" t="s">
        <v>333</v>
      </c>
    </row>
    <row r="4447" spans="28:29">
      <c r="AB4447" s="231" t="s">
        <v>4836</v>
      </c>
      <c r="AC4447" s="217" t="s">
        <v>333</v>
      </c>
    </row>
    <row r="4448" spans="28:29">
      <c r="AB4448" s="231" t="s">
        <v>4837</v>
      </c>
      <c r="AC4448" s="217" t="s">
        <v>333</v>
      </c>
    </row>
    <row r="4449" spans="28:29">
      <c r="AB4449" s="231" t="s">
        <v>4838</v>
      </c>
      <c r="AC4449" s="217" t="s">
        <v>333</v>
      </c>
    </row>
    <row r="4450" spans="28:29">
      <c r="AB4450" s="231" t="s">
        <v>4839</v>
      </c>
      <c r="AC4450" s="217" t="s">
        <v>333</v>
      </c>
    </row>
    <row r="4451" spans="28:29">
      <c r="AB4451" s="231" t="s">
        <v>4840</v>
      </c>
      <c r="AC4451" s="217" t="s">
        <v>333</v>
      </c>
    </row>
    <row r="4452" spans="28:29">
      <c r="AB4452" s="231" t="s">
        <v>4841</v>
      </c>
      <c r="AC4452" s="217" t="s">
        <v>333</v>
      </c>
    </row>
    <row r="4453" spans="28:29">
      <c r="AB4453" s="231" t="s">
        <v>4842</v>
      </c>
      <c r="AC4453" s="217" t="s">
        <v>333</v>
      </c>
    </row>
    <row r="4454" spans="28:29">
      <c r="AB4454" s="231" t="s">
        <v>4843</v>
      </c>
      <c r="AC4454" s="217" t="s">
        <v>333</v>
      </c>
    </row>
    <row r="4455" spans="28:29">
      <c r="AB4455" s="231" t="s">
        <v>4844</v>
      </c>
      <c r="AC4455" s="217" t="s">
        <v>333</v>
      </c>
    </row>
    <row r="4456" spans="28:29">
      <c r="AB4456" s="231" t="s">
        <v>4845</v>
      </c>
      <c r="AC4456" s="217" t="s">
        <v>333</v>
      </c>
    </row>
    <row r="4457" spans="28:29">
      <c r="AB4457" s="231" t="s">
        <v>4846</v>
      </c>
      <c r="AC4457" s="217" t="s">
        <v>333</v>
      </c>
    </row>
    <row r="4458" spans="28:29">
      <c r="AB4458" s="231" t="s">
        <v>4847</v>
      </c>
      <c r="AC4458" s="217" t="s">
        <v>333</v>
      </c>
    </row>
    <row r="4459" spans="28:29">
      <c r="AB4459" s="231" t="s">
        <v>4848</v>
      </c>
      <c r="AC4459" s="217" t="s">
        <v>333</v>
      </c>
    </row>
    <row r="4460" spans="28:29">
      <c r="AB4460" s="231" t="s">
        <v>4849</v>
      </c>
      <c r="AC4460" s="217" t="s">
        <v>333</v>
      </c>
    </row>
    <row r="4461" spans="28:29">
      <c r="AB4461" s="231" t="s">
        <v>4850</v>
      </c>
      <c r="AC4461" s="217" t="s">
        <v>333</v>
      </c>
    </row>
    <row r="4462" spans="28:29">
      <c r="AB4462" s="231" t="s">
        <v>4851</v>
      </c>
      <c r="AC4462" s="217" t="s">
        <v>333</v>
      </c>
    </row>
    <row r="4463" spans="28:29">
      <c r="AB4463" s="231" t="s">
        <v>4852</v>
      </c>
      <c r="AC4463" s="217" t="s">
        <v>333</v>
      </c>
    </row>
    <row r="4464" spans="28:29">
      <c r="AB4464" s="231" t="s">
        <v>4853</v>
      </c>
      <c r="AC4464" s="217" t="s">
        <v>333</v>
      </c>
    </row>
    <row r="4465" spans="28:29">
      <c r="AB4465" s="231" t="s">
        <v>4854</v>
      </c>
      <c r="AC4465" s="217" t="s">
        <v>333</v>
      </c>
    </row>
    <row r="4466" spans="28:29">
      <c r="AB4466" s="231" t="s">
        <v>4855</v>
      </c>
      <c r="AC4466" s="217" t="s">
        <v>333</v>
      </c>
    </row>
    <row r="4467" spans="28:29">
      <c r="AB4467" s="231" t="s">
        <v>4856</v>
      </c>
      <c r="AC4467" s="217" t="s">
        <v>333</v>
      </c>
    </row>
    <row r="4468" spans="28:29">
      <c r="AB4468" s="231" t="s">
        <v>4857</v>
      </c>
      <c r="AC4468" s="217" t="s">
        <v>333</v>
      </c>
    </row>
    <row r="4469" spans="28:29">
      <c r="AB4469" s="231" t="s">
        <v>4858</v>
      </c>
      <c r="AC4469" s="217" t="s">
        <v>333</v>
      </c>
    </row>
    <row r="4470" spans="28:29">
      <c r="AB4470" s="231" t="s">
        <v>4859</v>
      </c>
      <c r="AC4470" s="217" t="s">
        <v>333</v>
      </c>
    </row>
    <row r="4471" spans="28:29">
      <c r="AB4471" s="231" t="s">
        <v>4860</v>
      </c>
      <c r="AC4471" s="217" t="s">
        <v>333</v>
      </c>
    </row>
    <row r="4472" spans="28:29">
      <c r="AB4472" s="231" t="s">
        <v>4861</v>
      </c>
      <c r="AC4472" s="217" t="s">
        <v>333</v>
      </c>
    </row>
    <row r="4473" spans="28:29">
      <c r="AB4473" s="231" t="s">
        <v>4862</v>
      </c>
      <c r="AC4473" s="217" t="s">
        <v>333</v>
      </c>
    </row>
    <row r="4474" spans="28:29">
      <c r="AB4474" s="231" t="s">
        <v>4863</v>
      </c>
      <c r="AC4474" s="217" t="s">
        <v>333</v>
      </c>
    </row>
    <row r="4475" spans="28:29">
      <c r="AB4475" s="231" t="s">
        <v>4864</v>
      </c>
      <c r="AC4475" s="217" t="s">
        <v>333</v>
      </c>
    </row>
    <row r="4476" spans="28:29">
      <c r="AB4476" s="231" t="s">
        <v>4865</v>
      </c>
      <c r="AC4476" s="217" t="s">
        <v>333</v>
      </c>
    </row>
    <row r="4477" spans="28:29">
      <c r="AB4477" s="231" t="s">
        <v>4866</v>
      </c>
      <c r="AC4477" s="217" t="s">
        <v>333</v>
      </c>
    </row>
    <row r="4478" spans="28:29">
      <c r="AB4478" s="231" t="s">
        <v>4867</v>
      </c>
      <c r="AC4478" s="217" t="s">
        <v>333</v>
      </c>
    </row>
    <row r="4479" spans="28:29">
      <c r="AB4479" s="231" t="s">
        <v>4868</v>
      </c>
      <c r="AC4479" s="217" t="s">
        <v>333</v>
      </c>
    </row>
    <row r="4480" spans="28:29">
      <c r="AB4480" s="231" t="s">
        <v>4869</v>
      </c>
      <c r="AC4480" s="217" t="s">
        <v>333</v>
      </c>
    </row>
    <row r="4481" spans="28:29">
      <c r="AB4481" s="231" t="s">
        <v>4870</v>
      </c>
      <c r="AC4481" s="217" t="s">
        <v>333</v>
      </c>
    </row>
    <row r="4482" spans="28:29">
      <c r="AB4482" s="231" t="s">
        <v>4871</v>
      </c>
      <c r="AC4482" s="217" t="s">
        <v>333</v>
      </c>
    </row>
    <row r="4483" spans="28:29">
      <c r="AB4483" s="231" t="s">
        <v>4872</v>
      </c>
      <c r="AC4483" s="217" t="s">
        <v>333</v>
      </c>
    </row>
    <row r="4484" spans="28:29">
      <c r="AB4484" s="231" t="s">
        <v>4873</v>
      </c>
      <c r="AC4484" s="217" t="s">
        <v>333</v>
      </c>
    </row>
    <row r="4485" spans="28:29">
      <c r="AB4485" s="231" t="s">
        <v>4874</v>
      </c>
      <c r="AC4485" s="217" t="s">
        <v>333</v>
      </c>
    </row>
    <row r="4486" spans="28:29">
      <c r="AB4486" s="231" t="s">
        <v>4875</v>
      </c>
      <c r="AC4486" s="217" t="s">
        <v>333</v>
      </c>
    </row>
    <row r="4487" spans="28:29">
      <c r="AB4487" s="231" t="s">
        <v>4876</v>
      </c>
      <c r="AC4487" s="217" t="s">
        <v>333</v>
      </c>
    </row>
    <row r="4488" spans="28:29">
      <c r="AB4488" s="231" t="s">
        <v>4877</v>
      </c>
      <c r="AC4488" s="217" t="s">
        <v>333</v>
      </c>
    </row>
    <row r="4489" spans="28:29">
      <c r="AB4489" s="231" t="s">
        <v>4878</v>
      </c>
      <c r="AC4489" s="217" t="s">
        <v>333</v>
      </c>
    </row>
    <row r="4490" spans="28:29">
      <c r="AB4490" s="231" t="s">
        <v>4879</v>
      </c>
      <c r="AC4490" s="217" t="s">
        <v>333</v>
      </c>
    </row>
    <row r="4491" spans="28:29">
      <c r="AB4491" s="231" t="s">
        <v>4880</v>
      </c>
      <c r="AC4491" s="217" t="s">
        <v>333</v>
      </c>
    </row>
    <row r="4492" spans="28:29">
      <c r="AB4492" s="231" t="s">
        <v>4881</v>
      </c>
      <c r="AC4492" s="217" t="s">
        <v>333</v>
      </c>
    </row>
    <row r="4493" spans="28:29">
      <c r="AB4493" s="231" t="s">
        <v>4882</v>
      </c>
      <c r="AC4493" s="217" t="s">
        <v>333</v>
      </c>
    </row>
    <row r="4494" spans="28:29">
      <c r="AB4494" s="231" t="s">
        <v>4883</v>
      </c>
      <c r="AC4494" s="217" t="s">
        <v>333</v>
      </c>
    </row>
    <row r="4495" spans="28:29">
      <c r="AB4495" s="231" t="s">
        <v>4884</v>
      </c>
      <c r="AC4495" s="217" t="s">
        <v>333</v>
      </c>
    </row>
    <row r="4496" spans="28:29">
      <c r="AB4496" s="231" t="s">
        <v>4885</v>
      </c>
      <c r="AC4496" s="217" t="s">
        <v>333</v>
      </c>
    </row>
    <row r="4497" spans="28:29">
      <c r="AB4497" s="231" t="s">
        <v>4886</v>
      </c>
      <c r="AC4497" s="217" t="s">
        <v>333</v>
      </c>
    </row>
    <row r="4498" spans="28:29">
      <c r="AB4498" s="231" t="s">
        <v>4887</v>
      </c>
      <c r="AC4498" s="217" t="s">
        <v>333</v>
      </c>
    </row>
    <row r="4499" spans="28:29">
      <c r="AB4499" s="231" t="s">
        <v>4888</v>
      </c>
      <c r="AC4499" s="217" t="s">
        <v>333</v>
      </c>
    </row>
    <row r="4500" spans="28:29">
      <c r="AB4500" s="231" t="s">
        <v>4889</v>
      </c>
      <c r="AC4500" s="217" t="s">
        <v>333</v>
      </c>
    </row>
    <row r="4501" spans="28:29">
      <c r="AB4501" s="231" t="s">
        <v>4890</v>
      </c>
      <c r="AC4501" s="217" t="s">
        <v>333</v>
      </c>
    </row>
    <row r="4502" spans="28:29">
      <c r="AB4502" s="231" t="s">
        <v>4891</v>
      </c>
      <c r="AC4502" s="217" t="s">
        <v>333</v>
      </c>
    </row>
    <row r="4503" spans="28:29">
      <c r="AB4503" s="231" t="s">
        <v>4892</v>
      </c>
      <c r="AC4503" s="217" t="s">
        <v>333</v>
      </c>
    </row>
    <row r="4504" spans="28:29">
      <c r="AB4504" s="231" t="s">
        <v>4893</v>
      </c>
      <c r="AC4504" s="217" t="s">
        <v>333</v>
      </c>
    </row>
    <row r="4505" spans="28:29">
      <c r="AB4505" s="231" t="s">
        <v>4894</v>
      </c>
      <c r="AC4505" s="217" t="s">
        <v>333</v>
      </c>
    </row>
    <row r="4506" spans="28:29">
      <c r="AB4506" s="231" t="s">
        <v>4895</v>
      </c>
      <c r="AC4506" s="217" t="s">
        <v>333</v>
      </c>
    </row>
    <row r="4507" spans="28:29">
      <c r="AB4507" s="231" t="s">
        <v>4896</v>
      </c>
      <c r="AC4507" s="217" t="s">
        <v>333</v>
      </c>
    </row>
    <row r="4508" spans="28:29">
      <c r="AB4508" s="231" t="s">
        <v>4897</v>
      </c>
      <c r="AC4508" s="217" t="s">
        <v>333</v>
      </c>
    </row>
    <row r="4509" spans="28:29">
      <c r="AB4509" s="231" t="s">
        <v>4898</v>
      </c>
      <c r="AC4509" s="217" t="s">
        <v>333</v>
      </c>
    </row>
    <row r="4510" spans="28:29">
      <c r="AB4510" s="231" t="s">
        <v>4899</v>
      </c>
      <c r="AC4510" s="217" t="s">
        <v>333</v>
      </c>
    </row>
    <row r="4511" spans="28:29">
      <c r="AB4511" s="231" t="s">
        <v>4900</v>
      </c>
      <c r="AC4511" s="217" t="s">
        <v>333</v>
      </c>
    </row>
    <row r="4512" spans="28:29">
      <c r="AB4512" s="231" t="s">
        <v>4901</v>
      </c>
      <c r="AC4512" s="217" t="s">
        <v>333</v>
      </c>
    </row>
    <row r="4513" spans="28:29">
      <c r="AB4513" s="231" t="s">
        <v>4902</v>
      </c>
      <c r="AC4513" s="217" t="s">
        <v>333</v>
      </c>
    </row>
    <row r="4514" spans="28:29">
      <c r="AB4514" s="231" t="s">
        <v>4903</v>
      </c>
      <c r="AC4514" s="217" t="s">
        <v>333</v>
      </c>
    </row>
    <row r="4515" spans="28:29">
      <c r="AB4515" s="231" t="s">
        <v>4904</v>
      </c>
      <c r="AC4515" s="217" t="s">
        <v>333</v>
      </c>
    </row>
    <row r="4516" spans="28:29">
      <c r="AB4516" s="231" t="s">
        <v>4905</v>
      </c>
      <c r="AC4516" s="217" t="s">
        <v>333</v>
      </c>
    </row>
    <row r="4517" spans="28:29">
      <c r="AB4517" s="231" t="s">
        <v>4906</v>
      </c>
      <c r="AC4517" s="217" t="s">
        <v>333</v>
      </c>
    </row>
    <row r="4518" spans="28:29">
      <c r="AB4518" s="231" t="s">
        <v>4907</v>
      </c>
      <c r="AC4518" s="217" t="s">
        <v>333</v>
      </c>
    </row>
    <row r="4519" spans="28:29">
      <c r="AB4519" s="231" t="s">
        <v>4908</v>
      </c>
      <c r="AC4519" s="217" t="s">
        <v>333</v>
      </c>
    </row>
    <row r="4520" spans="28:29">
      <c r="AB4520" s="231" t="s">
        <v>4909</v>
      </c>
      <c r="AC4520" s="217" t="s">
        <v>333</v>
      </c>
    </row>
    <row r="4521" spans="28:29">
      <c r="AB4521" s="231" t="s">
        <v>4910</v>
      </c>
      <c r="AC4521" s="217" t="s">
        <v>333</v>
      </c>
    </row>
    <row r="4522" spans="28:29">
      <c r="AB4522" s="231" t="s">
        <v>4911</v>
      </c>
      <c r="AC4522" s="217" t="s">
        <v>333</v>
      </c>
    </row>
    <row r="4523" spans="28:29">
      <c r="AB4523" s="231" t="s">
        <v>4912</v>
      </c>
      <c r="AC4523" s="217" t="s">
        <v>333</v>
      </c>
    </row>
    <row r="4524" spans="28:29">
      <c r="AB4524" s="231" t="s">
        <v>4913</v>
      </c>
      <c r="AC4524" s="217" t="s">
        <v>333</v>
      </c>
    </row>
    <row r="4525" spans="28:29">
      <c r="AB4525" s="231" t="s">
        <v>4914</v>
      </c>
      <c r="AC4525" s="217" t="s">
        <v>333</v>
      </c>
    </row>
    <row r="4526" spans="28:29">
      <c r="AB4526" s="231" t="s">
        <v>4915</v>
      </c>
      <c r="AC4526" s="217" t="s">
        <v>333</v>
      </c>
    </row>
    <row r="4527" spans="28:29">
      <c r="AB4527" s="231" t="s">
        <v>4916</v>
      </c>
      <c r="AC4527" s="217" t="s">
        <v>333</v>
      </c>
    </row>
    <row r="4528" spans="28:29">
      <c r="AB4528" s="231" t="s">
        <v>4917</v>
      </c>
      <c r="AC4528" s="217" t="s">
        <v>333</v>
      </c>
    </row>
    <row r="4529" spans="28:29">
      <c r="AB4529" s="231" t="s">
        <v>4918</v>
      </c>
      <c r="AC4529" s="217" t="s">
        <v>333</v>
      </c>
    </row>
    <row r="4530" spans="28:29">
      <c r="AB4530" s="231" t="s">
        <v>4919</v>
      </c>
      <c r="AC4530" s="217" t="s">
        <v>333</v>
      </c>
    </row>
    <row r="4531" spans="28:29">
      <c r="AB4531" s="231" t="s">
        <v>4920</v>
      </c>
      <c r="AC4531" s="217" t="s">
        <v>333</v>
      </c>
    </row>
    <row r="4532" spans="28:29">
      <c r="AB4532" s="231" t="s">
        <v>4921</v>
      </c>
      <c r="AC4532" s="217" t="s">
        <v>333</v>
      </c>
    </row>
    <row r="4533" spans="28:29">
      <c r="AB4533" s="231" t="s">
        <v>4922</v>
      </c>
      <c r="AC4533" s="217" t="s">
        <v>333</v>
      </c>
    </row>
    <row r="4534" spans="28:29">
      <c r="AB4534" s="231" t="s">
        <v>4923</v>
      </c>
      <c r="AC4534" s="217" t="s">
        <v>333</v>
      </c>
    </row>
    <row r="4535" spans="28:29">
      <c r="AB4535" s="231" t="s">
        <v>4924</v>
      </c>
      <c r="AC4535" s="217" t="s">
        <v>333</v>
      </c>
    </row>
    <row r="4536" spans="28:29">
      <c r="AB4536" s="231" t="s">
        <v>4925</v>
      </c>
      <c r="AC4536" s="217" t="s">
        <v>333</v>
      </c>
    </row>
    <row r="4537" spans="28:29">
      <c r="AB4537" s="231" t="s">
        <v>4926</v>
      </c>
      <c r="AC4537" s="217" t="s">
        <v>333</v>
      </c>
    </row>
    <row r="4538" spans="28:29">
      <c r="AB4538" s="231" t="s">
        <v>4927</v>
      </c>
      <c r="AC4538" s="217" t="s">
        <v>333</v>
      </c>
    </row>
    <row r="4539" spans="28:29">
      <c r="AB4539" s="231" t="s">
        <v>4928</v>
      </c>
      <c r="AC4539" s="217" t="s">
        <v>333</v>
      </c>
    </row>
    <row r="4540" spans="28:29">
      <c r="AB4540" s="231" t="s">
        <v>4929</v>
      </c>
      <c r="AC4540" s="217" t="s">
        <v>333</v>
      </c>
    </row>
    <row r="4541" spans="28:29">
      <c r="AB4541" s="231" t="s">
        <v>4930</v>
      </c>
      <c r="AC4541" s="217" t="s">
        <v>333</v>
      </c>
    </row>
    <row r="4542" spans="28:29">
      <c r="AB4542" s="231" t="s">
        <v>4931</v>
      </c>
      <c r="AC4542" s="217" t="s">
        <v>333</v>
      </c>
    </row>
    <row r="4543" spans="28:29">
      <c r="AB4543" s="231" t="s">
        <v>4932</v>
      </c>
      <c r="AC4543" s="217" t="s">
        <v>333</v>
      </c>
    </row>
    <row r="4544" spans="28:29">
      <c r="AB4544" s="231" t="s">
        <v>4933</v>
      </c>
      <c r="AC4544" s="217" t="s">
        <v>333</v>
      </c>
    </row>
    <row r="4545" spans="28:29">
      <c r="AB4545" s="231" t="s">
        <v>4934</v>
      </c>
      <c r="AC4545" s="217" t="s">
        <v>333</v>
      </c>
    </row>
    <row r="4546" spans="28:29">
      <c r="AB4546" s="231" t="s">
        <v>4935</v>
      </c>
      <c r="AC4546" s="217" t="s">
        <v>333</v>
      </c>
    </row>
    <row r="4547" spans="28:29">
      <c r="AB4547" s="231" t="s">
        <v>4936</v>
      </c>
      <c r="AC4547" s="217" t="s">
        <v>333</v>
      </c>
    </row>
    <row r="4548" spans="28:29">
      <c r="AB4548" s="231" t="s">
        <v>4937</v>
      </c>
      <c r="AC4548" s="217" t="s">
        <v>333</v>
      </c>
    </row>
    <row r="4549" spans="28:29">
      <c r="AB4549" s="231" t="s">
        <v>4938</v>
      </c>
      <c r="AC4549" s="217" t="s">
        <v>333</v>
      </c>
    </row>
    <row r="4550" spans="28:29">
      <c r="AB4550" s="231" t="s">
        <v>4939</v>
      </c>
      <c r="AC4550" s="217" t="s">
        <v>333</v>
      </c>
    </row>
    <row r="4551" spans="28:29">
      <c r="AB4551" s="231" t="s">
        <v>4940</v>
      </c>
      <c r="AC4551" s="217" t="s">
        <v>333</v>
      </c>
    </row>
    <row r="4552" spans="28:29">
      <c r="AB4552" s="231" t="s">
        <v>4941</v>
      </c>
      <c r="AC4552" s="217" t="s">
        <v>333</v>
      </c>
    </row>
    <row r="4553" spans="28:29">
      <c r="AB4553" s="231" t="s">
        <v>4942</v>
      </c>
      <c r="AC4553" s="217" t="s">
        <v>333</v>
      </c>
    </row>
    <row r="4554" spans="28:29">
      <c r="AB4554" s="231" t="s">
        <v>4943</v>
      </c>
      <c r="AC4554" s="217" t="s">
        <v>333</v>
      </c>
    </row>
    <row r="4555" spans="28:29">
      <c r="AB4555" s="231" t="s">
        <v>4944</v>
      </c>
      <c r="AC4555" s="217" t="s">
        <v>333</v>
      </c>
    </row>
    <row r="4556" spans="28:29">
      <c r="AB4556" s="231" t="s">
        <v>4945</v>
      </c>
      <c r="AC4556" s="217" t="s">
        <v>333</v>
      </c>
    </row>
    <row r="4557" spans="28:29">
      <c r="AB4557" s="231" t="s">
        <v>4946</v>
      </c>
      <c r="AC4557" s="217" t="s">
        <v>333</v>
      </c>
    </row>
    <row r="4558" spans="28:29">
      <c r="AB4558" s="231" t="s">
        <v>4947</v>
      </c>
      <c r="AC4558" s="217" t="s">
        <v>333</v>
      </c>
    </row>
    <row r="4559" spans="28:29">
      <c r="AB4559" s="231" t="s">
        <v>4948</v>
      </c>
      <c r="AC4559" s="217" t="s">
        <v>333</v>
      </c>
    </row>
    <row r="4560" spans="28:29">
      <c r="AB4560" s="231" t="s">
        <v>4949</v>
      </c>
      <c r="AC4560" s="217" t="s">
        <v>333</v>
      </c>
    </row>
    <row r="4561" spans="28:29">
      <c r="AB4561" s="231" t="s">
        <v>4950</v>
      </c>
      <c r="AC4561" s="217" t="s">
        <v>333</v>
      </c>
    </row>
    <row r="4562" spans="28:29">
      <c r="AB4562" s="231" t="s">
        <v>4951</v>
      </c>
      <c r="AC4562" s="217" t="s">
        <v>333</v>
      </c>
    </row>
    <row r="4563" spans="28:29">
      <c r="AB4563" s="231" t="s">
        <v>4952</v>
      </c>
      <c r="AC4563" s="217" t="s">
        <v>333</v>
      </c>
    </row>
    <row r="4564" spans="28:29">
      <c r="AB4564" s="231" t="s">
        <v>4953</v>
      </c>
      <c r="AC4564" s="217" t="s">
        <v>333</v>
      </c>
    </row>
    <row r="4565" spans="28:29">
      <c r="AB4565" s="231" t="s">
        <v>4954</v>
      </c>
      <c r="AC4565" s="217" t="s">
        <v>333</v>
      </c>
    </row>
    <row r="4566" spans="28:29">
      <c r="AB4566" s="231" t="s">
        <v>4955</v>
      </c>
      <c r="AC4566" s="217" t="s">
        <v>333</v>
      </c>
    </row>
    <row r="4567" spans="28:29">
      <c r="AB4567" s="231" t="s">
        <v>4956</v>
      </c>
      <c r="AC4567" s="217" t="s">
        <v>333</v>
      </c>
    </row>
    <row r="4568" spans="28:29">
      <c r="AB4568" s="231" t="s">
        <v>4957</v>
      </c>
      <c r="AC4568" s="217" t="s">
        <v>333</v>
      </c>
    </row>
    <row r="4569" spans="28:29">
      <c r="AB4569" s="231" t="s">
        <v>4958</v>
      </c>
      <c r="AC4569" s="217" t="s">
        <v>333</v>
      </c>
    </row>
    <row r="4570" spans="28:29">
      <c r="AB4570" s="231" t="s">
        <v>4959</v>
      </c>
      <c r="AC4570" s="217" t="s">
        <v>333</v>
      </c>
    </row>
    <row r="4571" spans="28:29">
      <c r="AB4571" s="231" t="s">
        <v>4960</v>
      </c>
      <c r="AC4571" s="217" t="s">
        <v>333</v>
      </c>
    </row>
    <row r="4572" spans="28:29">
      <c r="AB4572" s="231" t="s">
        <v>4961</v>
      </c>
      <c r="AC4572" s="217" t="s">
        <v>333</v>
      </c>
    </row>
    <row r="4573" spans="28:29">
      <c r="AB4573" s="231" t="s">
        <v>4962</v>
      </c>
      <c r="AC4573" s="217" t="s">
        <v>333</v>
      </c>
    </row>
    <row r="4574" spans="28:29">
      <c r="AB4574" s="231" t="s">
        <v>4963</v>
      </c>
      <c r="AC4574" s="217" t="s">
        <v>333</v>
      </c>
    </row>
    <row r="4575" spans="28:29">
      <c r="AB4575" s="231" t="s">
        <v>4964</v>
      </c>
      <c r="AC4575" s="217" t="s">
        <v>333</v>
      </c>
    </row>
    <row r="4576" spans="28:29">
      <c r="AB4576" s="231" t="s">
        <v>4965</v>
      </c>
      <c r="AC4576" s="217" t="s">
        <v>333</v>
      </c>
    </row>
    <row r="4577" spans="28:29">
      <c r="AB4577" s="231" t="s">
        <v>4966</v>
      </c>
      <c r="AC4577" s="217" t="s">
        <v>333</v>
      </c>
    </row>
    <row r="4578" spans="28:29">
      <c r="AB4578" s="231" t="s">
        <v>4967</v>
      </c>
      <c r="AC4578" s="217" t="s">
        <v>333</v>
      </c>
    </row>
    <row r="4579" spans="28:29">
      <c r="AB4579" s="231" t="s">
        <v>4968</v>
      </c>
      <c r="AC4579" s="217" t="s">
        <v>333</v>
      </c>
    </row>
    <row r="4580" spans="28:29">
      <c r="AB4580" s="231" t="s">
        <v>4969</v>
      </c>
      <c r="AC4580" s="217" t="s">
        <v>333</v>
      </c>
    </row>
    <row r="4581" spans="28:29">
      <c r="AB4581" s="231" t="s">
        <v>4970</v>
      </c>
      <c r="AC4581" s="217" t="s">
        <v>333</v>
      </c>
    </row>
    <row r="4582" spans="28:29">
      <c r="AB4582" s="231" t="s">
        <v>4971</v>
      </c>
      <c r="AC4582" s="217" t="s">
        <v>333</v>
      </c>
    </row>
    <row r="4583" spans="28:29">
      <c r="AB4583" s="231" t="s">
        <v>4972</v>
      </c>
      <c r="AC4583" s="217" t="s">
        <v>333</v>
      </c>
    </row>
    <row r="4584" spans="28:29">
      <c r="AB4584" s="231" t="s">
        <v>4973</v>
      </c>
      <c r="AC4584" s="217" t="s">
        <v>333</v>
      </c>
    </row>
    <row r="4585" spans="28:29">
      <c r="AB4585" s="231" t="s">
        <v>4974</v>
      </c>
      <c r="AC4585" s="217" t="s">
        <v>333</v>
      </c>
    </row>
    <row r="4586" spans="28:29">
      <c r="AB4586" s="231" t="s">
        <v>4975</v>
      </c>
      <c r="AC4586" s="217" t="s">
        <v>333</v>
      </c>
    </row>
    <row r="4587" spans="28:29">
      <c r="AB4587" s="231" t="s">
        <v>4976</v>
      </c>
      <c r="AC4587" s="217" t="s">
        <v>333</v>
      </c>
    </row>
    <row r="4588" spans="28:29">
      <c r="AB4588" s="231" t="s">
        <v>4977</v>
      </c>
      <c r="AC4588" s="217" t="s">
        <v>333</v>
      </c>
    </row>
    <row r="4589" spans="28:29">
      <c r="AB4589" s="231" t="s">
        <v>4978</v>
      </c>
      <c r="AC4589" s="217" t="s">
        <v>333</v>
      </c>
    </row>
    <row r="4590" spans="28:29">
      <c r="AB4590" s="231" t="s">
        <v>4979</v>
      </c>
      <c r="AC4590" s="217" t="s">
        <v>333</v>
      </c>
    </row>
    <row r="4591" spans="28:29">
      <c r="AB4591" s="231" t="s">
        <v>4980</v>
      </c>
      <c r="AC4591" s="217" t="s">
        <v>333</v>
      </c>
    </row>
    <row r="4592" spans="28:29">
      <c r="AB4592" s="231" t="s">
        <v>4981</v>
      </c>
      <c r="AC4592" s="217" t="s">
        <v>333</v>
      </c>
    </row>
    <row r="4593" spans="28:29">
      <c r="AB4593" s="231" t="s">
        <v>4982</v>
      </c>
      <c r="AC4593" s="217" t="s">
        <v>333</v>
      </c>
    </row>
    <row r="4594" spans="28:29">
      <c r="AB4594" s="231" t="s">
        <v>4983</v>
      </c>
      <c r="AC4594" s="217" t="s">
        <v>333</v>
      </c>
    </row>
    <row r="4595" spans="28:29">
      <c r="AB4595" s="231" t="s">
        <v>4984</v>
      </c>
      <c r="AC4595" s="217" t="s">
        <v>333</v>
      </c>
    </row>
    <row r="4596" spans="28:29">
      <c r="AB4596" s="231" t="s">
        <v>4985</v>
      </c>
      <c r="AC4596" s="217" t="s">
        <v>333</v>
      </c>
    </row>
    <row r="4597" spans="28:29">
      <c r="AB4597" s="231" t="s">
        <v>4986</v>
      </c>
      <c r="AC4597" s="217" t="s">
        <v>333</v>
      </c>
    </row>
    <row r="4598" spans="28:29">
      <c r="AB4598" s="231" t="s">
        <v>4987</v>
      </c>
      <c r="AC4598" s="217" t="s">
        <v>333</v>
      </c>
    </row>
    <row r="4599" spans="28:29">
      <c r="AB4599" s="231" t="s">
        <v>4988</v>
      </c>
      <c r="AC4599" s="217" t="s">
        <v>333</v>
      </c>
    </row>
    <row r="4600" spans="28:29">
      <c r="AB4600" s="231" t="s">
        <v>4989</v>
      </c>
      <c r="AC4600" s="217" t="s">
        <v>333</v>
      </c>
    </row>
    <row r="4601" spans="28:29">
      <c r="AB4601" s="231" t="s">
        <v>4990</v>
      </c>
      <c r="AC4601" s="217" t="s">
        <v>333</v>
      </c>
    </row>
    <row r="4602" spans="28:29">
      <c r="AB4602" s="231" t="s">
        <v>4991</v>
      </c>
      <c r="AC4602" s="217" t="s">
        <v>333</v>
      </c>
    </row>
    <row r="4603" spans="28:29">
      <c r="AB4603" s="231" t="s">
        <v>4992</v>
      </c>
      <c r="AC4603" s="217" t="s">
        <v>333</v>
      </c>
    </row>
    <row r="4604" spans="28:29">
      <c r="AB4604" s="231" t="s">
        <v>4993</v>
      </c>
      <c r="AC4604" s="217" t="s">
        <v>333</v>
      </c>
    </row>
    <row r="4605" spans="28:29">
      <c r="AB4605" s="231" t="s">
        <v>4994</v>
      </c>
      <c r="AC4605" s="217" t="s">
        <v>333</v>
      </c>
    </row>
    <row r="4606" spans="28:29">
      <c r="AB4606" s="231" t="s">
        <v>4995</v>
      </c>
      <c r="AC4606" s="217" t="s">
        <v>333</v>
      </c>
    </row>
    <row r="4607" spans="28:29">
      <c r="AB4607" s="231" t="s">
        <v>4996</v>
      </c>
      <c r="AC4607" s="217" t="s">
        <v>333</v>
      </c>
    </row>
    <row r="4608" spans="28:29">
      <c r="AB4608" s="231" t="s">
        <v>4997</v>
      </c>
      <c r="AC4608" s="217" t="s">
        <v>333</v>
      </c>
    </row>
    <row r="4609" spans="28:29">
      <c r="AB4609" s="231" t="s">
        <v>4998</v>
      </c>
      <c r="AC4609" s="217" t="s">
        <v>333</v>
      </c>
    </row>
    <row r="4610" spans="28:29">
      <c r="AB4610" s="231" t="s">
        <v>4999</v>
      </c>
      <c r="AC4610" s="217" t="s">
        <v>333</v>
      </c>
    </row>
    <row r="4611" spans="28:29">
      <c r="AB4611" s="231" t="s">
        <v>5000</v>
      </c>
      <c r="AC4611" s="217" t="s">
        <v>333</v>
      </c>
    </row>
    <row r="4612" spans="28:29">
      <c r="AB4612" s="231" t="s">
        <v>5001</v>
      </c>
      <c r="AC4612" s="217" t="s">
        <v>333</v>
      </c>
    </row>
    <row r="4613" spans="28:29">
      <c r="AB4613" s="231" t="s">
        <v>5002</v>
      </c>
      <c r="AC4613" s="217" t="s">
        <v>333</v>
      </c>
    </row>
    <row r="4614" spans="28:29">
      <c r="AB4614" s="231" t="s">
        <v>5003</v>
      </c>
      <c r="AC4614" s="217" t="s">
        <v>333</v>
      </c>
    </row>
    <row r="4615" spans="28:29">
      <c r="AB4615" s="231" t="s">
        <v>5004</v>
      </c>
      <c r="AC4615" s="217" t="s">
        <v>333</v>
      </c>
    </row>
    <row r="4616" spans="28:29">
      <c r="AB4616" s="231" t="s">
        <v>5005</v>
      </c>
      <c r="AC4616" s="217" t="s">
        <v>333</v>
      </c>
    </row>
    <row r="4617" spans="28:29">
      <c r="AB4617" s="231" t="s">
        <v>5006</v>
      </c>
      <c r="AC4617" s="217" t="s">
        <v>333</v>
      </c>
    </row>
    <row r="4618" spans="28:29">
      <c r="AB4618" s="231" t="s">
        <v>5007</v>
      </c>
      <c r="AC4618" s="217" t="s">
        <v>333</v>
      </c>
    </row>
    <row r="4619" spans="28:29">
      <c r="AB4619" s="231" t="s">
        <v>5008</v>
      </c>
      <c r="AC4619" s="217" t="s">
        <v>333</v>
      </c>
    </row>
    <row r="4620" spans="28:29">
      <c r="AB4620" s="231" t="s">
        <v>5009</v>
      </c>
      <c r="AC4620" s="217" t="s">
        <v>333</v>
      </c>
    </row>
    <row r="4621" spans="28:29">
      <c r="AB4621" s="231" t="s">
        <v>5010</v>
      </c>
      <c r="AC4621" s="217" t="s">
        <v>333</v>
      </c>
    </row>
    <row r="4622" spans="28:29">
      <c r="AB4622" s="231" t="s">
        <v>5011</v>
      </c>
      <c r="AC4622" s="217" t="s">
        <v>333</v>
      </c>
    </row>
    <row r="4623" spans="28:29">
      <c r="AB4623" s="231" t="s">
        <v>5012</v>
      </c>
      <c r="AC4623" s="217" t="s">
        <v>333</v>
      </c>
    </row>
    <row r="4624" spans="28:29">
      <c r="AB4624" s="231" t="s">
        <v>5013</v>
      </c>
      <c r="AC4624" s="217" t="s">
        <v>333</v>
      </c>
    </row>
    <row r="4625" spans="28:29">
      <c r="AB4625" s="231" t="s">
        <v>5014</v>
      </c>
      <c r="AC4625" s="217" t="s">
        <v>333</v>
      </c>
    </row>
    <row r="4626" spans="28:29">
      <c r="AB4626" s="231" t="s">
        <v>5015</v>
      </c>
      <c r="AC4626" s="217" t="s">
        <v>333</v>
      </c>
    </row>
    <row r="4627" spans="28:29">
      <c r="AB4627" s="231" t="s">
        <v>5016</v>
      </c>
      <c r="AC4627" s="217" t="s">
        <v>333</v>
      </c>
    </row>
    <row r="4628" spans="28:29">
      <c r="AB4628" s="231" t="s">
        <v>5017</v>
      </c>
      <c r="AC4628" s="217" t="s">
        <v>333</v>
      </c>
    </row>
    <row r="4629" spans="28:29">
      <c r="AB4629" s="231" t="s">
        <v>5018</v>
      </c>
      <c r="AC4629" s="217" t="s">
        <v>333</v>
      </c>
    </row>
    <row r="4630" spans="28:29">
      <c r="AB4630" s="231" t="s">
        <v>5019</v>
      </c>
      <c r="AC4630" s="217" t="s">
        <v>333</v>
      </c>
    </row>
    <row r="4631" spans="28:29">
      <c r="AB4631" s="231" t="s">
        <v>5020</v>
      </c>
      <c r="AC4631" s="217" t="s">
        <v>333</v>
      </c>
    </row>
    <row r="4632" spans="28:29">
      <c r="AB4632" s="231" t="s">
        <v>5021</v>
      </c>
      <c r="AC4632" s="217" t="s">
        <v>333</v>
      </c>
    </row>
    <row r="4633" spans="28:29">
      <c r="AB4633" s="231" t="s">
        <v>5022</v>
      </c>
      <c r="AC4633" s="217" t="s">
        <v>333</v>
      </c>
    </row>
    <row r="4634" spans="28:29">
      <c r="AB4634" s="231" t="s">
        <v>5023</v>
      </c>
      <c r="AC4634" s="217" t="s">
        <v>333</v>
      </c>
    </row>
    <row r="4635" spans="28:29">
      <c r="AB4635" s="231" t="s">
        <v>5024</v>
      </c>
      <c r="AC4635" s="217" t="s">
        <v>333</v>
      </c>
    </row>
    <row r="4636" spans="28:29">
      <c r="AB4636" s="231" t="s">
        <v>5025</v>
      </c>
      <c r="AC4636" s="217" t="s">
        <v>333</v>
      </c>
    </row>
    <row r="4637" spans="28:29">
      <c r="AB4637" s="231" t="s">
        <v>5026</v>
      </c>
      <c r="AC4637" s="217" t="s">
        <v>333</v>
      </c>
    </row>
    <row r="4638" spans="28:29">
      <c r="AB4638" s="231" t="s">
        <v>5027</v>
      </c>
      <c r="AC4638" s="217" t="s">
        <v>333</v>
      </c>
    </row>
    <row r="4639" spans="28:29">
      <c r="AB4639" s="231" t="s">
        <v>5028</v>
      </c>
      <c r="AC4639" s="217" t="s">
        <v>333</v>
      </c>
    </row>
    <row r="4640" spans="28:29">
      <c r="AB4640" s="231" t="s">
        <v>5029</v>
      </c>
      <c r="AC4640" s="217" t="s">
        <v>333</v>
      </c>
    </row>
    <row r="4641" spans="28:29">
      <c r="AB4641" s="231" t="s">
        <v>5030</v>
      </c>
      <c r="AC4641" s="217" t="s">
        <v>333</v>
      </c>
    </row>
    <row r="4642" spans="28:29">
      <c r="AB4642" s="231" t="s">
        <v>5031</v>
      </c>
      <c r="AC4642" s="217" t="s">
        <v>333</v>
      </c>
    </row>
    <row r="4643" spans="28:29">
      <c r="AB4643" s="231" t="s">
        <v>5032</v>
      </c>
      <c r="AC4643" s="217" t="s">
        <v>333</v>
      </c>
    </row>
    <row r="4644" spans="28:29">
      <c r="AB4644" s="231" t="s">
        <v>5033</v>
      </c>
      <c r="AC4644" s="217" t="s">
        <v>333</v>
      </c>
    </row>
    <row r="4645" spans="28:29">
      <c r="AB4645" s="231" t="s">
        <v>5034</v>
      </c>
      <c r="AC4645" s="217" t="s">
        <v>333</v>
      </c>
    </row>
    <row r="4646" spans="28:29">
      <c r="AB4646" s="231" t="s">
        <v>5035</v>
      </c>
      <c r="AC4646" s="217" t="s">
        <v>333</v>
      </c>
    </row>
    <row r="4647" spans="28:29">
      <c r="AB4647" s="231" t="s">
        <v>5036</v>
      </c>
      <c r="AC4647" s="217" t="s">
        <v>333</v>
      </c>
    </row>
    <row r="4648" spans="28:29">
      <c r="AB4648" s="231" t="s">
        <v>5037</v>
      </c>
      <c r="AC4648" s="217" t="s">
        <v>333</v>
      </c>
    </row>
    <row r="4649" spans="28:29">
      <c r="AB4649" s="231" t="s">
        <v>5038</v>
      </c>
      <c r="AC4649" s="217" t="s">
        <v>333</v>
      </c>
    </row>
    <row r="4650" spans="28:29">
      <c r="AB4650" s="231" t="s">
        <v>5039</v>
      </c>
      <c r="AC4650" s="217" t="s">
        <v>333</v>
      </c>
    </row>
    <row r="4651" spans="28:29">
      <c r="AB4651" s="231" t="s">
        <v>5040</v>
      </c>
      <c r="AC4651" s="217" t="s">
        <v>333</v>
      </c>
    </row>
    <row r="4652" spans="28:29">
      <c r="AB4652" s="231" t="s">
        <v>5041</v>
      </c>
      <c r="AC4652" s="217" t="s">
        <v>333</v>
      </c>
    </row>
    <row r="4653" spans="28:29">
      <c r="AB4653" s="231" t="s">
        <v>5042</v>
      </c>
      <c r="AC4653" s="217" t="s">
        <v>333</v>
      </c>
    </row>
    <row r="4654" spans="28:29">
      <c r="AB4654" s="231" t="s">
        <v>5043</v>
      </c>
      <c r="AC4654" s="217" t="s">
        <v>333</v>
      </c>
    </row>
    <row r="4655" spans="28:29">
      <c r="AB4655" s="231" t="s">
        <v>5044</v>
      </c>
      <c r="AC4655" s="217" t="s">
        <v>333</v>
      </c>
    </row>
    <row r="4656" spans="28:29">
      <c r="AB4656" s="231" t="s">
        <v>5045</v>
      </c>
      <c r="AC4656" s="217" t="s">
        <v>333</v>
      </c>
    </row>
    <row r="4657" spans="28:29">
      <c r="AB4657" s="231" t="s">
        <v>5046</v>
      </c>
      <c r="AC4657" s="217" t="s">
        <v>333</v>
      </c>
    </row>
    <row r="4658" spans="28:29">
      <c r="AB4658" s="231" t="s">
        <v>5047</v>
      </c>
      <c r="AC4658" s="217" t="s">
        <v>333</v>
      </c>
    </row>
    <row r="4659" spans="28:29">
      <c r="AB4659" s="231" t="s">
        <v>5048</v>
      </c>
      <c r="AC4659" s="217" t="s">
        <v>333</v>
      </c>
    </row>
    <row r="4660" spans="28:29">
      <c r="AB4660" s="231" t="s">
        <v>5049</v>
      </c>
      <c r="AC4660" s="217" t="s">
        <v>333</v>
      </c>
    </row>
    <row r="4661" spans="28:29">
      <c r="AB4661" s="231" t="s">
        <v>5050</v>
      </c>
      <c r="AC4661" s="217" t="s">
        <v>333</v>
      </c>
    </row>
    <row r="4662" spans="28:29">
      <c r="AB4662" s="231" t="s">
        <v>5051</v>
      </c>
      <c r="AC4662" s="217" t="s">
        <v>333</v>
      </c>
    </row>
    <row r="4663" spans="28:29">
      <c r="AB4663" s="231" t="s">
        <v>5052</v>
      </c>
      <c r="AC4663" s="217" t="s">
        <v>333</v>
      </c>
    </row>
    <row r="4664" spans="28:29">
      <c r="AB4664" s="231" t="s">
        <v>5053</v>
      </c>
      <c r="AC4664" s="217" t="s">
        <v>333</v>
      </c>
    </row>
    <row r="4665" spans="28:29">
      <c r="AB4665" s="231" t="s">
        <v>5054</v>
      </c>
      <c r="AC4665" s="217" t="s">
        <v>333</v>
      </c>
    </row>
    <row r="4666" spans="28:29">
      <c r="AB4666" s="231" t="s">
        <v>5055</v>
      </c>
      <c r="AC4666" s="217" t="s">
        <v>333</v>
      </c>
    </row>
    <row r="4667" spans="28:29">
      <c r="AB4667" s="231" t="s">
        <v>5056</v>
      </c>
      <c r="AC4667" s="217" t="s">
        <v>333</v>
      </c>
    </row>
    <row r="4668" spans="28:29">
      <c r="AB4668" s="231" t="s">
        <v>5057</v>
      </c>
      <c r="AC4668" s="217" t="s">
        <v>333</v>
      </c>
    </row>
    <row r="4669" spans="28:29">
      <c r="AB4669" s="231" t="s">
        <v>5058</v>
      </c>
      <c r="AC4669" s="217" t="s">
        <v>333</v>
      </c>
    </row>
    <row r="4670" spans="28:29">
      <c r="AB4670" s="231" t="s">
        <v>5059</v>
      </c>
      <c r="AC4670" s="217" t="s">
        <v>333</v>
      </c>
    </row>
    <row r="4671" spans="28:29">
      <c r="AB4671" s="231" t="s">
        <v>5060</v>
      </c>
      <c r="AC4671" s="217" t="s">
        <v>333</v>
      </c>
    </row>
    <row r="4672" spans="28:29">
      <c r="AB4672" s="231" t="s">
        <v>5061</v>
      </c>
      <c r="AC4672" s="217" t="s">
        <v>333</v>
      </c>
    </row>
    <row r="4673" spans="28:29">
      <c r="AB4673" s="231" t="s">
        <v>5062</v>
      </c>
      <c r="AC4673" s="217" t="s">
        <v>333</v>
      </c>
    </row>
    <row r="4674" spans="28:29">
      <c r="AB4674" s="231" t="s">
        <v>5063</v>
      </c>
      <c r="AC4674" s="217" t="s">
        <v>333</v>
      </c>
    </row>
    <row r="4675" spans="28:29">
      <c r="AB4675" s="231" t="s">
        <v>5064</v>
      </c>
      <c r="AC4675" s="217" t="s">
        <v>333</v>
      </c>
    </row>
    <row r="4676" spans="28:29">
      <c r="AB4676" s="231" t="s">
        <v>5065</v>
      </c>
      <c r="AC4676" s="217" t="s">
        <v>333</v>
      </c>
    </row>
    <row r="4677" spans="28:29">
      <c r="AB4677" s="231" t="s">
        <v>5066</v>
      </c>
      <c r="AC4677" s="217" t="s">
        <v>333</v>
      </c>
    </row>
    <row r="4678" spans="28:29">
      <c r="AB4678" s="231" t="s">
        <v>5067</v>
      </c>
      <c r="AC4678" s="217" t="s">
        <v>333</v>
      </c>
    </row>
    <row r="4679" spans="28:29">
      <c r="AB4679" s="231" t="s">
        <v>5068</v>
      </c>
      <c r="AC4679" s="217" t="s">
        <v>333</v>
      </c>
    </row>
    <row r="4680" spans="28:29">
      <c r="AB4680" s="231" t="s">
        <v>5069</v>
      </c>
      <c r="AC4680" s="217" t="s">
        <v>333</v>
      </c>
    </row>
    <row r="4681" spans="28:29">
      <c r="AB4681" s="231" t="s">
        <v>5070</v>
      </c>
      <c r="AC4681" s="217" t="s">
        <v>333</v>
      </c>
    </row>
    <row r="4682" spans="28:29">
      <c r="AB4682" s="231" t="s">
        <v>5071</v>
      </c>
      <c r="AC4682" s="217" t="s">
        <v>333</v>
      </c>
    </row>
    <row r="4683" spans="28:29">
      <c r="AB4683" s="231" t="s">
        <v>5072</v>
      </c>
      <c r="AC4683" s="217" t="s">
        <v>333</v>
      </c>
    </row>
    <row r="4684" spans="28:29">
      <c r="AB4684" s="231" t="s">
        <v>5073</v>
      </c>
      <c r="AC4684" s="217" t="s">
        <v>333</v>
      </c>
    </row>
    <row r="4685" spans="28:29">
      <c r="AB4685" s="231" t="s">
        <v>5074</v>
      </c>
      <c r="AC4685" s="217" t="s">
        <v>333</v>
      </c>
    </row>
    <row r="4686" spans="28:29">
      <c r="AB4686" s="231" t="s">
        <v>5075</v>
      </c>
      <c r="AC4686" s="217" t="s">
        <v>333</v>
      </c>
    </row>
    <row r="4687" spans="28:29">
      <c r="AB4687" s="231" t="s">
        <v>5076</v>
      </c>
      <c r="AC4687" s="217" t="s">
        <v>333</v>
      </c>
    </row>
    <row r="4688" spans="28:29">
      <c r="AB4688" s="231" t="s">
        <v>5077</v>
      </c>
      <c r="AC4688" s="217" t="s">
        <v>333</v>
      </c>
    </row>
    <row r="4689" spans="28:29">
      <c r="AB4689" s="231" t="s">
        <v>5078</v>
      </c>
      <c r="AC4689" s="217" t="s">
        <v>333</v>
      </c>
    </row>
    <row r="4690" spans="28:29">
      <c r="AB4690" s="231" t="s">
        <v>5079</v>
      </c>
      <c r="AC4690" s="217" t="s">
        <v>333</v>
      </c>
    </row>
    <row r="4691" spans="28:29">
      <c r="AB4691" s="231" t="s">
        <v>5080</v>
      </c>
      <c r="AC4691" s="217" t="s">
        <v>333</v>
      </c>
    </row>
    <row r="4692" spans="28:29">
      <c r="AB4692" s="231" t="s">
        <v>5081</v>
      </c>
      <c r="AC4692" s="217" t="s">
        <v>333</v>
      </c>
    </row>
    <row r="4693" spans="28:29">
      <c r="AB4693" s="231" t="s">
        <v>5082</v>
      </c>
      <c r="AC4693" s="217" t="s">
        <v>333</v>
      </c>
    </row>
    <row r="4694" spans="28:29">
      <c r="AB4694" s="231" t="s">
        <v>5083</v>
      </c>
      <c r="AC4694" s="217" t="s">
        <v>333</v>
      </c>
    </row>
    <row r="4695" spans="28:29">
      <c r="AB4695" s="231" t="s">
        <v>5084</v>
      </c>
      <c r="AC4695" s="217" t="s">
        <v>333</v>
      </c>
    </row>
    <row r="4696" spans="28:29">
      <c r="AB4696" s="231" t="s">
        <v>5085</v>
      </c>
      <c r="AC4696" s="217" t="s">
        <v>333</v>
      </c>
    </row>
    <row r="4697" spans="28:29">
      <c r="AB4697" s="231" t="s">
        <v>5086</v>
      </c>
      <c r="AC4697" s="217" t="s">
        <v>333</v>
      </c>
    </row>
    <row r="4698" spans="28:29">
      <c r="AB4698" s="231" t="s">
        <v>5087</v>
      </c>
      <c r="AC4698" s="217" t="s">
        <v>333</v>
      </c>
    </row>
    <row r="4699" spans="28:29">
      <c r="AB4699" s="231" t="s">
        <v>5088</v>
      </c>
      <c r="AC4699" s="217" t="s">
        <v>333</v>
      </c>
    </row>
    <row r="4700" spans="28:29">
      <c r="AB4700" s="231" t="s">
        <v>5089</v>
      </c>
      <c r="AC4700" s="217" t="s">
        <v>333</v>
      </c>
    </row>
    <row r="4701" spans="28:29">
      <c r="AB4701" s="231" t="s">
        <v>5090</v>
      </c>
      <c r="AC4701" s="217" t="s">
        <v>333</v>
      </c>
    </row>
    <row r="4702" spans="28:29">
      <c r="AB4702" s="231" t="s">
        <v>5091</v>
      </c>
      <c r="AC4702" s="217" t="s">
        <v>333</v>
      </c>
    </row>
    <row r="4703" spans="28:29">
      <c r="AB4703" s="231" t="s">
        <v>5092</v>
      </c>
      <c r="AC4703" s="217" t="s">
        <v>333</v>
      </c>
    </row>
    <row r="4704" spans="28:29">
      <c r="AB4704" s="231" t="s">
        <v>5093</v>
      </c>
      <c r="AC4704" s="217" t="s">
        <v>333</v>
      </c>
    </row>
    <row r="4705" spans="28:29">
      <c r="AB4705" s="231" t="s">
        <v>5094</v>
      </c>
      <c r="AC4705" s="217" t="s">
        <v>333</v>
      </c>
    </row>
    <row r="4706" spans="28:29">
      <c r="AB4706" s="231" t="s">
        <v>5095</v>
      </c>
      <c r="AC4706" s="217" t="s">
        <v>333</v>
      </c>
    </row>
    <row r="4707" spans="28:29">
      <c r="AB4707" s="231" t="s">
        <v>5096</v>
      </c>
      <c r="AC4707" s="217" t="s">
        <v>333</v>
      </c>
    </row>
    <row r="4708" spans="28:29">
      <c r="AB4708" s="231" t="s">
        <v>5097</v>
      </c>
      <c r="AC4708" s="217" t="s">
        <v>333</v>
      </c>
    </row>
    <row r="4709" spans="28:29">
      <c r="AB4709" s="231" t="s">
        <v>5098</v>
      </c>
      <c r="AC4709" s="217" t="s">
        <v>333</v>
      </c>
    </row>
    <row r="4710" spans="28:29">
      <c r="AB4710" s="231" t="s">
        <v>5099</v>
      </c>
      <c r="AC4710" s="217" t="s">
        <v>333</v>
      </c>
    </row>
    <row r="4711" spans="28:29">
      <c r="AB4711" s="231" t="s">
        <v>5100</v>
      </c>
      <c r="AC4711" s="217" t="s">
        <v>333</v>
      </c>
    </row>
    <row r="4712" spans="28:29">
      <c r="AB4712" s="231" t="s">
        <v>5101</v>
      </c>
      <c r="AC4712" s="217" t="s">
        <v>333</v>
      </c>
    </row>
    <row r="4713" spans="28:29">
      <c r="AB4713" s="231" t="s">
        <v>5102</v>
      </c>
      <c r="AC4713" s="217" t="s">
        <v>333</v>
      </c>
    </row>
    <row r="4714" spans="28:29">
      <c r="AB4714" s="231" t="s">
        <v>5103</v>
      </c>
      <c r="AC4714" s="217" t="s">
        <v>333</v>
      </c>
    </row>
    <row r="4715" spans="28:29">
      <c r="AB4715" s="231" t="s">
        <v>5104</v>
      </c>
      <c r="AC4715" s="217" t="s">
        <v>333</v>
      </c>
    </row>
    <row r="4716" spans="28:29">
      <c r="AB4716" s="231" t="s">
        <v>5105</v>
      </c>
      <c r="AC4716" s="217" t="s">
        <v>333</v>
      </c>
    </row>
    <row r="4717" spans="28:29">
      <c r="AB4717" s="231" t="s">
        <v>5106</v>
      </c>
      <c r="AC4717" s="217" t="s">
        <v>333</v>
      </c>
    </row>
    <row r="4718" spans="28:29">
      <c r="AB4718" s="231" t="s">
        <v>5107</v>
      </c>
      <c r="AC4718" s="217" t="s">
        <v>333</v>
      </c>
    </row>
    <row r="4719" spans="28:29">
      <c r="AB4719" s="231" t="s">
        <v>5108</v>
      </c>
      <c r="AC4719" s="217" t="s">
        <v>333</v>
      </c>
    </row>
    <row r="4720" spans="28:29">
      <c r="AB4720" s="231" t="s">
        <v>5109</v>
      </c>
      <c r="AC4720" s="217" t="s">
        <v>333</v>
      </c>
    </row>
    <row r="4721" spans="28:29">
      <c r="AB4721" s="231" t="s">
        <v>5110</v>
      </c>
      <c r="AC4721" s="217" t="s">
        <v>333</v>
      </c>
    </row>
    <row r="4722" spans="28:29">
      <c r="AB4722" s="231" t="s">
        <v>5111</v>
      </c>
      <c r="AC4722" s="217" t="s">
        <v>333</v>
      </c>
    </row>
    <row r="4723" spans="28:29">
      <c r="AB4723" s="231" t="s">
        <v>5112</v>
      </c>
      <c r="AC4723" s="217" t="s">
        <v>333</v>
      </c>
    </row>
    <row r="4724" spans="28:29">
      <c r="AB4724" s="231" t="s">
        <v>5113</v>
      </c>
      <c r="AC4724" s="217" t="s">
        <v>333</v>
      </c>
    </row>
    <row r="4725" spans="28:29">
      <c r="AB4725" s="231" t="s">
        <v>5114</v>
      </c>
      <c r="AC4725" s="217" t="s">
        <v>333</v>
      </c>
    </row>
    <row r="4726" spans="28:29">
      <c r="AB4726" s="231" t="s">
        <v>5115</v>
      </c>
      <c r="AC4726" s="217" t="s">
        <v>333</v>
      </c>
    </row>
    <row r="4727" spans="28:29">
      <c r="AB4727" s="231" t="s">
        <v>5116</v>
      </c>
      <c r="AC4727" s="217" t="s">
        <v>333</v>
      </c>
    </row>
    <row r="4728" spans="28:29">
      <c r="AB4728" s="231" t="s">
        <v>5117</v>
      </c>
      <c r="AC4728" s="217" t="s">
        <v>333</v>
      </c>
    </row>
    <row r="4729" spans="28:29">
      <c r="AB4729" s="231" t="s">
        <v>5118</v>
      </c>
      <c r="AC4729" s="217" t="s">
        <v>333</v>
      </c>
    </row>
    <row r="4730" spans="28:29">
      <c r="AB4730" s="231" t="s">
        <v>5119</v>
      </c>
      <c r="AC4730" s="217" t="s">
        <v>333</v>
      </c>
    </row>
    <row r="4731" spans="28:29">
      <c r="AB4731" s="231" t="s">
        <v>5120</v>
      </c>
      <c r="AC4731" s="217" t="s">
        <v>333</v>
      </c>
    </row>
    <row r="4732" spans="28:29">
      <c r="AB4732" s="231" t="s">
        <v>5121</v>
      </c>
      <c r="AC4732" s="217" t="s">
        <v>333</v>
      </c>
    </row>
    <row r="4733" spans="28:29">
      <c r="AB4733" s="231" t="s">
        <v>5122</v>
      </c>
      <c r="AC4733" s="217" t="s">
        <v>333</v>
      </c>
    </row>
    <row r="4734" spans="28:29">
      <c r="AB4734" s="231" t="s">
        <v>5123</v>
      </c>
      <c r="AC4734" s="217" t="s">
        <v>333</v>
      </c>
    </row>
    <row r="4735" spans="28:29">
      <c r="AB4735" s="231" t="s">
        <v>5124</v>
      </c>
      <c r="AC4735" s="217" t="s">
        <v>333</v>
      </c>
    </row>
    <row r="4736" spans="28:29">
      <c r="AB4736" s="231" t="s">
        <v>5125</v>
      </c>
      <c r="AC4736" s="217" t="s">
        <v>333</v>
      </c>
    </row>
    <row r="4737" spans="28:29">
      <c r="AB4737" s="231" t="s">
        <v>5126</v>
      </c>
      <c r="AC4737" s="217" t="s">
        <v>333</v>
      </c>
    </row>
    <row r="4738" spans="28:29">
      <c r="AB4738" s="231" t="s">
        <v>5127</v>
      </c>
      <c r="AC4738" s="217" t="s">
        <v>333</v>
      </c>
    </row>
    <row r="4739" spans="28:29">
      <c r="AB4739" s="231" t="s">
        <v>5128</v>
      </c>
      <c r="AC4739" s="217" t="s">
        <v>333</v>
      </c>
    </row>
    <row r="4740" spans="28:29">
      <c r="AB4740" s="231" t="s">
        <v>5129</v>
      </c>
      <c r="AC4740" s="217" t="s">
        <v>333</v>
      </c>
    </row>
    <row r="4741" spans="28:29">
      <c r="AB4741" s="231" t="s">
        <v>5130</v>
      </c>
      <c r="AC4741" s="217" t="s">
        <v>333</v>
      </c>
    </row>
    <row r="4742" spans="28:29">
      <c r="AB4742" s="231" t="s">
        <v>5131</v>
      </c>
      <c r="AC4742" s="217" t="s">
        <v>333</v>
      </c>
    </row>
    <row r="4743" spans="28:29">
      <c r="AB4743" s="231" t="s">
        <v>5132</v>
      </c>
      <c r="AC4743" s="217" t="s">
        <v>333</v>
      </c>
    </row>
    <row r="4744" spans="28:29">
      <c r="AB4744" s="231" t="s">
        <v>5133</v>
      </c>
      <c r="AC4744" s="217" t="s">
        <v>333</v>
      </c>
    </row>
    <row r="4745" spans="28:29">
      <c r="AB4745" s="231" t="s">
        <v>5134</v>
      </c>
      <c r="AC4745" s="217" t="s">
        <v>333</v>
      </c>
    </row>
    <row r="4746" spans="28:29">
      <c r="AB4746" s="231" t="s">
        <v>5135</v>
      </c>
      <c r="AC4746" s="217" t="s">
        <v>333</v>
      </c>
    </row>
    <row r="4747" spans="28:29">
      <c r="AB4747" s="231" t="s">
        <v>5136</v>
      </c>
      <c r="AC4747" s="217" t="s">
        <v>333</v>
      </c>
    </row>
    <row r="4748" spans="28:29">
      <c r="AB4748" s="231" t="s">
        <v>5137</v>
      </c>
      <c r="AC4748" s="217" t="s">
        <v>333</v>
      </c>
    </row>
    <row r="4749" spans="28:29">
      <c r="AB4749" s="231" t="s">
        <v>5138</v>
      </c>
      <c r="AC4749" s="217" t="s">
        <v>333</v>
      </c>
    </row>
    <row r="4750" spans="28:29">
      <c r="AB4750" s="231" t="s">
        <v>5139</v>
      </c>
      <c r="AC4750" s="217" t="s">
        <v>333</v>
      </c>
    </row>
    <row r="4751" spans="28:29">
      <c r="AB4751" s="231" t="s">
        <v>5140</v>
      </c>
      <c r="AC4751" s="217" t="s">
        <v>333</v>
      </c>
    </row>
    <row r="4752" spans="28:29">
      <c r="AB4752" s="231" t="s">
        <v>5141</v>
      </c>
      <c r="AC4752" s="217" t="s">
        <v>333</v>
      </c>
    </row>
    <row r="4753" spans="28:29">
      <c r="AB4753" s="231" t="s">
        <v>5142</v>
      </c>
      <c r="AC4753" s="217" t="s">
        <v>333</v>
      </c>
    </row>
    <row r="4754" spans="28:29">
      <c r="AB4754" s="231" t="s">
        <v>5143</v>
      </c>
      <c r="AC4754" s="217" t="s">
        <v>333</v>
      </c>
    </row>
    <row r="4755" spans="28:29">
      <c r="AB4755" s="231" t="s">
        <v>5144</v>
      </c>
      <c r="AC4755" s="217" t="s">
        <v>333</v>
      </c>
    </row>
    <row r="4756" spans="28:29">
      <c r="AB4756" s="231" t="s">
        <v>5145</v>
      </c>
      <c r="AC4756" s="217" t="s">
        <v>333</v>
      </c>
    </row>
    <row r="4757" spans="28:29">
      <c r="AB4757" s="231" t="s">
        <v>5146</v>
      </c>
      <c r="AC4757" s="217" t="s">
        <v>333</v>
      </c>
    </row>
    <row r="4758" spans="28:29">
      <c r="AB4758" s="231" t="s">
        <v>5147</v>
      </c>
      <c r="AC4758" s="217" t="s">
        <v>333</v>
      </c>
    </row>
    <row r="4759" spans="28:29">
      <c r="AB4759" s="231" t="s">
        <v>5148</v>
      </c>
      <c r="AC4759" s="217" t="s">
        <v>333</v>
      </c>
    </row>
    <row r="4760" spans="28:29">
      <c r="AB4760" s="231" t="s">
        <v>5149</v>
      </c>
      <c r="AC4760" s="217" t="s">
        <v>333</v>
      </c>
    </row>
    <row r="4761" spans="28:29">
      <c r="AB4761" s="231" t="s">
        <v>5150</v>
      </c>
      <c r="AC4761" s="217" t="s">
        <v>333</v>
      </c>
    </row>
    <row r="4762" spans="28:29">
      <c r="AB4762" s="231" t="s">
        <v>5151</v>
      </c>
      <c r="AC4762" s="217" t="s">
        <v>333</v>
      </c>
    </row>
    <row r="4763" spans="28:29">
      <c r="AB4763" s="231" t="s">
        <v>5152</v>
      </c>
      <c r="AC4763" s="217" t="s">
        <v>333</v>
      </c>
    </row>
    <row r="4764" spans="28:29">
      <c r="AB4764" s="231" t="s">
        <v>5153</v>
      </c>
      <c r="AC4764" s="217" t="s">
        <v>333</v>
      </c>
    </row>
    <row r="4765" spans="28:29">
      <c r="AB4765" s="231" t="s">
        <v>5154</v>
      </c>
      <c r="AC4765" s="217" t="s">
        <v>333</v>
      </c>
    </row>
    <row r="4766" spans="28:29">
      <c r="AB4766" s="231" t="s">
        <v>5155</v>
      </c>
      <c r="AC4766" s="217" t="s">
        <v>333</v>
      </c>
    </row>
    <row r="4767" spans="28:29">
      <c r="AB4767" s="231" t="s">
        <v>5156</v>
      </c>
      <c r="AC4767" s="217" t="s">
        <v>333</v>
      </c>
    </row>
    <row r="4768" spans="28:29">
      <c r="AB4768" s="231" t="s">
        <v>5157</v>
      </c>
      <c r="AC4768" s="217" t="s">
        <v>333</v>
      </c>
    </row>
    <row r="4769" spans="28:29">
      <c r="AB4769" s="231" t="s">
        <v>5158</v>
      </c>
      <c r="AC4769" s="217" t="s">
        <v>333</v>
      </c>
    </row>
    <row r="4770" spans="28:29">
      <c r="AB4770" s="231" t="s">
        <v>5159</v>
      </c>
      <c r="AC4770" s="217" t="s">
        <v>333</v>
      </c>
    </row>
    <row r="4771" spans="28:29">
      <c r="AB4771" s="231" t="s">
        <v>5160</v>
      </c>
      <c r="AC4771" s="217" t="s">
        <v>333</v>
      </c>
    </row>
    <row r="4772" spans="28:29">
      <c r="AB4772" s="231" t="s">
        <v>5161</v>
      </c>
      <c r="AC4772" s="217" t="s">
        <v>333</v>
      </c>
    </row>
    <row r="4773" spans="28:29">
      <c r="AB4773" s="231" t="s">
        <v>5162</v>
      </c>
      <c r="AC4773" s="217" t="s">
        <v>333</v>
      </c>
    </row>
    <row r="4774" spans="28:29">
      <c r="AB4774" s="231" t="s">
        <v>5163</v>
      </c>
      <c r="AC4774" s="217" t="s">
        <v>333</v>
      </c>
    </row>
    <row r="4775" spans="28:29">
      <c r="AB4775" s="231" t="s">
        <v>5164</v>
      </c>
      <c r="AC4775" s="217" t="s">
        <v>333</v>
      </c>
    </row>
    <row r="4776" spans="28:29">
      <c r="AB4776" s="231" t="s">
        <v>5165</v>
      </c>
      <c r="AC4776" s="217" t="s">
        <v>333</v>
      </c>
    </row>
    <row r="4777" spans="28:29">
      <c r="AB4777" s="231" t="s">
        <v>5166</v>
      </c>
      <c r="AC4777" s="217" t="s">
        <v>333</v>
      </c>
    </row>
    <row r="4778" spans="28:29">
      <c r="AB4778" s="231" t="s">
        <v>5167</v>
      </c>
      <c r="AC4778" s="217" t="s">
        <v>333</v>
      </c>
    </row>
    <row r="4779" spans="28:29">
      <c r="AB4779" s="231" t="s">
        <v>5168</v>
      </c>
      <c r="AC4779" s="217" t="s">
        <v>333</v>
      </c>
    </row>
    <row r="4780" spans="28:29">
      <c r="AB4780" s="231" t="s">
        <v>5169</v>
      </c>
      <c r="AC4780" s="217" t="s">
        <v>333</v>
      </c>
    </row>
    <row r="4781" spans="28:29">
      <c r="AB4781" s="231" t="s">
        <v>5170</v>
      </c>
      <c r="AC4781" s="217" t="s">
        <v>333</v>
      </c>
    </row>
    <row r="4782" spans="28:29">
      <c r="AB4782" s="231" t="s">
        <v>5171</v>
      </c>
      <c r="AC4782" s="217" t="s">
        <v>333</v>
      </c>
    </row>
    <row r="4783" spans="28:29">
      <c r="AB4783" s="231" t="s">
        <v>5172</v>
      </c>
      <c r="AC4783" s="217" t="s">
        <v>333</v>
      </c>
    </row>
    <row r="4784" spans="28:29">
      <c r="AB4784" s="231" t="s">
        <v>5173</v>
      </c>
      <c r="AC4784" s="217" t="s">
        <v>333</v>
      </c>
    </row>
    <row r="4785" spans="28:29">
      <c r="AB4785" s="231" t="s">
        <v>5174</v>
      </c>
      <c r="AC4785" s="217" t="s">
        <v>333</v>
      </c>
    </row>
    <row r="4786" spans="28:29">
      <c r="AB4786" s="231" t="s">
        <v>5175</v>
      </c>
      <c r="AC4786" s="217" t="s">
        <v>333</v>
      </c>
    </row>
    <row r="4787" spans="28:29">
      <c r="AB4787" s="231" t="s">
        <v>5176</v>
      </c>
      <c r="AC4787" s="217" t="s">
        <v>333</v>
      </c>
    </row>
    <row r="4788" spans="28:29">
      <c r="AB4788" s="231" t="s">
        <v>5177</v>
      </c>
      <c r="AC4788" s="217" t="s">
        <v>333</v>
      </c>
    </row>
    <row r="4789" spans="28:29">
      <c r="AB4789" s="231" t="s">
        <v>5178</v>
      </c>
      <c r="AC4789" s="217" t="s">
        <v>333</v>
      </c>
    </row>
    <row r="4790" spans="28:29">
      <c r="AB4790" s="231" t="s">
        <v>5179</v>
      </c>
      <c r="AC4790" s="217" t="s">
        <v>333</v>
      </c>
    </row>
    <row r="4791" spans="28:29">
      <c r="AB4791" s="231" t="s">
        <v>5180</v>
      </c>
      <c r="AC4791" s="217" t="s">
        <v>333</v>
      </c>
    </row>
    <row r="4792" spans="28:29">
      <c r="AB4792" s="231" t="s">
        <v>5181</v>
      </c>
      <c r="AC4792" s="217" t="s">
        <v>333</v>
      </c>
    </row>
    <row r="4793" spans="28:29">
      <c r="AB4793" s="231" t="s">
        <v>5182</v>
      </c>
      <c r="AC4793" s="217" t="s">
        <v>333</v>
      </c>
    </row>
    <row r="4794" spans="28:29">
      <c r="AB4794" s="231" t="s">
        <v>5183</v>
      </c>
      <c r="AC4794" s="217" t="s">
        <v>333</v>
      </c>
    </row>
    <row r="4795" spans="28:29">
      <c r="AB4795" s="231" t="s">
        <v>5184</v>
      </c>
      <c r="AC4795" s="217" t="s">
        <v>333</v>
      </c>
    </row>
    <row r="4796" spans="28:29">
      <c r="AB4796" s="231" t="s">
        <v>5185</v>
      </c>
      <c r="AC4796" s="217" t="s">
        <v>333</v>
      </c>
    </row>
    <row r="4797" spans="28:29">
      <c r="AB4797" s="231" t="s">
        <v>5186</v>
      </c>
      <c r="AC4797" s="217" t="s">
        <v>333</v>
      </c>
    </row>
    <row r="4798" spans="28:29">
      <c r="AB4798" s="231" t="s">
        <v>5187</v>
      </c>
      <c r="AC4798" s="217" t="s">
        <v>333</v>
      </c>
    </row>
    <row r="4799" spans="28:29">
      <c r="AB4799" s="231" t="s">
        <v>5188</v>
      </c>
      <c r="AC4799" s="217" t="s">
        <v>333</v>
      </c>
    </row>
    <row r="4800" spans="28:29">
      <c r="AB4800" s="231" t="s">
        <v>5189</v>
      </c>
      <c r="AC4800" s="217" t="s">
        <v>333</v>
      </c>
    </row>
    <row r="4801" spans="28:29">
      <c r="AB4801" s="231" t="s">
        <v>5190</v>
      </c>
      <c r="AC4801" s="217" t="s">
        <v>333</v>
      </c>
    </row>
    <row r="4802" spans="28:29">
      <c r="AB4802" s="231" t="s">
        <v>5191</v>
      </c>
      <c r="AC4802" s="217" t="s">
        <v>333</v>
      </c>
    </row>
    <row r="4803" spans="28:29">
      <c r="AB4803" s="231" t="s">
        <v>5192</v>
      </c>
      <c r="AC4803" s="217" t="s">
        <v>333</v>
      </c>
    </row>
    <row r="4804" spans="28:29">
      <c r="AB4804" s="231" t="s">
        <v>5193</v>
      </c>
      <c r="AC4804" s="217" t="s">
        <v>333</v>
      </c>
    </row>
    <row r="4805" spans="28:29">
      <c r="AB4805" s="231" t="s">
        <v>5194</v>
      </c>
      <c r="AC4805" s="217" t="s">
        <v>333</v>
      </c>
    </row>
    <row r="4806" spans="28:29">
      <c r="AB4806" s="231" t="s">
        <v>5195</v>
      </c>
      <c r="AC4806" s="217" t="s">
        <v>333</v>
      </c>
    </row>
    <row r="4807" spans="28:29">
      <c r="AB4807" s="231" t="s">
        <v>5196</v>
      </c>
      <c r="AC4807" s="217" t="s">
        <v>333</v>
      </c>
    </row>
    <row r="4808" spans="28:29">
      <c r="AB4808" s="231" t="s">
        <v>5197</v>
      </c>
      <c r="AC4808" s="217" t="s">
        <v>333</v>
      </c>
    </row>
    <row r="4809" spans="28:29">
      <c r="AB4809" s="231" t="s">
        <v>5198</v>
      </c>
      <c r="AC4809" s="217" t="s">
        <v>333</v>
      </c>
    </row>
    <row r="4810" spans="28:29">
      <c r="AB4810" s="231" t="s">
        <v>5199</v>
      </c>
      <c r="AC4810" s="217" t="s">
        <v>333</v>
      </c>
    </row>
    <row r="4811" spans="28:29">
      <c r="AB4811" s="231" t="s">
        <v>5200</v>
      </c>
      <c r="AC4811" s="217" t="s">
        <v>333</v>
      </c>
    </row>
    <row r="4812" spans="28:29">
      <c r="AB4812" s="231" t="s">
        <v>5201</v>
      </c>
      <c r="AC4812" s="217" t="s">
        <v>333</v>
      </c>
    </row>
    <row r="4813" spans="28:29">
      <c r="AB4813" s="231" t="s">
        <v>5202</v>
      </c>
      <c r="AC4813" s="217" t="s">
        <v>333</v>
      </c>
    </row>
    <row r="4814" spans="28:29">
      <c r="AB4814" s="231" t="s">
        <v>5203</v>
      </c>
      <c r="AC4814" s="217" t="s">
        <v>333</v>
      </c>
    </row>
    <row r="4815" spans="28:29">
      <c r="AB4815" s="231" t="s">
        <v>5204</v>
      </c>
      <c r="AC4815" s="217" t="s">
        <v>333</v>
      </c>
    </row>
    <row r="4816" spans="28:29">
      <c r="AB4816" s="231" t="s">
        <v>5205</v>
      </c>
      <c r="AC4816" s="217" t="s">
        <v>333</v>
      </c>
    </row>
    <row r="4817" spans="28:29">
      <c r="AB4817" s="231" t="s">
        <v>5206</v>
      </c>
      <c r="AC4817" s="217" t="s">
        <v>333</v>
      </c>
    </row>
    <row r="4818" spans="28:29">
      <c r="AB4818" s="231" t="s">
        <v>5207</v>
      </c>
      <c r="AC4818" s="217" t="s">
        <v>333</v>
      </c>
    </row>
    <row r="4819" spans="28:29">
      <c r="AB4819" s="231" t="s">
        <v>5208</v>
      </c>
      <c r="AC4819" s="217" t="s">
        <v>333</v>
      </c>
    </row>
    <row r="4820" spans="28:29">
      <c r="AB4820" s="231" t="s">
        <v>5209</v>
      </c>
      <c r="AC4820" s="217" t="s">
        <v>333</v>
      </c>
    </row>
    <row r="4821" spans="28:29">
      <c r="AB4821" s="231" t="s">
        <v>5210</v>
      </c>
      <c r="AC4821" s="217" t="s">
        <v>333</v>
      </c>
    </row>
    <row r="4822" spans="28:29">
      <c r="AB4822" s="231" t="s">
        <v>5211</v>
      </c>
      <c r="AC4822" s="217" t="s">
        <v>333</v>
      </c>
    </row>
    <row r="4823" spans="28:29">
      <c r="AB4823" s="231" t="s">
        <v>5212</v>
      </c>
      <c r="AC4823" s="217" t="s">
        <v>333</v>
      </c>
    </row>
    <row r="4824" spans="28:29">
      <c r="AB4824" s="231" t="s">
        <v>5213</v>
      </c>
      <c r="AC4824" s="217" t="s">
        <v>333</v>
      </c>
    </row>
    <row r="4825" spans="28:29">
      <c r="AB4825" s="231" t="s">
        <v>5214</v>
      </c>
      <c r="AC4825" s="217" t="s">
        <v>333</v>
      </c>
    </row>
    <row r="4826" spans="28:29">
      <c r="AB4826" s="231" t="s">
        <v>5215</v>
      </c>
      <c r="AC4826" s="217" t="s">
        <v>333</v>
      </c>
    </row>
    <row r="4827" spans="28:29">
      <c r="AB4827" s="231" t="s">
        <v>5216</v>
      </c>
      <c r="AC4827" s="217" t="s">
        <v>333</v>
      </c>
    </row>
    <row r="4828" spans="28:29">
      <c r="AB4828" s="231" t="s">
        <v>5217</v>
      </c>
      <c r="AC4828" s="217" t="s">
        <v>333</v>
      </c>
    </row>
    <row r="4829" spans="28:29">
      <c r="AB4829" s="231" t="s">
        <v>5218</v>
      </c>
      <c r="AC4829" s="217" t="s">
        <v>333</v>
      </c>
    </row>
    <row r="4830" spans="28:29">
      <c r="AB4830" s="231" t="s">
        <v>5219</v>
      </c>
      <c r="AC4830" s="217" t="s">
        <v>333</v>
      </c>
    </row>
    <row r="4831" spans="28:29">
      <c r="AB4831" s="231" t="s">
        <v>5220</v>
      </c>
      <c r="AC4831" s="217" t="s">
        <v>333</v>
      </c>
    </row>
    <row r="4832" spans="28:29">
      <c r="AB4832" s="231" t="s">
        <v>5221</v>
      </c>
      <c r="AC4832" s="217" t="s">
        <v>333</v>
      </c>
    </row>
    <row r="4833" spans="28:29">
      <c r="AB4833" s="231" t="s">
        <v>5222</v>
      </c>
      <c r="AC4833" s="217" t="s">
        <v>333</v>
      </c>
    </row>
    <row r="4834" spans="28:29">
      <c r="AB4834" s="231" t="s">
        <v>5223</v>
      </c>
      <c r="AC4834" s="217" t="s">
        <v>333</v>
      </c>
    </row>
    <row r="4835" spans="28:29">
      <c r="AB4835" s="231" t="s">
        <v>5224</v>
      </c>
      <c r="AC4835" s="217" t="s">
        <v>333</v>
      </c>
    </row>
    <row r="4836" spans="28:29">
      <c r="AB4836" s="231" t="s">
        <v>5225</v>
      </c>
      <c r="AC4836" s="217" t="s">
        <v>333</v>
      </c>
    </row>
    <row r="4837" spans="28:29">
      <c r="AB4837" s="231" t="s">
        <v>5226</v>
      </c>
      <c r="AC4837" s="217" t="s">
        <v>333</v>
      </c>
    </row>
    <row r="4838" spans="28:29">
      <c r="AB4838" s="231" t="s">
        <v>5227</v>
      </c>
      <c r="AC4838" s="217" t="s">
        <v>333</v>
      </c>
    </row>
    <row r="4839" spans="28:29">
      <c r="AB4839" s="231" t="s">
        <v>5228</v>
      </c>
      <c r="AC4839" s="217" t="s">
        <v>333</v>
      </c>
    </row>
    <row r="4840" spans="28:29">
      <c r="AB4840" s="231" t="s">
        <v>5229</v>
      </c>
      <c r="AC4840" s="217" t="s">
        <v>333</v>
      </c>
    </row>
    <row r="4841" spans="28:29">
      <c r="AB4841" s="231" t="s">
        <v>5230</v>
      </c>
      <c r="AC4841" s="217" t="s">
        <v>333</v>
      </c>
    </row>
    <row r="4842" spans="28:29">
      <c r="AB4842" s="231" t="s">
        <v>5231</v>
      </c>
      <c r="AC4842" s="217" t="s">
        <v>333</v>
      </c>
    </row>
    <row r="4843" spans="28:29">
      <c r="AB4843" s="231" t="s">
        <v>5232</v>
      </c>
      <c r="AC4843" s="217" t="s">
        <v>333</v>
      </c>
    </row>
    <row r="4844" spans="28:29">
      <c r="AB4844" s="231" t="s">
        <v>5233</v>
      </c>
      <c r="AC4844" s="217" t="s">
        <v>333</v>
      </c>
    </row>
    <row r="4845" spans="28:29">
      <c r="AB4845" s="231" t="s">
        <v>5234</v>
      </c>
      <c r="AC4845" s="217" t="s">
        <v>333</v>
      </c>
    </row>
    <row r="4846" spans="28:29">
      <c r="AB4846" s="231" t="s">
        <v>5235</v>
      </c>
      <c r="AC4846" s="217" t="s">
        <v>333</v>
      </c>
    </row>
    <row r="4847" spans="28:29">
      <c r="AB4847" s="231" t="s">
        <v>5236</v>
      </c>
      <c r="AC4847" s="217" t="s">
        <v>333</v>
      </c>
    </row>
    <row r="4848" spans="28:29">
      <c r="AB4848" s="231" t="s">
        <v>5237</v>
      </c>
      <c r="AC4848" s="217" t="s">
        <v>333</v>
      </c>
    </row>
    <row r="4849" spans="28:29">
      <c r="AB4849" s="231" t="s">
        <v>5238</v>
      </c>
      <c r="AC4849" s="217" t="s">
        <v>333</v>
      </c>
    </row>
    <row r="4850" spans="28:29">
      <c r="AB4850" s="231" t="s">
        <v>5239</v>
      </c>
      <c r="AC4850" s="217" t="s">
        <v>333</v>
      </c>
    </row>
    <row r="4851" spans="28:29">
      <c r="AB4851" s="231" t="s">
        <v>5240</v>
      </c>
      <c r="AC4851" s="217" t="s">
        <v>333</v>
      </c>
    </row>
    <row r="4852" spans="28:29">
      <c r="AB4852" s="231" t="s">
        <v>5241</v>
      </c>
      <c r="AC4852" s="217" t="s">
        <v>333</v>
      </c>
    </row>
    <row r="4853" spans="28:29">
      <c r="AB4853" s="231" t="s">
        <v>5242</v>
      </c>
      <c r="AC4853" s="217" t="s">
        <v>333</v>
      </c>
    </row>
    <row r="4854" spans="28:29">
      <c r="AB4854" s="231" t="s">
        <v>5243</v>
      </c>
      <c r="AC4854" s="217" t="s">
        <v>333</v>
      </c>
    </row>
    <row r="4855" spans="28:29">
      <c r="AB4855" s="231" t="s">
        <v>5244</v>
      </c>
      <c r="AC4855" s="217" t="s">
        <v>333</v>
      </c>
    </row>
    <row r="4856" spans="28:29">
      <c r="AB4856" s="231" t="s">
        <v>5245</v>
      </c>
      <c r="AC4856" s="217" t="s">
        <v>333</v>
      </c>
    </row>
    <row r="4857" spans="28:29">
      <c r="AB4857" s="231" t="s">
        <v>5246</v>
      </c>
      <c r="AC4857" s="217" t="s">
        <v>333</v>
      </c>
    </row>
    <row r="4858" spans="28:29">
      <c r="AB4858" s="231" t="s">
        <v>5247</v>
      </c>
      <c r="AC4858" s="217" t="s">
        <v>333</v>
      </c>
    </row>
    <row r="4859" spans="28:29">
      <c r="AB4859" s="231" t="s">
        <v>5248</v>
      </c>
      <c r="AC4859" s="217" t="s">
        <v>333</v>
      </c>
    </row>
    <row r="4860" spans="28:29">
      <c r="AB4860" s="231" t="s">
        <v>5249</v>
      </c>
      <c r="AC4860" s="217" t="s">
        <v>333</v>
      </c>
    </row>
    <row r="4861" spans="28:29">
      <c r="AB4861" s="231" t="s">
        <v>5250</v>
      </c>
      <c r="AC4861" s="217" t="s">
        <v>333</v>
      </c>
    </row>
    <row r="4862" spans="28:29">
      <c r="AB4862" s="231" t="s">
        <v>5251</v>
      </c>
      <c r="AC4862" s="217" t="s">
        <v>333</v>
      </c>
    </row>
    <row r="4863" spans="28:29">
      <c r="AB4863" s="231" t="s">
        <v>5252</v>
      </c>
      <c r="AC4863" s="217" t="s">
        <v>333</v>
      </c>
    </row>
    <row r="4864" spans="28:29">
      <c r="AB4864" s="231" t="s">
        <v>5253</v>
      </c>
      <c r="AC4864" s="217" t="s">
        <v>333</v>
      </c>
    </row>
    <row r="4865" spans="28:29">
      <c r="AB4865" s="231" t="s">
        <v>5254</v>
      </c>
      <c r="AC4865" s="217" t="s">
        <v>333</v>
      </c>
    </row>
    <row r="4866" spans="28:29">
      <c r="AB4866" s="231" t="s">
        <v>5255</v>
      </c>
      <c r="AC4866" s="217" t="s">
        <v>333</v>
      </c>
    </row>
    <row r="4867" spans="28:29">
      <c r="AB4867" s="231" t="s">
        <v>5256</v>
      </c>
      <c r="AC4867" s="217" t="s">
        <v>333</v>
      </c>
    </row>
    <row r="4868" spans="28:29">
      <c r="AB4868" s="231" t="s">
        <v>5257</v>
      </c>
      <c r="AC4868" s="217" t="s">
        <v>333</v>
      </c>
    </row>
    <row r="4869" spans="28:29">
      <c r="AB4869" s="231" t="s">
        <v>5258</v>
      </c>
      <c r="AC4869" s="217" t="s">
        <v>333</v>
      </c>
    </row>
    <row r="4870" spans="28:29">
      <c r="AB4870" s="231" t="s">
        <v>5259</v>
      </c>
      <c r="AC4870" s="217" t="s">
        <v>333</v>
      </c>
    </row>
    <row r="4871" spans="28:29">
      <c r="AB4871" s="231" t="s">
        <v>5260</v>
      </c>
      <c r="AC4871" s="217" t="s">
        <v>333</v>
      </c>
    </row>
    <row r="4872" spans="28:29">
      <c r="AB4872" s="231" t="s">
        <v>5261</v>
      </c>
      <c r="AC4872" s="217" t="s">
        <v>333</v>
      </c>
    </row>
    <row r="4873" spans="28:29">
      <c r="AB4873" s="231" t="s">
        <v>5262</v>
      </c>
      <c r="AC4873" s="217" t="s">
        <v>333</v>
      </c>
    </row>
    <row r="4874" spans="28:29">
      <c r="AB4874" s="231" t="s">
        <v>5263</v>
      </c>
      <c r="AC4874" s="217" t="s">
        <v>333</v>
      </c>
    </row>
    <row r="4875" spans="28:29">
      <c r="AB4875" s="231" t="s">
        <v>5264</v>
      </c>
      <c r="AC4875" s="217" t="s">
        <v>333</v>
      </c>
    </row>
    <row r="4876" spans="28:29">
      <c r="AB4876" s="231" t="s">
        <v>5265</v>
      </c>
      <c r="AC4876" s="217" t="s">
        <v>333</v>
      </c>
    </row>
    <row r="4877" spans="28:29">
      <c r="AB4877" s="231" t="s">
        <v>5266</v>
      </c>
      <c r="AC4877" s="217" t="s">
        <v>333</v>
      </c>
    </row>
    <row r="4878" spans="28:29">
      <c r="AB4878" s="231" t="s">
        <v>5267</v>
      </c>
      <c r="AC4878" s="217" t="s">
        <v>333</v>
      </c>
    </row>
    <row r="4879" spans="28:29">
      <c r="AB4879" s="231" t="s">
        <v>5268</v>
      </c>
      <c r="AC4879" s="217" t="s">
        <v>333</v>
      </c>
    </row>
    <row r="4880" spans="28:29">
      <c r="AB4880" s="231" t="s">
        <v>5269</v>
      </c>
      <c r="AC4880" s="217" t="s">
        <v>333</v>
      </c>
    </row>
    <row r="4881" spans="28:29">
      <c r="AB4881" s="231" t="s">
        <v>5270</v>
      </c>
      <c r="AC4881" s="217" t="s">
        <v>333</v>
      </c>
    </row>
    <row r="4882" spans="28:29">
      <c r="AB4882" s="231" t="s">
        <v>5271</v>
      </c>
      <c r="AC4882" s="217" t="s">
        <v>333</v>
      </c>
    </row>
    <row r="4883" spans="28:29">
      <c r="AB4883" s="231" t="s">
        <v>5272</v>
      </c>
      <c r="AC4883" s="217" t="s">
        <v>333</v>
      </c>
    </row>
    <row r="4884" spans="28:29">
      <c r="AB4884" s="231" t="s">
        <v>5273</v>
      </c>
      <c r="AC4884" s="217" t="s">
        <v>333</v>
      </c>
    </row>
    <row r="4885" spans="28:29">
      <c r="AB4885" s="231" t="s">
        <v>5274</v>
      </c>
      <c r="AC4885" s="217" t="s">
        <v>333</v>
      </c>
    </row>
    <row r="4886" spans="28:29">
      <c r="AB4886" s="231" t="s">
        <v>5275</v>
      </c>
      <c r="AC4886" s="217" t="s">
        <v>333</v>
      </c>
    </row>
    <row r="4887" spans="28:29">
      <c r="AB4887" s="231" t="s">
        <v>5276</v>
      </c>
      <c r="AC4887" s="217" t="s">
        <v>333</v>
      </c>
    </row>
    <row r="4888" spans="28:29">
      <c r="AB4888" s="231" t="s">
        <v>5277</v>
      </c>
      <c r="AC4888" s="217" t="s">
        <v>333</v>
      </c>
    </row>
    <row r="4889" spans="28:29">
      <c r="AB4889" s="231" t="s">
        <v>5278</v>
      </c>
      <c r="AC4889" s="217" t="s">
        <v>333</v>
      </c>
    </row>
    <row r="4890" spans="28:29">
      <c r="AB4890" s="231" t="s">
        <v>5279</v>
      </c>
      <c r="AC4890" s="217" t="s">
        <v>333</v>
      </c>
    </row>
    <row r="4891" spans="28:29">
      <c r="AB4891" s="231" t="s">
        <v>5280</v>
      </c>
      <c r="AC4891" s="217" t="s">
        <v>333</v>
      </c>
    </row>
    <row r="4892" spans="28:29">
      <c r="AB4892" s="231" t="s">
        <v>5281</v>
      </c>
      <c r="AC4892" s="217" t="s">
        <v>333</v>
      </c>
    </row>
    <row r="4893" spans="28:29">
      <c r="AB4893" s="231" t="s">
        <v>5282</v>
      </c>
      <c r="AC4893" s="217" t="s">
        <v>333</v>
      </c>
    </row>
    <row r="4894" spans="28:29">
      <c r="AB4894" s="231" t="s">
        <v>5283</v>
      </c>
      <c r="AC4894" s="217" t="s">
        <v>333</v>
      </c>
    </row>
    <row r="4895" spans="28:29">
      <c r="AB4895" s="231" t="s">
        <v>5284</v>
      </c>
      <c r="AC4895" s="217" t="s">
        <v>333</v>
      </c>
    </row>
    <row r="4896" spans="28:29">
      <c r="AB4896" s="231" t="s">
        <v>5285</v>
      </c>
      <c r="AC4896" s="217" t="s">
        <v>333</v>
      </c>
    </row>
    <row r="4897" spans="28:29">
      <c r="AB4897" s="231" t="s">
        <v>5286</v>
      </c>
      <c r="AC4897" s="217" t="s">
        <v>333</v>
      </c>
    </row>
    <row r="4898" spans="28:29">
      <c r="AB4898" s="231" t="s">
        <v>5287</v>
      </c>
      <c r="AC4898" s="217" t="s">
        <v>333</v>
      </c>
    </row>
    <row r="4899" spans="28:29">
      <c r="AB4899" s="231" t="s">
        <v>5288</v>
      </c>
      <c r="AC4899" s="217" t="s">
        <v>333</v>
      </c>
    </row>
    <row r="4900" spans="28:29">
      <c r="AB4900" s="231" t="s">
        <v>5289</v>
      </c>
      <c r="AC4900" s="217" t="s">
        <v>333</v>
      </c>
    </row>
    <row r="4901" spans="28:29">
      <c r="AB4901" s="231" t="s">
        <v>5290</v>
      </c>
      <c r="AC4901" s="217" t="s">
        <v>333</v>
      </c>
    </row>
    <row r="4902" spans="28:29">
      <c r="AB4902" s="231" t="s">
        <v>5291</v>
      </c>
      <c r="AC4902" s="217" t="s">
        <v>333</v>
      </c>
    </row>
    <row r="4903" spans="28:29">
      <c r="AB4903" s="231" t="s">
        <v>5292</v>
      </c>
      <c r="AC4903" s="217" t="s">
        <v>333</v>
      </c>
    </row>
    <row r="4904" spans="28:29">
      <c r="AB4904" s="231" t="s">
        <v>5293</v>
      </c>
      <c r="AC4904" s="217" t="s">
        <v>333</v>
      </c>
    </row>
    <row r="4905" spans="28:29">
      <c r="AB4905" s="231" t="s">
        <v>5294</v>
      </c>
      <c r="AC4905" s="217" t="s">
        <v>333</v>
      </c>
    </row>
    <row r="4906" spans="28:29">
      <c r="AB4906" s="231" t="s">
        <v>5295</v>
      </c>
      <c r="AC4906" s="217" t="s">
        <v>333</v>
      </c>
    </row>
    <row r="4907" spans="28:29">
      <c r="AB4907" s="231" t="s">
        <v>5296</v>
      </c>
      <c r="AC4907" s="217" t="s">
        <v>333</v>
      </c>
    </row>
    <row r="4908" spans="28:29">
      <c r="AB4908" s="231" t="s">
        <v>5297</v>
      </c>
      <c r="AC4908" s="217" t="s">
        <v>333</v>
      </c>
    </row>
    <row r="4909" spans="28:29">
      <c r="AB4909" s="231" t="s">
        <v>5298</v>
      </c>
      <c r="AC4909" s="217" t="s">
        <v>333</v>
      </c>
    </row>
    <row r="4910" spans="28:29">
      <c r="AB4910" s="231" t="s">
        <v>5299</v>
      </c>
      <c r="AC4910" s="217" t="s">
        <v>333</v>
      </c>
    </row>
    <row r="4911" spans="28:29">
      <c r="AB4911" s="231" t="s">
        <v>5300</v>
      </c>
      <c r="AC4911" s="217" t="s">
        <v>333</v>
      </c>
    </row>
    <row r="4912" spans="28:29">
      <c r="AB4912" s="231" t="s">
        <v>5301</v>
      </c>
      <c r="AC4912" s="217" t="s">
        <v>333</v>
      </c>
    </row>
    <row r="4913" spans="28:29">
      <c r="AB4913" s="231" t="s">
        <v>5302</v>
      </c>
      <c r="AC4913" s="217" t="s">
        <v>333</v>
      </c>
    </row>
    <row r="4914" spans="28:29">
      <c r="AB4914" s="231" t="s">
        <v>5303</v>
      </c>
      <c r="AC4914" s="217" t="s">
        <v>333</v>
      </c>
    </row>
    <row r="4915" spans="28:29">
      <c r="AB4915" s="231" t="s">
        <v>5304</v>
      </c>
      <c r="AC4915" s="217" t="s">
        <v>333</v>
      </c>
    </row>
    <row r="4916" spans="28:29">
      <c r="AB4916" s="231" t="s">
        <v>5305</v>
      </c>
      <c r="AC4916" s="217" t="s">
        <v>333</v>
      </c>
    </row>
    <row r="4917" spans="28:29">
      <c r="AB4917" s="231" t="s">
        <v>5306</v>
      </c>
      <c r="AC4917" s="217" t="s">
        <v>333</v>
      </c>
    </row>
    <row r="4918" spans="28:29">
      <c r="AB4918" s="231" t="s">
        <v>5307</v>
      </c>
      <c r="AC4918" s="217" t="s">
        <v>333</v>
      </c>
    </row>
    <row r="4919" spans="28:29">
      <c r="AB4919" s="231" t="s">
        <v>5308</v>
      </c>
      <c r="AC4919" s="217" t="s">
        <v>333</v>
      </c>
    </row>
    <row r="4920" spans="28:29">
      <c r="AB4920" s="231" t="s">
        <v>5309</v>
      </c>
      <c r="AC4920" s="217" t="s">
        <v>333</v>
      </c>
    </row>
    <row r="4921" spans="28:29">
      <c r="AB4921" s="231" t="s">
        <v>5310</v>
      </c>
      <c r="AC4921" s="217" t="s">
        <v>333</v>
      </c>
    </row>
    <row r="4922" spans="28:29">
      <c r="AB4922" s="231" t="s">
        <v>5311</v>
      </c>
      <c r="AC4922" s="217" t="s">
        <v>333</v>
      </c>
    </row>
    <row r="4923" spans="28:29">
      <c r="AB4923" s="231" t="s">
        <v>5312</v>
      </c>
      <c r="AC4923" s="217" t="s">
        <v>333</v>
      </c>
    </row>
    <row r="4924" spans="28:29">
      <c r="AB4924" s="231" t="s">
        <v>5313</v>
      </c>
      <c r="AC4924" s="217" t="s">
        <v>333</v>
      </c>
    </row>
    <row r="4925" spans="28:29">
      <c r="AB4925" s="231" t="s">
        <v>5314</v>
      </c>
      <c r="AC4925" s="217" t="s">
        <v>333</v>
      </c>
    </row>
    <row r="4926" spans="28:29">
      <c r="AB4926" s="231" t="s">
        <v>5315</v>
      </c>
      <c r="AC4926" s="217" t="s">
        <v>333</v>
      </c>
    </row>
    <row r="4927" spans="28:29">
      <c r="AB4927" s="231" t="s">
        <v>5316</v>
      </c>
      <c r="AC4927" s="217" t="s">
        <v>333</v>
      </c>
    </row>
    <row r="4928" spans="28:29">
      <c r="AB4928" s="231" t="s">
        <v>5317</v>
      </c>
      <c r="AC4928" s="217" t="s">
        <v>333</v>
      </c>
    </row>
    <row r="4929" spans="28:29">
      <c r="AB4929" s="231" t="s">
        <v>5318</v>
      </c>
      <c r="AC4929" s="217" t="s">
        <v>333</v>
      </c>
    </row>
    <row r="4930" spans="28:29">
      <c r="AB4930" s="231" t="s">
        <v>5319</v>
      </c>
      <c r="AC4930" s="217" t="s">
        <v>333</v>
      </c>
    </row>
    <row r="4931" spans="28:29">
      <c r="AB4931" s="231" t="s">
        <v>5320</v>
      </c>
      <c r="AC4931" s="217" t="s">
        <v>333</v>
      </c>
    </row>
    <row r="4932" spans="28:29">
      <c r="AB4932" s="231" t="s">
        <v>5321</v>
      </c>
      <c r="AC4932" s="217" t="s">
        <v>333</v>
      </c>
    </row>
    <row r="4933" spans="28:29">
      <c r="AB4933" s="231" t="s">
        <v>5322</v>
      </c>
      <c r="AC4933" s="217" t="s">
        <v>333</v>
      </c>
    </row>
    <row r="4934" spans="28:29">
      <c r="AB4934" s="231" t="s">
        <v>5323</v>
      </c>
      <c r="AC4934" s="217" t="s">
        <v>333</v>
      </c>
    </row>
    <row r="4935" spans="28:29">
      <c r="AB4935" s="231" t="s">
        <v>5324</v>
      </c>
      <c r="AC4935" s="217" t="s">
        <v>333</v>
      </c>
    </row>
    <row r="4936" spans="28:29">
      <c r="AB4936" s="231" t="s">
        <v>5325</v>
      </c>
      <c r="AC4936" s="217" t="s">
        <v>333</v>
      </c>
    </row>
    <row r="4937" spans="28:29">
      <c r="AB4937" s="231" t="s">
        <v>5326</v>
      </c>
      <c r="AC4937" s="217" t="s">
        <v>333</v>
      </c>
    </row>
    <row r="4938" spans="28:29">
      <c r="AB4938" s="231" t="s">
        <v>5327</v>
      </c>
      <c r="AC4938" s="217" t="s">
        <v>333</v>
      </c>
    </row>
    <row r="4939" spans="28:29">
      <c r="AB4939" s="231" t="s">
        <v>5328</v>
      </c>
      <c r="AC4939" s="217" t="s">
        <v>333</v>
      </c>
    </row>
    <row r="4940" spans="28:29">
      <c r="AB4940" s="231" t="s">
        <v>5329</v>
      </c>
      <c r="AC4940" s="217" t="s">
        <v>333</v>
      </c>
    </row>
    <row r="4941" spans="28:29">
      <c r="AB4941" s="231" t="s">
        <v>5330</v>
      </c>
      <c r="AC4941" s="217" t="s">
        <v>333</v>
      </c>
    </row>
    <row r="4942" spans="28:29">
      <c r="AB4942" s="231" t="s">
        <v>5331</v>
      </c>
      <c r="AC4942" s="217" t="s">
        <v>333</v>
      </c>
    </row>
    <row r="4943" spans="28:29">
      <c r="AB4943" s="231" t="s">
        <v>5332</v>
      </c>
      <c r="AC4943" s="217" t="s">
        <v>333</v>
      </c>
    </row>
    <row r="4944" spans="28:29">
      <c r="AB4944" s="231" t="s">
        <v>5333</v>
      </c>
      <c r="AC4944" s="217" t="s">
        <v>333</v>
      </c>
    </row>
    <row r="4945" spans="28:29">
      <c r="AB4945" s="231" t="s">
        <v>5334</v>
      </c>
      <c r="AC4945" s="217" t="s">
        <v>333</v>
      </c>
    </row>
    <row r="4946" spans="28:29">
      <c r="AB4946" s="231" t="s">
        <v>5335</v>
      </c>
      <c r="AC4946" s="217" t="s">
        <v>333</v>
      </c>
    </row>
    <row r="4947" spans="28:29">
      <c r="AB4947" s="231" t="s">
        <v>5336</v>
      </c>
      <c r="AC4947" s="217" t="s">
        <v>333</v>
      </c>
    </row>
    <row r="4948" spans="28:29">
      <c r="AB4948" s="231" t="s">
        <v>5337</v>
      </c>
      <c r="AC4948" s="217" t="s">
        <v>333</v>
      </c>
    </row>
    <row r="4949" spans="28:29">
      <c r="AB4949" s="231" t="s">
        <v>5338</v>
      </c>
      <c r="AC4949" s="217" t="s">
        <v>333</v>
      </c>
    </row>
    <row r="4950" spans="28:29">
      <c r="AB4950" s="231" t="s">
        <v>5339</v>
      </c>
      <c r="AC4950" s="217" t="s">
        <v>333</v>
      </c>
    </row>
    <row r="4951" spans="28:29">
      <c r="AB4951" s="231" t="s">
        <v>5340</v>
      </c>
      <c r="AC4951" s="217" t="s">
        <v>333</v>
      </c>
    </row>
    <row r="4952" spans="28:29">
      <c r="AB4952" s="231" t="s">
        <v>5341</v>
      </c>
      <c r="AC4952" s="217" t="s">
        <v>333</v>
      </c>
    </row>
    <row r="4953" spans="28:29">
      <c r="AB4953" s="231" t="s">
        <v>5342</v>
      </c>
      <c r="AC4953" s="217" t="s">
        <v>333</v>
      </c>
    </row>
    <row r="4954" spans="28:29">
      <c r="AB4954" s="231" t="s">
        <v>5343</v>
      </c>
      <c r="AC4954" s="217" t="s">
        <v>333</v>
      </c>
    </row>
    <row r="4955" spans="28:29">
      <c r="AB4955" s="231" t="s">
        <v>5344</v>
      </c>
      <c r="AC4955" s="217" t="s">
        <v>333</v>
      </c>
    </row>
    <row r="4956" spans="28:29">
      <c r="AB4956" s="231" t="s">
        <v>5345</v>
      </c>
      <c r="AC4956" s="217" t="s">
        <v>333</v>
      </c>
    </row>
    <row r="4957" spans="28:29">
      <c r="AB4957" s="231" t="s">
        <v>5346</v>
      </c>
      <c r="AC4957" s="217" t="s">
        <v>333</v>
      </c>
    </row>
    <row r="4958" spans="28:29">
      <c r="AB4958" s="231" t="s">
        <v>5347</v>
      </c>
      <c r="AC4958" s="217" t="s">
        <v>333</v>
      </c>
    </row>
    <row r="4959" spans="28:29">
      <c r="AB4959" s="231" t="s">
        <v>5348</v>
      </c>
      <c r="AC4959" s="217" t="s">
        <v>333</v>
      </c>
    </row>
    <row r="4960" spans="28:29">
      <c r="AB4960" s="231" t="s">
        <v>5349</v>
      </c>
      <c r="AC4960" s="217" t="s">
        <v>333</v>
      </c>
    </row>
    <row r="4961" spans="28:29">
      <c r="AB4961" s="231" t="s">
        <v>5350</v>
      </c>
      <c r="AC4961" s="217" t="s">
        <v>333</v>
      </c>
    </row>
    <row r="4962" spans="28:29">
      <c r="AB4962" s="231" t="s">
        <v>5351</v>
      </c>
      <c r="AC4962" s="217" t="s">
        <v>333</v>
      </c>
    </row>
    <row r="4963" spans="28:29">
      <c r="AB4963" s="231" t="s">
        <v>5352</v>
      </c>
      <c r="AC4963" s="217" t="s">
        <v>333</v>
      </c>
    </row>
    <row r="4964" spans="28:29">
      <c r="AB4964" s="231" t="s">
        <v>5353</v>
      </c>
      <c r="AC4964" s="217" t="s">
        <v>333</v>
      </c>
    </row>
    <row r="4965" spans="28:29">
      <c r="AB4965" s="231" t="s">
        <v>5354</v>
      </c>
      <c r="AC4965" s="217" t="s">
        <v>333</v>
      </c>
    </row>
    <row r="4966" spans="28:29">
      <c r="AB4966" s="231" t="s">
        <v>5355</v>
      </c>
      <c r="AC4966" s="217" t="s">
        <v>333</v>
      </c>
    </row>
    <row r="4967" spans="28:29">
      <c r="AB4967" s="231" t="s">
        <v>5356</v>
      </c>
      <c r="AC4967" s="217" t="s">
        <v>333</v>
      </c>
    </row>
    <row r="4968" spans="28:29">
      <c r="AB4968" s="231" t="s">
        <v>5357</v>
      </c>
      <c r="AC4968" s="217" t="s">
        <v>333</v>
      </c>
    </row>
    <row r="4969" spans="28:29">
      <c r="AB4969" s="231" t="s">
        <v>5358</v>
      </c>
      <c r="AC4969" s="217" t="s">
        <v>333</v>
      </c>
    </row>
    <row r="4970" spans="28:29">
      <c r="AB4970" s="231" t="s">
        <v>5359</v>
      </c>
      <c r="AC4970" s="217" t="s">
        <v>333</v>
      </c>
    </row>
    <row r="4971" spans="28:29">
      <c r="AB4971" s="231" t="s">
        <v>5360</v>
      </c>
      <c r="AC4971" s="217" t="s">
        <v>333</v>
      </c>
    </row>
    <row r="4972" spans="28:29">
      <c r="AB4972" s="231" t="s">
        <v>5361</v>
      </c>
      <c r="AC4972" s="217" t="s">
        <v>333</v>
      </c>
    </row>
    <row r="4973" spans="28:29">
      <c r="AB4973" s="231" t="s">
        <v>5362</v>
      </c>
      <c r="AC4973" s="217" t="s">
        <v>333</v>
      </c>
    </row>
    <row r="4974" spans="28:29">
      <c r="AB4974" s="231" t="s">
        <v>5363</v>
      </c>
      <c r="AC4974" s="217" t="s">
        <v>333</v>
      </c>
    </row>
    <row r="4975" spans="28:29">
      <c r="AB4975" s="231" t="s">
        <v>5364</v>
      </c>
      <c r="AC4975" s="217" t="s">
        <v>333</v>
      </c>
    </row>
    <row r="4976" spans="28:29">
      <c r="AB4976" s="231" t="s">
        <v>5365</v>
      </c>
      <c r="AC4976" s="217" t="s">
        <v>333</v>
      </c>
    </row>
    <row r="4977" spans="28:29">
      <c r="AB4977" s="231" t="s">
        <v>5366</v>
      </c>
      <c r="AC4977" s="217" t="s">
        <v>333</v>
      </c>
    </row>
    <row r="4978" spans="28:29">
      <c r="AB4978" s="231" t="s">
        <v>5367</v>
      </c>
      <c r="AC4978" s="217" t="s">
        <v>333</v>
      </c>
    </row>
    <row r="4979" spans="28:29">
      <c r="AB4979" s="231" t="s">
        <v>5368</v>
      </c>
      <c r="AC4979" s="217" t="s">
        <v>333</v>
      </c>
    </row>
    <row r="4980" spans="28:29">
      <c r="AB4980" s="231" t="s">
        <v>5369</v>
      </c>
      <c r="AC4980" s="217" t="s">
        <v>333</v>
      </c>
    </row>
    <row r="4981" spans="28:29">
      <c r="AB4981" s="231" t="s">
        <v>5370</v>
      </c>
      <c r="AC4981" s="217" t="s">
        <v>333</v>
      </c>
    </row>
    <row r="4982" spans="28:29">
      <c r="AB4982" s="231" t="s">
        <v>5371</v>
      </c>
      <c r="AC4982" s="217" t="s">
        <v>333</v>
      </c>
    </row>
    <row r="4983" spans="28:29">
      <c r="AB4983" s="231" t="s">
        <v>5372</v>
      </c>
      <c r="AC4983" s="217" t="s">
        <v>333</v>
      </c>
    </row>
    <row r="4984" spans="28:29">
      <c r="AB4984" s="231" t="s">
        <v>5373</v>
      </c>
      <c r="AC4984" s="217" t="s">
        <v>333</v>
      </c>
    </row>
    <row r="4985" spans="28:29">
      <c r="AB4985" s="231" t="s">
        <v>5374</v>
      </c>
      <c r="AC4985" s="217" t="s">
        <v>333</v>
      </c>
    </row>
    <row r="4986" spans="28:29">
      <c r="AB4986" s="231" t="s">
        <v>5375</v>
      </c>
      <c r="AC4986" s="217" t="s">
        <v>333</v>
      </c>
    </row>
    <row r="4987" spans="28:29">
      <c r="AB4987" s="231" t="s">
        <v>5376</v>
      </c>
      <c r="AC4987" s="217" t="s">
        <v>333</v>
      </c>
    </row>
    <row r="4988" spans="28:29">
      <c r="AB4988" s="231" t="s">
        <v>5377</v>
      </c>
      <c r="AC4988" s="217" t="s">
        <v>333</v>
      </c>
    </row>
    <row r="4989" spans="28:29">
      <c r="AB4989" s="231" t="s">
        <v>5378</v>
      </c>
      <c r="AC4989" s="217" t="s">
        <v>333</v>
      </c>
    </row>
    <row r="4990" spans="28:29">
      <c r="AB4990" s="231" t="s">
        <v>5379</v>
      </c>
      <c r="AC4990" s="217" t="s">
        <v>333</v>
      </c>
    </row>
    <row r="4991" spans="28:29">
      <c r="AB4991" s="231" t="s">
        <v>5380</v>
      </c>
      <c r="AC4991" s="217" t="s">
        <v>333</v>
      </c>
    </row>
    <row r="4992" spans="28:29">
      <c r="AB4992" s="231" t="s">
        <v>5381</v>
      </c>
      <c r="AC4992" s="217" t="s">
        <v>333</v>
      </c>
    </row>
    <row r="4993" spans="28:29">
      <c r="AB4993" s="231" t="s">
        <v>5382</v>
      </c>
      <c r="AC4993" s="217" t="s">
        <v>333</v>
      </c>
    </row>
    <row r="4994" spans="28:29">
      <c r="AB4994" s="231" t="s">
        <v>5383</v>
      </c>
      <c r="AC4994" s="217" t="s">
        <v>333</v>
      </c>
    </row>
    <row r="4995" spans="28:29">
      <c r="AB4995" s="231" t="s">
        <v>5384</v>
      </c>
      <c r="AC4995" s="217" t="s">
        <v>333</v>
      </c>
    </row>
    <row r="4996" spans="28:29">
      <c r="AB4996" s="231" t="s">
        <v>5385</v>
      </c>
      <c r="AC4996" s="217" t="s">
        <v>333</v>
      </c>
    </row>
    <row r="4997" spans="28:29">
      <c r="AB4997" s="231" t="s">
        <v>5386</v>
      </c>
      <c r="AC4997" s="217" t="s">
        <v>333</v>
      </c>
    </row>
    <row r="4998" spans="28:29">
      <c r="AB4998" s="231" t="s">
        <v>5387</v>
      </c>
      <c r="AC4998" s="217" t="s">
        <v>333</v>
      </c>
    </row>
    <row r="4999" spans="28:29">
      <c r="AB4999" s="231" t="s">
        <v>5388</v>
      </c>
      <c r="AC4999" s="217" t="s">
        <v>333</v>
      </c>
    </row>
    <row r="5000" spans="28:29">
      <c r="AB5000" s="231" t="s">
        <v>5389</v>
      </c>
      <c r="AC5000" s="217" t="s">
        <v>333</v>
      </c>
    </row>
    <row r="5001" spans="28:29">
      <c r="AB5001" s="231" t="s">
        <v>5390</v>
      </c>
      <c r="AC5001" s="217" t="s">
        <v>333</v>
      </c>
    </row>
    <row r="5002" spans="28:29">
      <c r="AB5002" s="231" t="s">
        <v>5391</v>
      </c>
      <c r="AC5002" s="217" t="s">
        <v>333</v>
      </c>
    </row>
    <row r="5003" spans="28:29">
      <c r="AB5003" s="231" t="s">
        <v>5392</v>
      </c>
      <c r="AC5003" s="217" t="s">
        <v>333</v>
      </c>
    </row>
    <row r="5004" spans="28:29">
      <c r="AB5004" s="231" t="s">
        <v>5393</v>
      </c>
      <c r="AC5004" s="217" t="s">
        <v>333</v>
      </c>
    </row>
    <row r="5005" spans="28:29">
      <c r="AB5005" s="231" t="s">
        <v>5394</v>
      </c>
      <c r="AC5005" s="217" t="s">
        <v>333</v>
      </c>
    </row>
    <row r="5006" spans="28:29">
      <c r="AB5006" s="231" t="s">
        <v>5395</v>
      </c>
      <c r="AC5006" s="217" t="s">
        <v>333</v>
      </c>
    </row>
    <row r="5007" spans="28:29">
      <c r="AB5007" s="231" t="s">
        <v>5396</v>
      </c>
      <c r="AC5007" s="217" t="s">
        <v>333</v>
      </c>
    </row>
    <row r="5008" spans="28:29">
      <c r="AB5008" s="231" t="s">
        <v>5397</v>
      </c>
      <c r="AC5008" s="217" t="s">
        <v>333</v>
      </c>
    </row>
    <row r="5009" spans="28:29">
      <c r="AB5009" s="231" t="s">
        <v>5398</v>
      </c>
      <c r="AC5009" s="217" t="s">
        <v>333</v>
      </c>
    </row>
    <row r="5010" spans="28:29">
      <c r="AB5010" s="231" t="s">
        <v>5399</v>
      </c>
      <c r="AC5010" s="217" t="s">
        <v>333</v>
      </c>
    </row>
    <row r="5011" spans="28:29">
      <c r="AB5011" s="231" t="s">
        <v>5400</v>
      </c>
      <c r="AC5011" s="217" t="s">
        <v>333</v>
      </c>
    </row>
    <row r="5012" spans="28:29">
      <c r="AB5012" s="231" t="s">
        <v>5401</v>
      </c>
      <c r="AC5012" s="217" t="s">
        <v>333</v>
      </c>
    </row>
    <row r="5013" spans="28:29">
      <c r="AB5013" s="231" t="s">
        <v>5402</v>
      </c>
      <c r="AC5013" s="217" t="s">
        <v>333</v>
      </c>
    </row>
    <row r="5014" spans="28:29">
      <c r="AB5014" s="231" t="s">
        <v>5403</v>
      </c>
      <c r="AC5014" s="217" t="s">
        <v>333</v>
      </c>
    </row>
    <row r="5015" spans="28:29">
      <c r="AB5015" s="231" t="s">
        <v>5404</v>
      </c>
      <c r="AC5015" s="217" t="s">
        <v>333</v>
      </c>
    </row>
    <row r="5016" spans="28:29">
      <c r="AB5016" s="231" t="s">
        <v>5405</v>
      </c>
      <c r="AC5016" s="217" t="s">
        <v>333</v>
      </c>
    </row>
    <row r="5017" spans="28:29">
      <c r="AB5017" s="231" t="s">
        <v>5406</v>
      </c>
      <c r="AC5017" s="217" t="s">
        <v>333</v>
      </c>
    </row>
    <row r="5018" spans="28:29">
      <c r="AB5018" s="231" t="s">
        <v>5407</v>
      </c>
      <c r="AC5018" s="217" t="s">
        <v>333</v>
      </c>
    </row>
    <row r="5019" spans="28:29">
      <c r="AB5019" s="231" t="s">
        <v>5408</v>
      </c>
      <c r="AC5019" s="217" t="s">
        <v>333</v>
      </c>
    </row>
    <row r="5020" spans="28:29">
      <c r="AB5020" s="231" t="s">
        <v>5409</v>
      </c>
      <c r="AC5020" s="217" t="s">
        <v>333</v>
      </c>
    </row>
    <row r="5021" spans="28:29">
      <c r="AB5021" s="231" t="s">
        <v>5410</v>
      </c>
      <c r="AC5021" s="217" t="s">
        <v>333</v>
      </c>
    </row>
    <row r="5022" spans="28:29">
      <c r="AB5022" s="231" t="s">
        <v>5411</v>
      </c>
      <c r="AC5022" s="217" t="s">
        <v>333</v>
      </c>
    </row>
    <row r="5023" spans="28:29">
      <c r="AB5023" s="231" t="s">
        <v>5412</v>
      </c>
      <c r="AC5023" s="217" t="s">
        <v>333</v>
      </c>
    </row>
    <row r="5024" spans="28:29">
      <c r="AB5024" s="231" t="s">
        <v>5413</v>
      </c>
      <c r="AC5024" s="217" t="s">
        <v>333</v>
      </c>
    </row>
    <row r="5025" spans="28:29">
      <c r="AB5025" s="231" t="s">
        <v>5414</v>
      </c>
      <c r="AC5025" s="217" t="s">
        <v>333</v>
      </c>
    </row>
    <row r="5026" spans="28:29">
      <c r="AB5026" s="231" t="s">
        <v>5415</v>
      </c>
      <c r="AC5026" s="217" t="s">
        <v>333</v>
      </c>
    </row>
    <row r="5027" spans="28:29">
      <c r="AB5027" s="231" t="s">
        <v>5416</v>
      </c>
      <c r="AC5027" s="217" t="s">
        <v>333</v>
      </c>
    </row>
    <row r="5028" spans="28:29">
      <c r="AB5028" s="231" t="s">
        <v>5417</v>
      </c>
      <c r="AC5028" s="217" t="s">
        <v>333</v>
      </c>
    </row>
    <row r="5029" spans="28:29">
      <c r="AB5029" s="231" t="s">
        <v>5418</v>
      </c>
      <c r="AC5029" s="217" t="s">
        <v>333</v>
      </c>
    </row>
    <row r="5030" spans="28:29">
      <c r="AB5030" s="231" t="s">
        <v>5419</v>
      </c>
      <c r="AC5030" s="217" t="s">
        <v>333</v>
      </c>
    </row>
    <row r="5031" spans="28:29">
      <c r="AB5031" s="231" t="s">
        <v>5420</v>
      </c>
      <c r="AC5031" s="217" t="s">
        <v>333</v>
      </c>
    </row>
    <row r="5032" spans="28:29">
      <c r="AB5032" s="231" t="s">
        <v>5421</v>
      </c>
      <c r="AC5032" s="217" t="s">
        <v>333</v>
      </c>
    </row>
    <row r="5033" spans="28:29">
      <c r="AB5033" s="231" t="s">
        <v>5422</v>
      </c>
      <c r="AC5033" s="217" t="s">
        <v>333</v>
      </c>
    </row>
    <row r="5034" spans="28:29">
      <c r="AB5034" s="231" t="s">
        <v>5423</v>
      </c>
      <c r="AC5034" s="217" t="s">
        <v>333</v>
      </c>
    </row>
    <row r="5035" spans="28:29">
      <c r="AB5035" s="231" t="s">
        <v>5424</v>
      </c>
      <c r="AC5035" s="217" t="s">
        <v>333</v>
      </c>
    </row>
    <row r="5036" spans="28:29">
      <c r="AB5036" s="231" t="s">
        <v>5425</v>
      </c>
      <c r="AC5036" s="217" t="s">
        <v>333</v>
      </c>
    </row>
    <row r="5037" spans="28:29">
      <c r="AB5037" s="231" t="s">
        <v>5426</v>
      </c>
      <c r="AC5037" s="217" t="s">
        <v>333</v>
      </c>
    </row>
    <row r="5038" spans="28:29">
      <c r="AB5038" s="231" t="s">
        <v>5427</v>
      </c>
      <c r="AC5038" s="217" t="s">
        <v>333</v>
      </c>
    </row>
    <row r="5039" spans="28:29">
      <c r="AB5039" s="231" t="s">
        <v>5428</v>
      </c>
      <c r="AC5039" s="217" t="s">
        <v>333</v>
      </c>
    </row>
    <row r="5040" spans="28:29">
      <c r="AB5040" s="231" t="s">
        <v>5429</v>
      </c>
      <c r="AC5040" s="217" t="s">
        <v>333</v>
      </c>
    </row>
    <row r="5041" spans="28:29">
      <c r="AB5041" s="231" t="s">
        <v>5430</v>
      </c>
      <c r="AC5041" s="217" t="s">
        <v>333</v>
      </c>
    </row>
    <row r="5042" spans="28:29">
      <c r="AB5042" s="231" t="s">
        <v>5431</v>
      </c>
      <c r="AC5042" s="217" t="s">
        <v>333</v>
      </c>
    </row>
    <row r="5043" spans="28:29">
      <c r="AB5043" s="231" t="s">
        <v>5432</v>
      </c>
      <c r="AC5043" s="217" t="s">
        <v>333</v>
      </c>
    </row>
    <row r="5044" spans="28:29">
      <c r="AB5044" s="231" t="s">
        <v>5433</v>
      </c>
      <c r="AC5044" s="217" t="s">
        <v>333</v>
      </c>
    </row>
    <row r="5045" spans="28:29">
      <c r="AB5045" s="231" t="s">
        <v>5434</v>
      </c>
      <c r="AC5045" s="217" t="s">
        <v>333</v>
      </c>
    </row>
    <row r="5046" spans="28:29">
      <c r="AB5046" s="231" t="s">
        <v>5435</v>
      </c>
      <c r="AC5046" s="217" t="s">
        <v>333</v>
      </c>
    </row>
    <row r="5047" spans="28:29">
      <c r="AB5047" s="231" t="s">
        <v>5436</v>
      </c>
      <c r="AC5047" s="217" t="s">
        <v>333</v>
      </c>
    </row>
    <row r="5048" spans="28:29">
      <c r="AB5048" s="231" t="s">
        <v>5437</v>
      </c>
      <c r="AC5048" s="217" t="s">
        <v>333</v>
      </c>
    </row>
    <row r="5049" spans="28:29">
      <c r="AB5049" s="231" t="s">
        <v>5438</v>
      </c>
      <c r="AC5049" s="217" t="s">
        <v>333</v>
      </c>
    </row>
    <row r="5050" spans="28:29">
      <c r="AB5050" s="231" t="s">
        <v>5439</v>
      </c>
      <c r="AC5050" s="217" t="s">
        <v>333</v>
      </c>
    </row>
    <row r="5051" spans="28:29">
      <c r="AB5051" s="231" t="s">
        <v>5440</v>
      </c>
      <c r="AC5051" s="217" t="s">
        <v>333</v>
      </c>
    </row>
    <row r="5052" spans="28:29">
      <c r="AB5052" s="231" t="s">
        <v>5441</v>
      </c>
      <c r="AC5052" s="217" t="s">
        <v>333</v>
      </c>
    </row>
    <row r="5053" spans="28:29">
      <c r="AB5053" s="231" t="s">
        <v>5442</v>
      </c>
      <c r="AC5053" s="217" t="s">
        <v>333</v>
      </c>
    </row>
    <row r="5054" spans="28:29">
      <c r="AB5054" s="231" t="s">
        <v>5443</v>
      </c>
      <c r="AC5054" s="217" t="s">
        <v>333</v>
      </c>
    </row>
    <row r="5055" spans="28:29">
      <c r="AB5055" s="231" t="s">
        <v>5444</v>
      </c>
      <c r="AC5055" s="217" t="s">
        <v>333</v>
      </c>
    </row>
    <row r="5056" spans="28:29">
      <c r="AB5056" s="231" t="s">
        <v>5445</v>
      </c>
      <c r="AC5056" s="217" t="s">
        <v>333</v>
      </c>
    </row>
    <row r="5057" spans="28:29">
      <c r="AB5057" s="231" t="s">
        <v>5446</v>
      </c>
      <c r="AC5057" s="217" t="s">
        <v>333</v>
      </c>
    </row>
    <row r="5058" spans="28:29">
      <c r="AB5058" s="231" t="s">
        <v>5447</v>
      </c>
      <c r="AC5058" s="217" t="s">
        <v>333</v>
      </c>
    </row>
    <row r="5059" spans="28:29">
      <c r="AB5059" s="231" t="s">
        <v>5448</v>
      </c>
      <c r="AC5059" s="217" t="s">
        <v>333</v>
      </c>
    </row>
    <row r="5060" spans="28:29">
      <c r="AB5060" s="231" t="s">
        <v>5449</v>
      </c>
      <c r="AC5060" s="217" t="s">
        <v>333</v>
      </c>
    </row>
    <row r="5061" spans="28:29">
      <c r="AB5061" s="231" t="s">
        <v>5450</v>
      </c>
      <c r="AC5061" s="217" t="s">
        <v>333</v>
      </c>
    </row>
    <row r="5062" spans="28:29">
      <c r="AB5062" s="231" t="s">
        <v>5451</v>
      </c>
      <c r="AC5062" s="217" t="s">
        <v>333</v>
      </c>
    </row>
    <row r="5063" spans="28:29">
      <c r="AB5063" s="231" t="s">
        <v>5452</v>
      </c>
      <c r="AC5063" s="217" t="s">
        <v>333</v>
      </c>
    </row>
    <row r="5064" spans="28:29">
      <c r="AB5064" s="231" t="s">
        <v>5453</v>
      </c>
      <c r="AC5064" s="217" t="s">
        <v>333</v>
      </c>
    </row>
    <row r="5065" spans="28:29">
      <c r="AB5065" s="231" t="s">
        <v>5454</v>
      </c>
      <c r="AC5065" s="217" t="s">
        <v>333</v>
      </c>
    </row>
    <row r="5066" spans="28:29">
      <c r="AB5066" s="231" t="s">
        <v>5455</v>
      </c>
      <c r="AC5066" s="217" t="s">
        <v>333</v>
      </c>
    </row>
    <row r="5067" spans="28:29">
      <c r="AB5067" s="231" t="s">
        <v>5456</v>
      </c>
      <c r="AC5067" s="217" t="s">
        <v>333</v>
      </c>
    </row>
    <row r="5068" spans="28:29">
      <c r="AB5068" s="231" t="s">
        <v>5457</v>
      </c>
      <c r="AC5068" s="217" t="s">
        <v>333</v>
      </c>
    </row>
    <row r="5069" spans="28:29">
      <c r="AB5069" s="231" t="s">
        <v>5458</v>
      </c>
      <c r="AC5069" s="217" t="s">
        <v>333</v>
      </c>
    </row>
    <row r="5070" spans="28:29">
      <c r="AB5070" s="231" t="s">
        <v>5459</v>
      </c>
      <c r="AC5070" s="217" t="s">
        <v>333</v>
      </c>
    </row>
    <row r="5071" spans="28:29">
      <c r="AB5071" s="231" t="s">
        <v>5460</v>
      </c>
      <c r="AC5071" s="217" t="s">
        <v>333</v>
      </c>
    </row>
    <row r="5072" spans="28:29">
      <c r="AB5072" s="231" t="s">
        <v>5461</v>
      </c>
      <c r="AC5072" s="217" t="s">
        <v>333</v>
      </c>
    </row>
    <row r="5073" spans="28:29">
      <c r="AB5073" s="231" t="s">
        <v>5462</v>
      </c>
      <c r="AC5073" s="217" t="s">
        <v>333</v>
      </c>
    </row>
    <row r="5074" spans="28:29">
      <c r="AB5074" s="231" t="s">
        <v>5463</v>
      </c>
      <c r="AC5074" s="217" t="s">
        <v>333</v>
      </c>
    </row>
    <row r="5075" spans="28:29">
      <c r="AB5075" s="231" t="s">
        <v>5464</v>
      </c>
      <c r="AC5075" s="217" t="s">
        <v>333</v>
      </c>
    </row>
    <row r="5076" spans="28:29">
      <c r="AB5076" s="231" t="s">
        <v>5465</v>
      </c>
      <c r="AC5076" s="217" t="s">
        <v>333</v>
      </c>
    </row>
    <row r="5077" spans="28:29">
      <c r="AB5077" s="231" t="s">
        <v>5466</v>
      </c>
      <c r="AC5077" s="217" t="s">
        <v>333</v>
      </c>
    </row>
    <row r="5078" spans="28:29">
      <c r="AB5078" s="231" t="s">
        <v>5467</v>
      </c>
      <c r="AC5078" s="217" t="s">
        <v>333</v>
      </c>
    </row>
    <row r="5079" spans="28:29">
      <c r="AB5079" s="231" t="s">
        <v>5468</v>
      </c>
      <c r="AC5079" s="217" t="s">
        <v>333</v>
      </c>
    </row>
    <row r="5080" spans="28:29">
      <c r="AB5080" s="231" t="s">
        <v>5469</v>
      </c>
      <c r="AC5080" s="217" t="s">
        <v>333</v>
      </c>
    </row>
    <row r="5081" spans="28:29">
      <c r="AB5081" s="231" t="s">
        <v>5470</v>
      </c>
      <c r="AC5081" s="217" t="s">
        <v>333</v>
      </c>
    </row>
    <row r="5082" spans="28:29">
      <c r="AB5082" s="231" t="s">
        <v>5471</v>
      </c>
      <c r="AC5082" s="217" t="s">
        <v>333</v>
      </c>
    </row>
    <row r="5083" spans="28:29">
      <c r="AB5083" s="231" t="s">
        <v>5472</v>
      </c>
      <c r="AC5083" s="217" t="s">
        <v>333</v>
      </c>
    </row>
    <row r="5084" spans="28:29">
      <c r="AB5084" s="231" t="s">
        <v>5473</v>
      </c>
      <c r="AC5084" s="217" t="s">
        <v>333</v>
      </c>
    </row>
    <row r="5085" spans="28:29">
      <c r="AB5085" s="231" t="s">
        <v>5474</v>
      </c>
      <c r="AC5085" s="217" t="s">
        <v>333</v>
      </c>
    </row>
    <row r="5086" spans="28:29">
      <c r="AB5086" s="231" t="s">
        <v>5475</v>
      </c>
      <c r="AC5086" s="217" t="s">
        <v>333</v>
      </c>
    </row>
    <row r="5087" spans="28:29">
      <c r="AB5087" s="231" t="s">
        <v>5476</v>
      </c>
      <c r="AC5087" s="217" t="s">
        <v>333</v>
      </c>
    </row>
    <row r="5088" spans="28:29">
      <c r="AB5088" s="231" t="s">
        <v>5477</v>
      </c>
      <c r="AC5088" s="217" t="s">
        <v>333</v>
      </c>
    </row>
    <row r="5089" spans="28:29">
      <c r="AB5089" s="231" t="s">
        <v>5478</v>
      </c>
      <c r="AC5089" s="217" t="s">
        <v>333</v>
      </c>
    </row>
    <row r="5090" spans="28:29">
      <c r="AB5090" s="231" t="s">
        <v>5479</v>
      </c>
      <c r="AC5090" s="217" t="s">
        <v>333</v>
      </c>
    </row>
    <row r="5091" spans="28:29">
      <c r="AB5091" s="231" t="s">
        <v>5480</v>
      </c>
      <c r="AC5091" s="217" t="s">
        <v>333</v>
      </c>
    </row>
    <row r="5092" spans="28:29">
      <c r="AB5092" s="231" t="s">
        <v>5481</v>
      </c>
      <c r="AC5092" s="217" t="s">
        <v>333</v>
      </c>
    </row>
    <row r="5093" spans="28:29">
      <c r="AB5093" s="231" t="s">
        <v>5482</v>
      </c>
      <c r="AC5093" s="217" t="s">
        <v>333</v>
      </c>
    </row>
    <row r="5094" spans="28:29">
      <c r="AB5094" s="231" t="s">
        <v>5483</v>
      </c>
      <c r="AC5094" s="217" t="s">
        <v>333</v>
      </c>
    </row>
    <row r="5095" spans="28:29">
      <c r="AB5095" s="231" t="s">
        <v>5484</v>
      </c>
      <c r="AC5095" s="217" t="s">
        <v>333</v>
      </c>
    </row>
    <row r="5096" spans="28:29">
      <c r="AB5096" s="231" t="s">
        <v>5485</v>
      </c>
      <c r="AC5096" s="217" t="s">
        <v>333</v>
      </c>
    </row>
    <row r="5097" spans="28:29">
      <c r="AB5097" s="231" t="s">
        <v>5486</v>
      </c>
      <c r="AC5097" s="217" t="s">
        <v>333</v>
      </c>
    </row>
    <row r="5098" spans="28:29">
      <c r="AB5098" s="231" t="s">
        <v>5487</v>
      </c>
      <c r="AC5098" s="217" t="s">
        <v>333</v>
      </c>
    </row>
    <row r="5099" spans="28:29">
      <c r="AB5099" s="231" t="s">
        <v>5488</v>
      </c>
      <c r="AC5099" s="217" t="s">
        <v>333</v>
      </c>
    </row>
    <row r="5100" spans="28:29">
      <c r="AB5100" s="231" t="s">
        <v>5489</v>
      </c>
      <c r="AC5100" s="217" t="s">
        <v>333</v>
      </c>
    </row>
    <row r="5101" spans="28:29">
      <c r="AB5101" s="231" t="s">
        <v>5490</v>
      </c>
      <c r="AC5101" s="217" t="s">
        <v>333</v>
      </c>
    </row>
    <row r="5102" spans="28:29">
      <c r="AB5102" s="231" t="s">
        <v>5491</v>
      </c>
      <c r="AC5102" s="217" t="s">
        <v>333</v>
      </c>
    </row>
    <row r="5103" spans="28:29">
      <c r="AB5103" s="231" t="s">
        <v>5492</v>
      </c>
      <c r="AC5103" s="217" t="s">
        <v>333</v>
      </c>
    </row>
    <row r="5104" spans="28:29">
      <c r="AB5104" s="231" t="s">
        <v>5493</v>
      </c>
      <c r="AC5104" s="217" t="s">
        <v>333</v>
      </c>
    </row>
    <row r="5105" spans="28:29">
      <c r="AB5105" s="231" t="s">
        <v>5494</v>
      </c>
      <c r="AC5105" s="217" t="s">
        <v>333</v>
      </c>
    </row>
    <row r="5106" spans="28:29">
      <c r="AB5106" s="231" t="s">
        <v>5495</v>
      </c>
      <c r="AC5106" s="217" t="s">
        <v>333</v>
      </c>
    </row>
    <row r="5107" spans="28:29">
      <c r="AB5107" s="231" t="s">
        <v>5496</v>
      </c>
      <c r="AC5107" s="217" t="s">
        <v>333</v>
      </c>
    </row>
    <row r="5108" spans="28:29">
      <c r="AB5108" s="231" t="s">
        <v>5497</v>
      </c>
      <c r="AC5108" s="217" t="s">
        <v>333</v>
      </c>
    </row>
    <row r="5109" spans="28:29">
      <c r="AB5109" s="231" t="s">
        <v>5498</v>
      </c>
      <c r="AC5109" s="217" t="s">
        <v>333</v>
      </c>
    </row>
    <row r="5110" spans="28:29">
      <c r="AB5110" s="231" t="s">
        <v>5499</v>
      </c>
      <c r="AC5110" s="217" t="s">
        <v>333</v>
      </c>
    </row>
    <row r="5111" spans="28:29">
      <c r="AB5111" s="231" t="s">
        <v>5500</v>
      </c>
      <c r="AC5111" s="217" t="s">
        <v>333</v>
      </c>
    </row>
    <row r="5112" spans="28:29">
      <c r="AB5112" s="231" t="s">
        <v>5501</v>
      </c>
      <c r="AC5112" s="217" t="s">
        <v>333</v>
      </c>
    </row>
    <row r="5113" spans="28:29">
      <c r="AB5113" s="231" t="s">
        <v>5502</v>
      </c>
      <c r="AC5113" s="217" t="s">
        <v>333</v>
      </c>
    </row>
    <row r="5114" spans="28:29">
      <c r="AB5114" s="231" t="s">
        <v>5503</v>
      </c>
      <c r="AC5114" s="217" t="s">
        <v>333</v>
      </c>
    </row>
    <row r="5115" spans="28:29">
      <c r="AB5115" s="231" t="s">
        <v>5504</v>
      </c>
      <c r="AC5115" s="217" t="s">
        <v>333</v>
      </c>
    </row>
    <row r="5116" spans="28:29">
      <c r="AB5116" s="231" t="s">
        <v>5505</v>
      </c>
      <c r="AC5116" s="217" t="s">
        <v>333</v>
      </c>
    </row>
    <row r="5117" spans="28:29">
      <c r="AB5117" s="231" t="s">
        <v>5506</v>
      </c>
      <c r="AC5117" s="217" t="s">
        <v>333</v>
      </c>
    </row>
    <row r="5118" spans="28:29">
      <c r="AB5118" s="231" t="s">
        <v>5507</v>
      </c>
      <c r="AC5118" s="217" t="s">
        <v>333</v>
      </c>
    </row>
    <row r="5119" spans="28:29">
      <c r="AB5119" s="231" t="s">
        <v>5508</v>
      </c>
      <c r="AC5119" s="217" t="s">
        <v>333</v>
      </c>
    </row>
    <row r="5120" spans="28:29">
      <c r="AB5120" s="231" t="s">
        <v>5509</v>
      </c>
      <c r="AC5120" s="217" t="s">
        <v>333</v>
      </c>
    </row>
    <row r="5121" spans="28:29">
      <c r="AB5121" s="231" t="s">
        <v>5510</v>
      </c>
      <c r="AC5121" s="217" t="s">
        <v>333</v>
      </c>
    </row>
    <row r="5122" spans="28:29">
      <c r="AB5122" s="231" t="s">
        <v>5511</v>
      </c>
      <c r="AC5122" s="217" t="s">
        <v>333</v>
      </c>
    </row>
    <row r="5123" spans="28:29">
      <c r="AB5123" s="231" t="s">
        <v>5512</v>
      </c>
      <c r="AC5123" s="217" t="s">
        <v>333</v>
      </c>
    </row>
    <row r="5124" spans="28:29">
      <c r="AB5124" s="231" t="s">
        <v>5513</v>
      </c>
      <c r="AC5124" s="217" t="s">
        <v>333</v>
      </c>
    </row>
    <row r="5125" spans="28:29">
      <c r="AB5125" s="231" t="s">
        <v>5514</v>
      </c>
      <c r="AC5125" s="217" t="s">
        <v>333</v>
      </c>
    </row>
    <row r="5126" spans="28:29">
      <c r="AB5126" s="231" t="s">
        <v>5515</v>
      </c>
      <c r="AC5126" s="217" t="s">
        <v>333</v>
      </c>
    </row>
    <row r="5127" spans="28:29">
      <c r="AB5127" s="231" t="s">
        <v>5516</v>
      </c>
      <c r="AC5127" s="217" t="s">
        <v>333</v>
      </c>
    </row>
    <row r="5128" spans="28:29">
      <c r="AB5128" s="231" t="s">
        <v>5517</v>
      </c>
      <c r="AC5128" s="217" t="s">
        <v>333</v>
      </c>
    </row>
    <row r="5129" spans="28:29">
      <c r="AB5129" s="231" t="s">
        <v>5518</v>
      </c>
      <c r="AC5129" s="217" t="s">
        <v>333</v>
      </c>
    </row>
    <row r="5130" spans="28:29">
      <c r="AB5130" s="231" t="s">
        <v>5519</v>
      </c>
      <c r="AC5130" s="217" t="s">
        <v>333</v>
      </c>
    </row>
    <row r="5131" spans="28:29">
      <c r="AB5131" s="231" t="s">
        <v>5520</v>
      </c>
      <c r="AC5131" s="217" t="s">
        <v>333</v>
      </c>
    </row>
    <row r="5132" spans="28:29">
      <c r="AB5132" s="231" t="s">
        <v>5521</v>
      </c>
      <c r="AC5132" s="217" t="s">
        <v>333</v>
      </c>
    </row>
    <row r="5133" spans="28:29">
      <c r="AB5133" s="231" t="s">
        <v>5522</v>
      </c>
      <c r="AC5133" s="217" t="s">
        <v>333</v>
      </c>
    </row>
    <row r="5134" spans="28:29">
      <c r="AB5134" s="231" t="s">
        <v>5523</v>
      </c>
      <c r="AC5134" s="217" t="s">
        <v>333</v>
      </c>
    </row>
    <row r="5135" spans="28:29">
      <c r="AB5135" s="231" t="s">
        <v>5524</v>
      </c>
      <c r="AC5135" s="217" t="s">
        <v>333</v>
      </c>
    </row>
    <row r="5136" spans="28:29">
      <c r="AB5136" s="231" t="s">
        <v>5525</v>
      </c>
      <c r="AC5136" s="217" t="s">
        <v>333</v>
      </c>
    </row>
    <row r="5137" spans="28:29">
      <c r="AB5137" s="231" t="s">
        <v>5526</v>
      </c>
      <c r="AC5137" s="217" t="s">
        <v>333</v>
      </c>
    </row>
    <row r="5138" spans="28:29">
      <c r="AB5138" s="231" t="s">
        <v>5527</v>
      </c>
      <c r="AC5138" s="217" t="s">
        <v>333</v>
      </c>
    </row>
    <row r="5139" spans="28:29">
      <c r="AB5139" s="231" t="s">
        <v>5528</v>
      </c>
      <c r="AC5139" s="217" t="s">
        <v>333</v>
      </c>
    </row>
    <row r="5140" spans="28:29">
      <c r="AB5140" s="231" t="s">
        <v>5529</v>
      </c>
      <c r="AC5140" s="217" t="s">
        <v>333</v>
      </c>
    </row>
    <row r="5141" spans="28:29">
      <c r="AB5141" s="231" t="s">
        <v>5530</v>
      </c>
      <c r="AC5141" s="217" t="s">
        <v>333</v>
      </c>
    </row>
    <row r="5142" spans="28:29">
      <c r="AB5142" s="231" t="s">
        <v>5531</v>
      </c>
      <c r="AC5142" s="217" t="s">
        <v>333</v>
      </c>
    </row>
    <row r="5143" spans="28:29">
      <c r="AB5143" s="231" t="s">
        <v>5532</v>
      </c>
      <c r="AC5143" s="217" t="s">
        <v>333</v>
      </c>
    </row>
    <row r="5144" spans="28:29">
      <c r="AB5144" s="231" t="s">
        <v>5533</v>
      </c>
      <c r="AC5144" s="217" t="s">
        <v>333</v>
      </c>
    </row>
    <row r="5145" spans="28:29">
      <c r="AB5145" s="231" t="s">
        <v>5534</v>
      </c>
      <c r="AC5145" s="217" t="s">
        <v>333</v>
      </c>
    </row>
    <row r="5146" spans="28:29">
      <c r="AB5146" s="231" t="s">
        <v>5535</v>
      </c>
      <c r="AC5146" s="217" t="s">
        <v>333</v>
      </c>
    </row>
    <row r="5147" spans="28:29">
      <c r="AB5147" s="231" t="s">
        <v>5536</v>
      </c>
      <c r="AC5147" s="217" t="s">
        <v>333</v>
      </c>
    </row>
    <row r="5148" spans="28:29">
      <c r="AB5148" s="231" t="s">
        <v>5537</v>
      </c>
      <c r="AC5148" s="217" t="s">
        <v>333</v>
      </c>
    </row>
    <row r="5149" spans="28:29">
      <c r="AB5149" s="231" t="s">
        <v>5538</v>
      </c>
      <c r="AC5149" s="217" t="s">
        <v>333</v>
      </c>
    </row>
    <row r="5150" spans="28:29">
      <c r="AB5150" s="231" t="s">
        <v>5539</v>
      </c>
      <c r="AC5150" s="217" t="s">
        <v>333</v>
      </c>
    </row>
    <row r="5151" spans="28:29">
      <c r="AB5151" s="231" t="s">
        <v>5540</v>
      </c>
      <c r="AC5151" s="217" t="s">
        <v>333</v>
      </c>
    </row>
    <row r="5152" spans="28:29">
      <c r="AB5152" s="231" t="s">
        <v>5541</v>
      </c>
      <c r="AC5152" s="217" t="s">
        <v>333</v>
      </c>
    </row>
    <row r="5153" spans="28:29">
      <c r="AB5153" s="231" t="s">
        <v>5542</v>
      </c>
      <c r="AC5153" s="217" t="s">
        <v>333</v>
      </c>
    </row>
    <row r="5154" spans="28:29">
      <c r="AB5154" s="231" t="s">
        <v>5543</v>
      </c>
      <c r="AC5154" s="217" t="s">
        <v>333</v>
      </c>
    </row>
    <row r="5155" spans="28:29">
      <c r="AB5155" s="231" t="s">
        <v>5544</v>
      </c>
      <c r="AC5155" s="217" t="s">
        <v>333</v>
      </c>
    </row>
    <row r="5156" spans="28:29">
      <c r="AB5156" s="231" t="s">
        <v>5545</v>
      </c>
      <c r="AC5156" s="217" t="s">
        <v>333</v>
      </c>
    </row>
    <row r="5157" spans="28:29">
      <c r="AB5157" s="231" t="s">
        <v>5546</v>
      </c>
      <c r="AC5157" s="217" t="s">
        <v>333</v>
      </c>
    </row>
    <row r="5158" spans="28:29">
      <c r="AB5158" s="231" t="s">
        <v>5547</v>
      </c>
      <c r="AC5158" s="217" t="s">
        <v>333</v>
      </c>
    </row>
    <row r="5159" spans="28:29">
      <c r="AB5159" s="231" t="s">
        <v>5548</v>
      </c>
      <c r="AC5159" s="217" t="s">
        <v>333</v>
      </c>
    </row>
    <row r="5160" spans="28:29">
      <c r="AB5160" s="231" t="s">
        <v>5549</v>
      </c>
      <c r="AC5160" s="217" t="s">
        <v>333</v>
      </c>
    </row>
    <row r="5161" spans="28:29">
      <c r="AB5161" s="231" t="s">
        <v>5550</v>
      </c>
      <c r="AC5161" s="217" t="s">
        <v>333</v>
      </c>
    </row>
    <row r="5162" spans="28:29">
      <c r="AB5162" s="231" t="s">
        <v>5551</v>
      </c>
      <c r="AC5162" s="217" t="s">
        <v>333</v>
      </c>
    </row>
    <row r="5163" spans="28:29">
      <c r="AB5163" s="231" t="s">
        <v>5552</v>
      </c>
      <c r="AC5163" s="217" t="s">
        <v>333</v>
      </c>
    </row>
    <row r="5164" spans="28:29">
      <c r="AB5164" s="231" t="s">
        <v>5553</v>
      </c>
      <c r="AC5164" s="217" t="s">
        <v>333</v>
      </c>
    </row>
    <row r="5165" spans="28:29">
      <c r="AB5165" s="231" t="s">
        <v>5554</v>
      </c>
      <c r="AC5165" s="217" t="s">
        <v>333</v>
      </c>
    </row>
    <row r="5166" spans="28:29">
      <c r="AB5166" s="231" t="s">
        <v>5555</v>
      </c>
      <c r="AC5166" s="217" t="s">
        <v>333</v>
      </c>
    </row>
    <row r="5167" spans="28:29">
      <c r="AB5167" s="231" t="s">
        <v>5556</v>
      </c>
      <c r="AC5167" s="217" t="s">
        <v>333</v>
      </c>
    </row>
    <row r="5168" spans="28:29">
      <c r="AB5168" s="231" t="s">
        <v>5557</v>
      </c>
      <c r="AC5168" s="217" t="s">
        <v>333</v>
      </c>
    </row>
    <row r="5169" spans="28:29">
      <c r="AB5169" s="231" t="s">
        <v>5558</v>
      </c>
      <c r="AC5169" s="217" t="s">
        <v>333</v>
      </c>
    </row>
    <row r="5170" spans="28:29">
      <c r="AB5170" s="231" t="s">
        <v>5559</v>
      </c>
      <c r="AC5170" s="217" t="s">
        <v>333</v>
      </c>
    </row>
    <row r="5171" spans="28:29">
      <c r="AB5171" s="231" t="s">
        <v>5560</v>
      </c>
      <c r="AC5171" s="217" t="s">
        <v>333</v>
      </c>
    </row>
    <row r="5172" spans="28:29">
      <c r="AB5172" s="231" t="s">
        <v>5561</v>
      </c>
      <c r="AC5172" s="217" t="s">
        <v>333</v>
      </c>
    </row>
    <row r="5173" spans="28:29">
      <c r="AB5173" s="231" t="s">
        <v>5562</v>
      </c>
      <c r="AC5173" s="217" t="s">
        <v>333</v>
      </c>
    </row>
    <row r="5174" spans="28:29">
      <c r="AB5174" s="231" t="s">
        <v>5563</v>
      </c>
      <c r="AC5174" s="217" t="s">
        <v>333</v>
      </c>
    </row>
    <row r="5175" spans="28:29">
      <c r="AB5175" s="231" t="s">
        <v>5564</v>
      </c>
      <c r="AC5175" s="217" t="s">
        <v>333</v>
      </c>
    </row>
    <row r="5176" spans="28:29">
      <c r="AB5176" s="231" t="s">
        <v>5565</v>
      </c>
      <c r="AC5176" s="217" t="s">
        <v>333</v>
      </c>
    </row>
    <row r="5177" spans="28:29">
      <c r="AB5177" s="231" t="s">
        <v>5566</v>
      </c>
      <c r="AC5177" s="217" t="s">
        <v>333</v>
      </c>
    </row>
    <row r="5178" spans="28:29">
      <c r="AB5178" s="231" t="s">
        <v>5567</v>
      </c>
      <c r="AC5178" s="217" t="s">
        <v>333</v>
      </c>
    </row>
    <row r="5179" spans="28:29">
      <c r="AB5179" s="231" t="s">
        <v>5568</v>
      </c>
      <c r="AC5179" s="217" t="s">
        <v>333</v>
      </c>
    </row>
    <row r="5180" spans="28:29">
      <c r="AB5180" s="231" t="s">
        <v>5569</v>
      </c>
      <c r="AC5180" s="217" t="s">
        <v>333</v>
      </c>
    </row>
    <row r="5181" spans="28:29">
      <c r="AB5181" s="231" t="s">
        <v>5570</v>
      </c>
      <c r="AC5181" s="217" t="s">
        <v>333</v>
      </c>
    </row>
    <row r="5182" spans="28:29">
      <c r="AB5182" s="231" t="s">
        <v>5571</v>
      </c>
      <c r="AC5182" s="217" t="s">
        <v>333</v>
      </c>
    </row>
    <row r="5183" spans="28:29">
      <c r="AB5183" s="231" t="s">
        <v>5572</v>
      </c>
      <c r="AC5183" s="217" t="s">
        <v>333</v>
      </c>
    </row>
    <row r="5184" spans="28:29">
      <c r="AB5184" s="231" t="s">
        <v>5573</v>
      </c>
      <c r="AC5184" s="217" t="s">
        <v>333</v>
      </c>
    </row>
    <row r="5185" spans="28:29">
      <c r="AB5185" s="231" t="s">
        <v>5574</v>
      </c>
      <c r="AC5185" s="217" t="s">
        <v>333</v>
      </c>
    </row>
    <row r="5186" spans="28:29">
      <c r="AB5186" s="231" t="s">
        <v>5575</v>
      </c>
      <c r="AC5186" s="217" t="s">
        <v>333</v>
      </c>
    </row>
    <row r="5187" spans="28:29">
      <c r="AB5187" s="231" t="s">
        <v>5576</v>
      </c>
      <c r="AC5187" s="217" t="s">
        <v>333</v>
      </c>
    </row>
    <row r="5188" spans="28:29">
      <c r="AB5188" s="231" t="s">
        <v>5577</v>
      </c>
      <c r="AC5188" s="217" t="s">
        <v>333</v>
      </c>
    </row>
    <row r="5189" spans="28:29">
      <c r="AB5189" s="231" t="s">
        <v>5578</v>
      </c>
      <c r="AC5189" s="217" t="s">
        <v>333</v>
      </c>
    </row>
    <row r="5190" spans="28:29">
      <c r="AB5190" s="231" t="s">
        <v>5579</v>
      </c>
      <c r="AC5190" s="217" t="s">
        <v>333</v>
      </c>
    </row>
    <row r="5191" spans="28:29">
      <c r="AB5191" s="231" t="s">
        <v>5580</v>
      </c>
      <c r="AC5191" s="217" t="s">
        <v>333</v>
      </c>
    </row>
    <row r="5192" spans="28:29">
      <c r="AB5192" s="231" t="s">
        <v>5581</v>
      </c>
      <c r="AC5192" s="217" t="s">
        <v>333</v>
      </c>
    </row>
    <row r="5193" spans="28:29">
      <c r="AB5193" s="231" t="s">
        <v>5582</v>
      </c>
      <c r="AC5193" s="217" t="s">
        <v>333</v>
      </c>
    </row>
    <row r="5194" spans="28:29">
      <c r="AB5194" s="231" t="s">
        <v>5583</v>
      </c>
      <c r="AC5194" s="217" t="s">
        <v>333</v>
      </c>
    </row>
    <row r="5195" spans="28:29">
      <c r="AB5195" s="231" t="s">
        <v>5584</v>
      </c>
      <c r="AC5195" s="217" t="s">
        <v>333</v>
      </c>
    </row>
    <row r="5196" spans="28:29">
      <c r="AB5196" s="231" t="s">
        <v>5585</v>
      </c>
      <c r="AC5196" s="217" t="s">
        <v>333</v>
      </c>
    </row>
    <row r="5197" spans="28:29">
      <c r="AB5197" s="231" t="s">
        <v>5586</v>
      </c>
      <c r="AC5197" s="217" t="s">
        <v>333</v>
      </c>
    </row>
    <row r="5198" spans="28:29">
      <c r="AB5198" s="231" t="s">
        <v>5587</v>
      </c>
      <c r="AC5198" s="217" t="s">
        <v>333</v>
      </c>
    </row>
    <row r="5199" spans="28:29">
      <c r="AB5199" s="231" t="s">
        <v>5588</v>
      </c>
      <c r="AC5199" s="217" t="s">
        <v>333</v>
      </c>
    </row>
    <row r="5200" spans="28:29">
      <c r="AB5200" s="231" t="s">
        <v>5589</v>
      </c>
      <c r="AC5200" s="217" t="s">
        <v>333</v>
      </c>
    </row>
    <row r="5201" spans="28:29">
      <c r="AB5201" s="231" t="s">
        <v>5590</v>
      </c>
      <c r="AC5201" s="217" t="s">
        <v>333</v>
      </c>
    </row>
    <row r="5202" spans="28:29">
      <c r="AB5202" s="231" t="s">
        <v>5591</v>
      </c>
      <c r="AC5202" s="217" t="s">
        <v>333</v>
      </c>
    </row>
    <row r="5203" spans="28:29">
      <c r="AB5203" s="231" t="s">
        <v>5592</v>
      </c>
      <c r="AC5203" s="217" t="s">
        <v>333</v>
      </c>
    </row>
    <row r="5204" spans="28:29">
      <c r="AB5204" s="231" t="s">
        <v>5593</v>
      </c>
      <c r="AC5204" s="217" t="s">
        <v>333</v>
      </c>
    </row>
    <row r="5205" spans="28:29">
      <c r="AB5205" s="231" t="s">
        <v>5594</v>
      </c>
      <c r="AC5205" s="217" t="s">
        <v>333</v>
      </c>
    </row>
    <row r="5206" spans="28:29">
      <c r="AB5206" s="231" t="s">
        <v>5595</v>
      </c>
      <c r="AC5206" s="217" t="s">
        <v>333</v>
      </c>
    </row>
    <row r="5207" spans="28:29">
      <c r="AB5207" s="231" t="s">
        <v>5596</v>
      </c>
      <c r="AC5207" s="217" t="s">
        <v>333</v>
      </c>
    </row>
    <row r="5208" spans="28:29">
      <c r="AB5208" s="231" t="s">
        <v>5597</v>
      </c>
      <c r="AC5208" s="217" t="s">
        <v>333</v>
      </c>
    </row>
    <row r="5209" spans="28:29">
      <c r="AB5209" s="231" t="s">
        <v>5598</v>
      </c>
      <c r="AC5209" s="217" t="s">
        <v>333</v>
      </c>
    </row>
    <row r="5210" spans="28:29">
      <c r="AB5210" s="231" t="s">
        <v>5599</v>
      </c>
      <c r="AC5210" s="217" t="s">
        <v>333</v>
      </c>
    </row>
    <row r="5211" spans="28:29">
      <c r="AB5211" s="231" t="s">
        <v>5600</v>
      </c>
      <c r="AC5211" s="217" t="s">
        <v>333</v>
      </c>
    </row>
    <row r="5212" spans="28:29">
      <c r="AB5212" s="231" t="s">
        <v>5601</v>
      </c>
      <c r="AC5212" s="217" t="s">
        <v>333</v>
      </c>
    </row>
    <row r="5213" spans="28:29">
      <c r="AB5213" s="231" t="s">
        <v>5602</v>
      </c>
      <c r="AC5213" s="217" t="s">
        <v>333</v>
      </c>
    </row>
    <row r="5214" spans="28:29">
      <c r="AB5214" s="231" t="s">
        <v>5603</v>
      </c>
      <c r="AC5214" s="217" t="s">
        <v>333</v>
      </c>
    </row>
    <row r="5215" spans="28:29">
      <c r="AB5215" s="231" t="s">
        <v>5604</v>
      </c>
      <c r="AC5215" s="217" t="s">
        <v>333</v>
      </c>
    </row>
    <row r="5216" spans="28:29">
      <c r="AB5216" s="231" t="s">
        <v>5605</v>
      </c>
      <c r="AC5216" s="217" t="s">
        <v>333</v>
      </c>
    </row>
    <row r="5217" spans="28:29">
      <c r="AB5217" s="231" t="s">
        <v>5606</v>
      </c>
      <c r="AC5217" s="217" t="s">
        <v>333</v>
      </c>
    </row>
    <row r="5218" spans="28:29">
      <c r="AB5218" s="231" t="s">
        <v>5607</v>
      </c>
      <c r="AC5218" s="217" t="s">
        <v>333</v>
      </c>
    </row>
    <row r="5219" spans="28:29">
      <c r="AB5219" s="231" t="s">
        <v>5608</v>
      </c>
      <c r="AC5219" s="217" t="s">
        <v>333</v>
      </c>
    </row>
    <row r="5220" spans="28:29">
      <c r="AB5220" s="231" t="s">
        <v>5609</v>
      </c>
      <c r="AC5220" s="217" t="s">
        <v>333</v>
      </c>
    </row>
    <row r="5221" spans="28:29">
      <c r="AB5221" s="231" t="s">
        <v>5610</v>
      </c>
      <c r="AC5221" s="217" t="s">
        <v>333</v>
      </c>
    </row>
    <row r="5222" spans="28:29">
      <c r="AB5222" s="231" t="s">
        <v>5611</v>
      </c>
      <c r="AC5222" s="217" t="s">
        <v>333</v>
      </c>
    </row>
    <row r="5223" spans="28:29">
      <c r="AB5223" s="231" t="s">
        <v>5612</v>
      </c>
      <c r="AC5223" s="217" t="s">
        <v>333</v>
      </c>
    </row>
    <row r="5224" spans="28:29">
      <c r="AB5224" s="231" t="s">
        <v>5613</v>
      </c>
      <c r="AC5224" s="217" t="s">
        <v>333</v>
      </c>
    </row>
    <row r="5225" spans="28:29">
      <c r="AB5225" s="231" t="s">
        <v>5614</v>
      </c>
      <c r="AC5225" s="217" t="s">
        <v>333</v>
      </c>
    </row>
    <row r="5226" spans="28:29">
      <c r="AB5226" s="231" t="s">
        <v>5615</v>
      </c>
      <c r="AC5226" s="217" t="s">
        <v>333</v>
      </c>
    </row>
    <row r="5227" spans="28:29">
      <c r="AB5227" s="231" t="s">
        <v>5616</v>
      </c>
      <c r="AC5227" s="217" t="s">
        <v>333</v>
      </c>
    </row>
    <row r="5228" spans="28:29">
      <c r="AB5228" s="231" t="s">
        <v>5617</v>
      </c>
      <c r="AC5228" s="217" t="s">
        <v>333</v>
      </c>
    </row>
    <row r="5229" spans="28:29">
      <c r="AB5229" s="231" t="s">
        <v>5618</v>
      </c>
      <c r="AC5229" s="217" t="s">
        <v>333</v>
      </c>
    </row>
    <row r="5230" spans="28:29">
      <c r="AB5230" s="231" t="s">
        <v>5619</v>
      </c>
      <c r="AC5230" s="217" t="s">
        <v>333</v>
      </c>
    </row>
    <row r="5231" spans="28:29">
      <c r="AB5231" s="231" t="s">
        <v>5620</v>
      </c>
      <c r="AC5231" s="217" t="s">
        <v>333</v>
      </c>
    </row>
    <row r="5232" spans="28:29">
      <c r="AB5232" s="231" t="s">
        <v>5621</v>
      </c>
      <c r="AC5232" s="217" t="s">
        <v>333</v>
      </c>
    </row>
    <row r="5233" spans="28:29">
      <c r="AB5233" s="231" t="s">
        <v>5622</v>
      </c>
      <c r="AC5233" s="217" t="s">
        <v>333</v>
      </c>
    </row>
    <row r="5234" spans="28:29">
      <c r="AB5234" s="231" t="s">
        <v>5623</v>
      </c>
      <c r="AC5234" s="217" t="s">
        <v>333</v>
      </c>
    </row>
    <row r="5235" spans="28:29">
      <c r="AB5235" s="231" t="s">
        <v>5624</v>
      </c>
      <c r="AC5235" s="217" t="s">
        <v>333</v>
      </c>
    </row>
    <row r="5236" spans="28:29">
      <c r="AB5236" s="231" t="s">
        <v>5625</v>
      </c>
      <c r="AC5236" s="217" t="s">
        <v>333</v>
      </c>
    </row>
    <row r="5237" spans="28:29">
      <c r="AB5237" s="231" t="s">
        <v>5626</v>
      </c>
      <c r="AC5237" s="217" t="s">
        <v>333</v>
      </c>
    </row>
    <row r="5238" spans="28:29">
      <c r="AB5238" s="231" t="s">
        <v>5627</v>
      </c>
      <c r="AC5238" s="217" t="s">
        <v>333</v>
      </c>
    </row>
    <row r="5239" spans="28:29">
      <c r="AB5239" s="231" t="s">
        <v>5628</v>
      </c>
      <c r="AC5239" s="217" t="s">
        <v>333</v>
      </c>
    </row>
    <row r="5240" spans="28:29">
      <c r="AB5240" s="231" t="s">
        <v>5629</v>
      </c>
      <c r="AC5240" s="217" t="s">
        <v>333</v>
      </c>
    </row>
    <row r="5241" spans="28:29">
      <c r="AB5241" s="231" t="s">
        <v>5630</v>
      </c>
      <c r="AC5241" s="217" t="s">
        <v>333</v>
      </c>
    </row>
    <row r="5242" spans="28:29">
      <c r="AB5242" s="231" t="s">
        <v>5631</v>
      </c>
      <c r="AC5242" s="217" t="s">
        <v>333</v>
      </c>
    </row>
    <row r="5243" spans="28:29">
      <c r="AB5243" s="231" t="s">
        <v>5632</v>
      </c>
      <c r="AC5243" s="217" t="s">
        <v>333</v>
      </c>
    </row>
    <row r="5244" spans="28:29">
      <c r="AB5244" s="231" t="s">
        <v>5633</v>
      </c>
      <c r="AC5244" s="217" t="s">
        <v>333</v>
      </c>
    </row>
    <row r="5245" spans="28:29">
      <c r="AB5245" s="231" t="s">
        <v>5634</v>
      </c>
      <c r="AC5245" s="217" t="s">
        <v>333</v>
      </c>
    </row>
    <row r="5246" spans="28:29">
      <c r="AB5246" s="231" t="s">
        <v>5635</v>
      </c>
      <c r="AC5246" s="217" t="s">
        <v>333</v>
      </c>
    </row>
    <row r="5247" spans="28:29">
      <c r="AB5247" s="231" t="s">
        <v>5636</v>
      </c>
      <c r="AC5247" s="217" t="s">
        <v>333</v>
      </c>
    </row>
    <row r="5248" spans="28:29">
      <c r="AB5248" s="231" t="s">
        <v>5637</v>
      </c>
      <c r="AC5248" s="217" t="s">
        <v>333</v>
      </c>
    </row>
    <row r="5249" spans="28:29">
      <c r="AB5249" s="231" t="s">
        <v>5638</v>
      </c>
      <c r="AC5249" s="217" t="s">
        <v>333</v>
      </c>
    </row>
    <row r="5250" spans="28:29">
      <c r="AB5250" s="231" t="s">
        <v>5639</v>
      </c>
      <c r="AC5250" s="217" t="s">
        <v>333</v>
      </c>
    </row>
    <row r="5251" spans="28:29">
      <c r="AB5251" s="231" t="s">
        <v>5640</v>
      </c>
      <c r="AC5251" s="217" t="s">
        <v>333</v>
      </c>
    </row>
    <row r="5252" spans="28:29">
      <c r="AB5252" s="231" t="s">
        <v>5641</v>
      </c>
      <c r="AC5252" s="217" t="s">
        <v>333</v>
      </c>
    </row>
    <row r="5253" spans="28:29">
      <c r="AB5253" s="231" t="s">
        <v>5642</v>
      </c>
      <c r="AC5253" s="217" t="s">
        <v>333</v>
      </c>
    </row>
    <row r="5254" spans="28:29">
      <c r="AB5254" s="231" t="s">
        <v>5643</v>
      </c>
      <c r="AC5254" s="217" t="s">
        <v>333</v>
      </c>
    </row>
    <row r="5255" spans="28:29">
      <c r="AB5255" s="231" t="s">
        <v>5644</v>
      </c>
      <c r="AC5255" s="217" t="s">
        <v>333</v>
      </c>
    </row>
    <row r="5256" spans="28:29">
      <c r="AB5256" s="231" t="s">
        <v>5645</v>
      </c>
      <c r="AC5256" s="217" t="s">
        <v>333</v>
      </c>
    </row>
    <row r="5257" spans="28:29">
      <c r="AB5257" s="231" t="s">
        <v>5646</v>
      </c>
      <c r="AC5257" s="217" t="s">
        <v>333</v>
      </c>
    </row>
    <row r="5258" spans="28:29">
      <c r="AB5258" s="231" t="s">
        <v>5647</v>
      </c>
      <c r="AC5258" s="217" t="s">
        <v>333</v>
      </c>
    </row>
    <row r="5259" spans="28:29">
      <c r="AB5259" s="231" t="s">
        <v>5648</v>
      </c>
      <c r="AC5259" s="217" t="s">
        <v>333</v>
      </c>
    </row>
    <row r="5260" spans="28:29">
      <c r="AB5260" s="231" t="s">
        <v>5649</v>
      </c>
      <c r="AC5260" s="217" t="s">
        <v>333</v>
      </c>
    </row>
    <row r="5261" spans="28:29">
      <c r="AB5261" s="231" t="s">
        <v>5650</v>
      </c>
      <c r="AC5261" s="217" t="s">
        <v>333</v>
      </c>
    </row>
    <row r="5262" spans="28:29">
      <c r="AB5262" s="231" t="s">
        <v>5651</v>
      </c>
      <c r="AC5262" s="217" t="s">
        <v>333</v>
      </c>
    </row>
    <row r="5263" spans="28:29">
      <c r="AB5263" s="231" t="s">
        <v>5652</v>
      </c>
      <c r="AC5263" s="217" t="s">
        <v>333</v>
      </c>
    </row>
    <row r="5264" spans="28:29">
      <c r="AB5264" s="231" t="s">
        <v>5653</v>
      </c>
      <c r="AC5264" s="217" t="s">
        <v>333</v>
      </c>
    </row>
    <row r="5265" spans="28:29">
      <c r="AB5265" s="231" t="s">
        <v>5654</v>
      </c>
      <c r="AC5265" s="217" t="s">
        <v>333</v>
      </c>
    </row>
    <row r="5266" spans="28:29">
      <c r="AB5266" s="231" t="s">
        <v>5655</v>
      </c>
      <c r="AC5266" s="217" t="s">
        <v>333</v>
      </c>
    </row>
    <row r="5267" spans="28:29">
      <c r="AB5267" s="231" t="s">
        <v>5656</v>
      </c>
      <c r="AC5267" s="217" t="s">
        <v>333</v>
      </c>
    </row>
    <row r="5268" spans="28:29">
      <c r="AB5268" s="231" t="s">
        <v>5657</v>
      </c>
      <c r="AC5268" s="217" t="s">
        <v>333</v>
      </c>
    </row>
    <row r="5269" spans="28:29">
      <c r="AB5269" s="231" t="s">
        <v>5658</v>
      </c>
      <c r="AC5269" s="217" t="s">
        <v>333</v>
      </c>
    </row>
    <row r="5270" spans="28:29">
      <c r="AB5270" s="231" t="s">
        <v>5659</v>
      </c>
      <c r="AC5270" s="217" t="s">
        <v>333</v>
      </c>
    </row>
    <row r="5271" spans="28:29">
      <c r="AB5271" s="231" t="s">
        <v>5660</v>
      </c>
      <c r="AC5271" s="217" t="s">
        <v>333</v>
      </c>
    </row>
    <row r="5272" spans="28:29">
      <c r="AB5272" s="231" t="s">
        <v>5661</v>
      </c>
      <c r="AC5272" s="217" t="s">
        <v>333</v>
      </c>
    </row>
    <row r="5273" spans="28:29">
      <c r="AB5273" s="231" t="s">
        <v>5662</v>
      </c>
      <c r="AC5273" s="217" t="s">
        <v>333</v>
      </c>
    </row>
    <row r="5274" spans="28:29">
      <c r="AB5274" s="231" t="s">
        <v>5663</v>
      </c>
      <c r="AC5274" s="217" t="s">
        <v>333</v>
      </c>
    </row>
    <row r="5275" spans="28:29">
      <c r="AB5275" s="231" t="s">
        <v>5664</v>
      </c>
      <c r="AC5275" s="217" t="s">
        <v>333</v>
      </c>
    </row>
    <row r="5276" spans="28:29">
      <c r="AB5276" s="231" t="s">
        <v>5665</v>
      </c>
      <c r="AC5276" s="217" t="s">
        <v>333</v>
      </c>
    </row>
    <row r="5277" spans="28:29">
      <c r="AB5277" s="231" t="s">
        <v>5666</v>
      </c>
      <c r="AC5277" s="217" t="s">
        <v>333</v>
      </c>
    </row>
    <row r="5278" spans="28:29">
      <c r="AB5278" s="231" t="s">
        <v>5667</v>
      </c>
      <c r="AC5278" s="217" t="s">
        <v>333</v>
      </c>
    </row>
    <row r="5279" spans="28:29">
      <c r="AB5279" s="231" t="s">
        <v>5668</v>
      </c>
      <c r="AC5279" s="217" t="s">
        <v>333</v>
      </c>
    </row>
    <row r="5280" spans="28:29">
      <c r="AB5280" s="231" t="s">
        <v>5669</v>
      </c>
      <c r="AC5280" s="217" t="s">
        <v>333</v>
      </c>
    </row>
    <row r="5281" spans="28:29">
      <c r="AB5281" s="231" t="s">
        <v>5670</v>
      </c>
      <c r="AC5281" s="217" t="s">
        <v>333</v>
      </c>
    </row>
    <row r="5282" spans="28:29">
      <c r="AB5282" s="231" t="s">
        <v>5671</v>
      </c>
      <c r="AC5282" s="217" t="s">
        <v>333</v>
      </c>
    </row>
    <row r="5283" spans="28:29">
      <c r="AB5283" s="231" t="s">
        <v>5672</v>
      </c>
      <c r="AC5283" s="217" t="s">
        <v>333</v>
      </c>
    </row>
    <row r="5284" spans="28:29">
      <c r="AB5284" s="231" t="s">
        <v>5673</v>
      </c>
      <c r="AC5284" s="217" t="s">
        <v>333</v>
      </c>
    </row>
    <row r="5285" spans="28:29">
      <c r="AB5285" s="231" t="s">
        <v>5674</v>
      </c>
      <c r="AC5285" s="217" t="s">
        <v>333</v>
      </c>
    </row>
    <row r="5286" spans="28:29">
      <c r="AB5286" s="231" t="s">
        <v>5675</v>
      </c>
      <c r="AC5286" s="217" t="s">
        <v>333</v>
      </c>
    </row>
    <row r="5287" spans="28:29">
      <c r="AB5287" s="231" t="s">
        <v>5676</v>
      </c>
      <c r="AC5287" s="217" t="s">
        <v>333</v>
      </c>
    </row>
    <row r="5288" spans="28:29">
      <c r="AB5288" s="231" t="s">
        <v>5677</v>
      </c>
      <c r="AC5288" s="217" t="s">
        <v>333</v>
      </c>
    </row>
    <row r="5289" spans="28:29">
      <c r="AB5289" s="231" t="s">
        <v>5678</v>
      </c>
      <c r="AC5289" s="217" t="s">
        <v>333</v>
      </c>
    </row>
    <row r="5290" spans="28:29">
      <c r="AB5290" s="231" t="s">
        <v>5679</v>
      </c>
      <c r="AC5290" s="217" t="s">
        <v>333</v>
      </c>
    </row>
    <row r="5291" spans="28:29">
      <c r="AB5291" s="231" t="s">
        <v>5680</v>
      </c>
      <c r="AC5291" s="217" t="s">
        <v>333</v>
      </c>
    </row>
    <row r="5292" spans="28:29">
      <c r="AB5292" s="231" t="s">
        <v>5681</v>
      </c>
      <c r="AC5292" s="217" t="s">
        <v>333</v>
      </c>
    </row>
    <row r="5293" spans="28:29">
      <c r="AB5293" s="231" t="s">
        <v>5682</v>
      </c>
      <c r="AC5293" s="217" t="s">
        <v>333</v>
      </c>
    </row>
    <row r="5294" spans="28:29">
      <c r="AB5294" s="231" t="s">
        <v>5683</v>
      </c>
      <c r="AC5294" s="217" t="s">
        <v>333</v>
      </c>
    </row>
    <row r="5295" spans="28:29">
      <c r="AB5295" s="231" t="s">
        <v>5684</v>
      </c>
      <c r="AC5295" s="217" t="s">
        <v>333</v>
      </c>
    </row>
    <row r="5296" spans="28:29">
      <c r="AB5296" s="231" t="s">
        <v>5685</v>
      </c>
      <c r="AC5296" s="217" t="s">
        <v>333</v>
      </c>
    </row>
    <row r="5297" spans="28:29">
      <c r="AB5297" s="231" t="s">
        <v>5686</v>
      </c>
      <c r="AC5297" s="217" t="s">
        <v>333</v>
      </c>
    </row>
    <row r="5298" spans="28:29">
      <c r="AB5298" s="231" t="s">
        <v>5687</v>
      </c>
      <c r="AC5298" s="217" t="s">
        <v>333</v>
      </c>
    </row>
    <row r="5299" spans="28:29">
      <c r="AB5299" s="231" t="s">
        <v>5688</v>
      </c>
      <c r="AC5299" s="217" t="s">
        <v>333</v>
      </c>
    </row>
    <row r="5300" spans="28:29">
      <c r="AB5300" s="231" t="s">
        <v>5689</v>
      </c>
      <c r="AC5300" s="217" t="s">
        <v>333</v>
      </c>
    </row>
    <row r="5301" spans="28:29">
      <c r="AB5301" s="231" t="s">
        <v>5690</v>
      </c>
      <c r="AC5301" s="217" t="s">
        <v>333</v>
      </c>
    </row>
    <row r="5302" spans="28:29">
      <c r="AB5302" s="231" t="s">
        <v>5691</v>
      </c>
      <c r="AC5302" s="217" t="s">
        <v>333</v>
      </c>
    </row>
    <row r="5303" spans="28:29">
      <c r="AB5303" s="231" t="s">
        <v>5692</v>
      </c>
      <c r="AC5303" s="217" t="s">
        <v>333</v>
      </c>
    </row>
    <row r="5304" spans="28:29">
      <c r="AB5304" s="231" t="s">
        <v>5693</v>
      </c>
      <c r="AC5304" s="217" t="s">
        <v>333</v>
      </c>
    </row>
    <row r="5305" spans="28:29">
      <c r="AB5305" s="231" t="s">
        <v>5694</v>
      </c>
      <c r="AC5305" s="217" t="s">
        <v>333</v>
      </c>
    </row>
    <row r="5306" spans="28:29">
      <c r="AB5306" s="231" t="s">
        <v>5695</v>
      </c>
      <c r="AC5306" s="217" t="s">
        <v>333</v>
      </c>
    </row>
    <row r="5307" spans="28:29">
      <c r="AB5307" s="231" t="s">
        <v>5696</v>
      </c>
      <c r="AC5307" s="217" t="s">
        <v>333</v>
      </c>
    </row>
    <row r="5308" spans="28:29">
      <c r="AB5308" s="231" t="s">
        <v>5697</v>
      </c>
      <c r="AC5308" s="217" t="s">
        <v>333</v>
      </c>
    </row>
    <row r="5309" spans="28:29">
      <c r="AB5309" s="231" t="s">
        <v>5698</v>
      </c>
      <c r="AC5309" s="217" t="s">
        <v>333</v>
      </c>
    </row>
    <row r="5310" spans="28:29">
      <c r="AB5310" s="231" t="s">
        <v>5699</v>
      </c>
      <c r="AC5310" s="217" t="s">
        <v>333</v>
      </c>
    </row>
    <row r="5311" spans="28:29">
      <c r="AB5311" s="231" t="s">
        <v>5700</v>
      </c>
      <c r="AC5311" s="217" t="s">
        <v>333</v>
      </c>
    </row>
    <row r="5312" spans="28:29">
      <c r="AB5312" s="231" t="s">
        <v>5701</v>
      </c>
      <c r="AC5312" s="217" t="s">
        <v>333</v>
      </c>
    </row>
    <row r="5313" spans="28:29">
      <c r="AB5313" s="231" t="s">
        <v>5702</v>
      </c>
      <c r="AC5313" s="217" t="s">
        <v>333</v>
      </c>
    </row>
    <row r="5314" spans="28:29">
      <c r="AB5314" s="231" t="s">
        <v>5703</v>
      </c>
      <c r="AC5314" s="217" t="s">
        <v>333</v>
      </c>
    </row>
    <row r="5315" spans="28:29">
      <c r="AB5315" s="231" t="s">
        <v>5704</v>
      </c>
      <c r="AC5315" s="217" t="s">
        <v>333</v>
      </c>
    </row>
    <row r="5316" spans="28:29">
      <c r="AB5316" s="231" t="s">
        <v>5705</v>
      </c>
      <c r="AC5316" s="217" t="s">
        <v>333</v>
      </c>
    </row>
    <row r="5317" spans="28:29">
      <c r="AB5317" s="231" t="s">
        <v>5706</v>
      </c>
      <c r="AC5317" s="217" t="s">
        <v>333</v>
      </c>
    </row>
    <row r="5318" spans="28:29">
      <c r="AB5318" s="231" t="s">
        <v>5707</v>
      </c>
      <c r="AC5318" s="217" t="s">
        <v>333</v>
      </c>
    </row>
    <row r="5319" spans="28:29">
      <c r="AB5319" s="231" t="s">
        <v>5708</v>
      </c>
      <c r="AC5319" s="217" t="s">
        <v>333</v>
      </c>
    </row>
    <row r="5320" spans="28:29">
      <c r="AB5320" s="231" t="s">
        <v>5709</v>
      </c>
      <c r="AC5320" s="217" t="s">
        <v>333</v>
      </c>
    </row>
    <row r="5321" spans="28:29">
      <c r="AB5321" s="231" t="s">
        <v>5710</v>
      </c>
      <c r="AC5321" s="217" t="s">
        <v>333</v>
      </c>
    </row>
    <row r="5322" spans="28:29">
      <c r="AB5322" s="231" t="s">
        <v>5711</v>
      </c>
      <c r="AC5322" s="217" t="s">
        <v>333</v>
      </c>
    </row>
    <row r="5323" spans="28:29">
      <c r="AB5323" s="231" t="s">
        <v>5712</v>
      </c>
      <c r="AC5323" s="217" t="s">
        <v>333</v>
      </c>
    </row>
    <row r="5324" spans="28:29">
      <c r="AB5324" s="231" t="s">
        <v>5713</v>
      </c>
      <c r="AC5324" s="217" t="s">
        <v>333</v>
      </c>
    </row>
    <row r="5325" spans="28:29">
      <c r="AB5325" s="231" t="s">
        <v>5714</v>
      </c>
      <c r="AC5325" s="217" t="s">
        <v>333</v>
      </c>
    </row>
    <row r="5326" spans="28:29">
      <c r="AB5326" s="231" t="s">
        <v>5715</v>
      </c>
      <c r="AC5326" s="217" t="s">
        <v>333</v>
      </c>
    </row>
    <row r="5327" spans="28:29">
      <c r="AB5327" s="231" t="s">
        <v>5716</v>
      </c>
      <c r="AC5327" s="217" t="s">
        <v>333</v>
      </c>
    </row>
    <row r="5328" spans="28:29">
      <c r="AB5328" s="231" t="s">
        <v>5717</v>
      </c>
      <c r="AC5328" s="217" t="s">
        <v>333</v>
      </c>
    </row>
    <row r="5329" spans="28:29">
      <c r="AB5329" s="231" t="s">
        <v>5718</v>
      </c>
      <c r="AC5329" s="217" t="s">
        <v>333</v>
      </c>
    </row>
    <row r="5330" spans="28:29">
      <c r="AB5330" s="231" t="s">
        <v>5719</v>
      </c>
      <c r="AC5330" s="217" t="s">
        <v>333</v>
      </c>
    </row>
    <row r="5331" spans="28:29">
      <c r="AB5331" s="231" t="s">
        <v>5720</v>
      </c>
      <c r="AC5331" s="217" t="s">
        <v>333</v>
      </c>
    </row>
    <row r="5332" spans="28:29">
      <c r="AB5332" s="231" t="s">
        <v>5721</v>
      </c>
      <c r="AC5332" s="217" t="s">
        <v>333</v>
      </c>
    </row>
    <row r="5333" spans="28:29">
      <c r="AB5333" s="231" t="s">
        <v>5722</v>
      </c>
      <c r="AC5333" s="217" t="s">
        <v>333</v>
      </c>
    </row>
    <row r="5334" spans="28:29">
      <c r="AB5334" s="231" t="s">
        <v>5723</v>
      </c>
      <c r="AC5334" s="217" t="s">
        <v>333</v>
      </c>
    </row>
    <row r="5335" spans="28:29">
      <c r="AB5335" s="231" t="s">
        <v>5724</v>
      </c>
      <c r="AC5335" s="217" t="s">
        <v>333</v>
      </c>
    </row>
    <row r="5336" spans="28:29">
      <c r="AB5336" s="231" t="s">
        <v>5725</v>
      </c>
      <c r="AC5336" s="217" t="s">
        <v>333</v>
      </c>
    </row>
    <row r="5337" spans="28:29">
      <c r="AB5337" s="231" t="s">
        <v>5726</v>
      </c>
      <c r="AC5337" s="217" t="s">
        <v>333</v>
      </c>
    </row>
    <row r="5338" spans="28:29">
      <c r="AB5338" s="231" t="s">
        <v>5727</v>
      </c>
      <c r="AC5338" s="217" t="s">
        <v>333</v>
      </c>
    </row>
    <row r="5339" spans="28:29">
      <c r="AB5339" s="231" t="s">
        <v>5728</v>
      </c>
      <c r="AC5339" s="217" t="s">
        <v>333</v>
      </c>
    </row>
    <row r="5340" spans="28:29">
      <c r="AB5340" s="231" t="s">
        <v>5729</v>
      </c>
      <c r="AC5340" s="217" t="s">
        <v>333</v>
      </c>
    </row>
    <row r="5341" spans="28:29">
      <c r="AB5341" s="231" t="s">
        <v>5730</v>
      </c>
      <c r="AC5341" s="217" t="s">
        <v>333</v>
      </c>
    </row>
    <row r="5342" spans="28:29">
      <c r="AB5342" s="231" t="s">
        <v>5731</v>
      </c>
      <c r="AC5342" s="217" t="s">
        <v>333</v>
      </c>
    </row>
    <row r="5343" spans="28:29">
      <c r="AB5343" s="231" t="s">
        <v>5732</v>
      </c>
      <c r="AC5343" s="217" t="s">
        <v>333</v>
      </c>
    </row>
    <row r="5344" spans="28:29">
      <c r="AB5344" s="231" t="s">
        <v>5733</v>
      </c>
      <c r="AC5344" s="217" t="s">
        <v>333</v>
      </c>
    </row>
    <row r="5345" spans="28:29">
      <c r="AB5345" s="231" t="s">
        <v>5734</v>
      </c>
      <c r="AC5345" s="217" t="s">
        <v>333</v>
      </c>
    </row>
    <row r="5346" spans="28:29">
      <c r="AB5346" s="231" t="s">
        <v>5735</v>
      </c>
      <c r="AC5346" s="217" t="s">
        <v>333</v>
      </c>
    </row>
    <row r="5347" spans="28:29">
      <c r="AB5347" s="231" t="s">
        <v>5736</v>
      </c>
      <c r="AC5347" s="217" t="s">
        <v>333</v>
      </c>
    </row>
    <row r="5348" spans="28:29">
      <c r="AB5348" s="231" t="s">
        <v>5737</v>
      </c>
      <c r="AC5348" s="217" t="s">
        <v>333</v>
      </c>
    </row>
    <row r="5349" spans="28:29">
      <c r="AB5349" s="231" t="s">
        <v>5738</v>
      </c>
      <c r="AC5349" s="217" t="s">
        <v>333</v>
      </c>
    </row>
    <row r="5350" spans="28:29">
      <c r="AB5350" s="231" t="s">
        <v>5739</v>
      </c>
      <c r="AC5350" s="217" t="s">
        <v>333</v>
      </c>
    </row>
    <row r="5351" spans="28:29">
      <c r="AB5351" s="231" t="s">
        <v>5740</v>
      </c>
      <c r="AC5351" s="217" t="s">
        <v>333</v>
      </c>
    </row>
    <row r="5352" spans="28:29">
      <c r="AB5352" s="231" t="s">
        <v>5741</v>
      </c>
      <c r="AC5352" s="217" t="s">
        <v>333</v>
      </c>
    </row>
    <row r="5353" spans="28:29">
      <c r="AB5353" s="231" t="s">
        <v>5742</v>
      </c>
      <c r="AC5353" s="217" t="s">
        <v>333</v>
      </c>
    </row>
    <row r="5354" spans="28:29">
      <c r="AB5354" s="231" t="s">
        <v>5743</v>
      </c>
      <c r="AC5354" s="217" t="s">
        <v>333</v>
      </c>
    </row>
    <row r="5355" spans="28:29">
      <c r="AB5355" s="231" t="s">
        <v>5744</v>
      </c>
      <c r="AC5355" s="217" t="s">
        <v>333</v>
      </c>
    </row>
    <row r="5356" spans="28:29">
      <c r="AB5356" s="231" t="s">
        <v>5745</v>
      </c>
      <c r="AC5356" s="217" t="s">
        <v>333</v>
      </c>
    </row>
    <row r="5357" spans="28:29">
      <c r="AB5357" s="231" t="s">
        <v>5746</v>
      </c>
      <c r="AC5357" s="217" t="s">
        <v>333</v>
      </c>
    </row>
    <row r="5358" spans="28:29">
      <c r="AB5358" s="231" t="s">
        <v>5747</v>
      </c>
      <c r="AC5358" s="217" t="s">
        <v>333</v>
      </c>
    </row>
    <row r="5359" spans="28:29">
      <c r="AB5359" s="231" t="s">
        <v>5748</v>
      </c>
      <c r="AC5359" s="217" t="s">
        <v>333</v>
      </c>
    </row>
    <row r="5360" spans="28:29">
      <c r="AB5360" s="231" t="s">
        <v>5749</v>
      </c>
      <c r="AC5360" s="217" t="s">
        <v>333</v>
      </c>
    </row>
    <row r="5361" spans="28:29">
      <c r="AB5361" s="231" t="s">
        <v>5750</v>
      </c>
      <c r="AC5361" s="217" t="s">
        <v>333</v>
      </c>
    </row>
    <row r="5362" spans="28:29">
      <c r="AB5362" s="231" t="s">
        <v>5751</v>
      </c>
      <c r="AC5362" s="217" t="s">
        <v>333</v>
      </c>
    </row>
    <row r="5363" spans="28:29">
      <c r="AB5363" s="231" t="s">
        <v>5752</v>
      </c>
      <c r="AC5363" s="217" t="s">
        <v>333</v>
      </c>
    </row>
    <row r="5364" spans="28:29">
      <c r="AB5364" s="231" t="s">
        <v>5753</v>
      </c>
      <c r="AC5364" s="217" t="s">
        <v>333</v>
      </c>
    </row>
    <row r="5365" spans="28:29">
      <c r="AB5365" s="231" t="s">
        <v>5754</v>
      </c>
      <c r="AC5365" s="217" t="s">
        <v>333</v>
      </c>
    </row>
    <row r="5366" spans="28:29">
      <c r="AB5366" s="231" t="s">
        <v>5755</v>
      </c>
      <c r="AC5366" s="217" t="s">
        <v>333</v>
      </c>
    </row>
    <row r="5367" spans="28:29">
      <c r="AB5367" s="231" t="s">
        <v>5756</v>
      </c>
      <c r="AC5367" s="217" t="s">
        <v>333</v>
      </c>
    </row>
    <row r="5368" spans="28:29">
      <c r="AB5368" s="231" t="s">
        <v>5757</v>
      </c>
      <c r="AC5368" s="217" t="s">
        <v>333</v>
      </c>
    </row>
    <row r="5369" spans="28:29">
      <c r="AB5369" s="231" t="s">
        <v>5758</v>
      </c>
      <c r="AC5369" s="217" t="s">
        <v>333</v>
      </c>
    </row>
    <row r="5370" spans="28:29">
      <c r="AB5370" s="231" t="s">
        <v>5759</v>
      </c>
      <c r="AC5370" s="217" t="s">
        <v>333</v>
      </c>
    </row>
    <row r="5371" spans="28:29">
      <c r="AB5371" s="231" t="s">
        <v>5760</v>
      </c>
      <c r="AC5371" s="217" t="s">
        <v>333</v>
      </c>
    </row>
    <row r="5372" spans="28:29">
      <c r="AB5372" s="231" t="s">
        <v>5761</v>
      </c>
      <c r="AC5372" s="217" t="s">
        <v>333</v>
      </c>
    </row>
    <row r="5373" spans="28:29">
      <c r="AB5373" s="231" t="s">
        <v>5762</v>
      </c>
      <c r="AC5373" s="217" t="s">
        <v>333</v>
      </c>
    </row>
    <row r="5374" spans="28:29">
      <c r="AB5374" s="231" t="s">
        <v>5763</v>
      </c>
      <c r="AC5374" s="217" t="s">
        <v>333</v>
      </c>
    </row>
    <row r="5375" spans="28:29">
      <c r="AB5375" s="231" t="s">
        <v>5764</v>
      </c>
      <c r="AC5375" s="217" t="s">
        <v>333</v>
      </c>
    </row>
    <row r="5376" spans="28:29">
      <c r="AB5376" s="231" t="s">
        <v>5765</v>
      </c>
      <c r="AC5376" s="217" t="s">
        <v>333</v>
      </c>
    </row>
    <row r="5377" spans="28:29">
      <c r="AB5377" s="231" t="s">
        <v>5766</v>
      </c>
      <c r="AC5377" s="217" t="s">
        <v>333</v>
      </c>
    </row>
    <row r="5378" spans="28:29">
      <c r="AB5378" s="231" t="s">
        <v>5767</v>
      </c>
      <c r="AC5378" s="217" t="s">
        <v>333</v>
      </c>
    </row>
    <row r="5379" spans="28:29">
      <c r="AB5379" s="231" t="s">
        <v>5768</v>
      </c>
      <c r="AC5379" s="217" t="s">
        <v>333</v>
      </c>
    </row>
    <row r="5380" spans="28:29">
      <c r="AB5380" s="231" t="s">
        <v>5769</v>
      </c>
      <c r="AC5380" s="217" t="s">
        <v>333</v>
      </c>
    </row>
    <row r="5381" spans="28:29">
      <c r="AB5381" s="231" t="s">
        <v>5770</v>
      </c>
      <c r="AC5381" s="217" t="s">
        <v>333</v>
      </c>
    </row>
    <row r="5382" spans="28:29">
      <c r="AB5382" s="231" t="s">
        <v>5771</v>
      </c>
      <c r="AC5382" s="217" t="s">
        <v>333</v>
      </c>
    </row>
    <row r="5383" spans="28:29">
      <c r="AB5383" s="231" t="s">
        <v>5772</v>
      </c>
      <c r="AC5383" s="217" t="s">
        <v>333</v>
      </c>
    </row>
    <row r="5384" spans="28:29">
      <c r="AB5384" s="231" t="s">
        <v>5773</v>
      </c>
      <c r="AC5384" s="217" t="s">
        <v>333</v>
      </c>
    </row>
    <row r="5385" spans="28:29">
      <c r="AB5385" s="231" t="s">
        <v>5774</v>
      </c>
      <c r="AC5385" s="217" t="s">
        <v>333</v>
      </c>
    </row>
    <row r="5386" spans="28:29">
      <c r="AB5386" s="231" t="s">
        <v>5775</v>
      </c>
      <c r="AC5386" s="217" t="s">
        <v>333</v>
      </c>
    </row>
    <row r="5387" spans="28:29">
      <c r="AB5387" s="231" t="s">
        <v>5776</v>
      </c>
      <c r="AC5387" s="217" t="s">
        <v>333</v>
      </c>
    </row>
    <row r="5388" spans="28:29">
      <c r="AB5388" s="231" t="s">
        <v>5777</v>
      </c>
      <c r="AC5388" s="217" t="s">
        <v>333</v>
      </c>
    </row>
    <row r="5389" spans="28:29">
      <c r="AB5389" s="231" t="s">
        <v>5778</v>
      </c>
      <c r="AC5389" s="217" t="s">
        <v>333</v>
      </c>
    </row>
    <row r="5390" spans="28:29">
      <c r="AB5390" s="231" t="s">
        <v>5779</v>
      </c>
      <c r="AC5390" s="217" t="s">
        <v>333</v>
      </c>
    </row>
    <row r="5391" spans="28:29">
      <c r="AB5391" s="231" t="s">
        <v>5780</v>
      </c>
      <c r="AC5391" s="217" t="s">
        <v>333</v>
      </c>
    </row>
    <row r="5392" spans="28:29">
      <c r="AB5392" s="231" t="s">
        <v>5781</v>
      </c>
      <c r="AC5392" s="217" t="s">
        <v>333</v>
      </c>
    </row>
    <row r="5393" spans="28:29">
      <c r="AB5393" s="231" t="s">
        <v>5782</v>
      </c>
      <c r="AC5393" s="217" t="s">
        <v>333</v>
      </c>
    </row>
    <row r="5394" spans="28:29">
      <c r="AB5394" s="231" t="s">
        <v>5783</v>
      </c>
      <c r="AC5394" s="217" t="s">
        <v>333</v>
      </c>
    </row>
    <row r="5395" spans="28:29">
      <c r="AB5395" s="231" t="s">
        <v>5784</v>
      </c>
      <c r="AC5395" s="217" t="s">
        <v>333</v>
      </c>
    </row>
    <row r="5396" spans="28:29">
      <c r="AB5396" s="231" t="s">
        <v>5785</v>
      </c>
      <c r="AC5396" s="217" t="s">
        <v>333</v>
      </c>
    </row>
    <row r="5397" spans="28:29">
      <c r="AB5397" s="231" t="s">
        <v>5786</v>
      </c>
      <c r="AC5397" s="217" t="s">
        <v>333</v>
      </c>
    </row>
    <row r="5398" spans="28:29">
      <c r="AB5398" s="231" t="s">
        <v>5787</v>
      </c>
      <c r="AC5398" s="217" t="s">
        <v>333</v>
      </c>
    </row>
    <row r="5399" spans="28:29">
      <c r="AB5399" s="231" t="s">
        <v>5788</v>
      </c>
      <c r="AC5399" s="217" t="s">
        <v>333</v>
      </c>
    </row>
    <row r="5400" spans="28:29">
      <c r="AB5400" s="231" t="s">
        <v>5789</v>
      </c>
      <c r="AC5400" s="217" t="s">
        <v>333</v>
      </c>
    </row>
    <row r="5401" spans="28:29">
      <c r="AB5401" s="231" t="s">
        <v>5790</v>
      </c>
      <c r="AC5401" s="217" t="s">
        <v>333</v>
      </c>
    </row>
    <row r="5402" spans="28:29">
      <c r="AB5402" s="231" t="s">
        <v>5791</v>
      </c>
      <c r="AC5402" s="217" t="s">
        <v>333</v>
      </c>
    </row>
    <row r="5403" spans="28:29">
      <c r="AB5403" s="231" t="s">
        <v>5792</v>
      </c>
      <c r="AC5403" s="217" t="s">
        <v>333</v>
      </c>
    </row>
    <row r="5404" spans="28:29">
      <c r="AB5404" s="231" t="s">
        <v>5793</v>
      </c>
      <c r="AC5404" s="217" t="s">
        <v>333</v>
      </c>
    </row>
    <row r="5405" spans="28:29">
      <c r="AB5405" s="231" t="s">
        <v>5794</v>
      </c>
      <c r="AC5405" s="217" t="s">
        <v>333</v>
      </c>
    </row>
    <row r="5406" spans="28:29">
      <c r="AB5406" s="231" t="s">
        <v>5795</v>
      </c>
      <c r="AC5406" s="217" t="s">
        <v>333</v>
      </c>
    </row>
    <row r="5407" spans="28:29">
      <c r="AB5407" s="231" t="s">
        <v>5796</v>
      </c>
      <c r="AC5407" s="217" t="s">
        <v>333</v>
      </c>
    </row>
    <row r="5408" spans="28:29">
      <c r="AB5408" s="231" t="s">
        <v>5797</v>
      </c>
      <c r="AC5408" s="217" t="s">
        <v>333</v>
      </c>
    </row>
    <row r="5409" spans="28:29">
      <c r="AB5409" s="231" t="s">
        <v>5798</v>
      </c>
      <c r="AC5409" s="217" t="s">
        <v>333</v>
      </c>
    </row>
    <row r="5410" spans="28:29">
      <c r="AB5410" s="231" t="s">
        <v>5799</v>
      </c>
      <c r="AC5410" s="217" t="s">
        <v>333</v>
      </c>
    </row>
    <row r="5411" spans="28:29">
      <c r="AB5411" s="231" t="s">
        <v>5800</v>
      </c>
      <c r="AC5411" s="217" t="s">
        <v>333</v>
      </c>
    </row>
    <row r="5412" spans="28:29">
      <c r="AB5412" s="231" t="s">
        <v>5801</v>
      </c>
      <c r="AC5412" s="217" t="s">
        <v>333</v>
      </c>
    </row>
    <row r="5413" spans="28:29">
      <c r="AB5413" s="231" t="s">
        <v>5802</v>
      </c>
      <c r="AC5413" s="217" t="s">
        <v>333</v>
      </c>
    </row>
    <row r="5414" spans="28:29">
      <c r="AB5414" s="231" t="s">
        <v>5803</v>
      </c>
      <c r="AC5414" s="217" t="s">
        <v>333</v>
      </c>
    </row>
    <row r="5415" spans="28:29">
      <c r="AB5415" s="231" t="s">
        <v>5804</v>
      </c>
      <c r="AC5415" s="217" t="s">
        <v>333</v>
      </c>
    </row>
    <row r="5416" spans="28:29">
      <c r="AB5416" s="231" t="s">
        <v>5805</v>
      </c>
      <c r="AC5416" s="217" t="s">
        <v>333</v>
      </c>
    </row>
    <row r="5417" spans="28:29">
      <c r="AB5417" s="231" t="s">
        <v>5806</v>
      </c>
      <c r="AC5417" s="217" t="s">
        <v>333</v>
      </c>
    </row>
    <row r="5418" spans="28:29">
      <c r="AB5418" s="231" t="s">
        <v>5807</v>
      </c>
      <c r="AC5418" s="217" t="s">
        <v>333</v>
      </c>
    </row>
    <row r="5419" spans="28:29">
      <c r="AB5419" s="231" t="s">
        <v>5808</v>
      </c>
      <c r="AC5419" s="217" t="s">
        <v>333</v>
      </c>
    </row>
    <row r="5420" spans="28:29">
      <c r="AB5420" s="231" t="s">
        <v>5809</v>
      </c>
      <c r="AC5420" s="217" t="s">
        <v>333</v>
      </c>
    </row>
    <row r="5421" spans="28:29">
      <c r="AB5421" s="231" t="s">
        <v>5810</v>
      </c>
      <c r="AC5421" s="217" t="s">
        <v>333</v>
      </c>
    </row>
    <row r="5422" spans="28:29">
      <c r="AB5422" s="231" t="s">
        <v>5811</v>
      </c>
      <c r="AC5422" s="217" t="s">
        <v>333</v>
      </c>
    </row>
    <row r="5423" spans="28:29">
      <c r="AB5423" s="231" t="s">
        <v>5812</v>
      </c>
      <c r="AC5423" s="217" t="s">
        <v>333</v>
      </c>
    </row>
    <row r="5424" spans="28:29">
      <c r="AB5424" s="231" t="s">
        <v>5813</v>
      </c>
      <c r="AC5424" s="217" t="s">
        <v>333</v>
      </c>
    </row>
    <row r="5425" spans="28:29">
      <c r="AB5425" s="231" t="s">
        <v>5814</v>
      </c>
      <c r="AC5425" s="217" t="s">
        <v>333</v>
      </c>
    </row>
    <row r="5426" spans="28:29">
      <c r="AB5426" s="231" t="s">
        <v>5815</v>
      </c>
      <c r="AC5426" s="217" t="s">
        <v>333</v>
      </c>
    </row>
    <row r="5427" spans="28:29">
      <c r="AB5427" s="231" t="s">
        <v>5816</v>
      </c>
      <c r="AC5427" s="217" t="s">
        <v>333</v>
      </c>
    </row>
    <row r="5428" spans="28:29">
      <c r="AB5428" s="231" t="s">
        <v>5817</v>
      </c>
      <c r="AC5428" s="217" t="s">
        <v>333</v>
      </c>
    </row>
    <row r="5429" spans="28:29">
      <c r="AB5429" s="231" t="s">
        <v>5818</v>
      </c>
      <c r="AC5429" s="217" t="s">
        <v>333</v>
      </c>
    </row>
    <row r="5430" spans="28:29">
      <c r="AB5430" s="231" t="s">
        <v>5819</v>
      </c>
      <c r="AC5430" s="217" t="s">
        <v>333</v>
      </c>
    </row>
    <row r="5431" spans="28:29">
      <c r="AB5431" s="231" t="s">
        <v>5820</v>
      </c>
      <c r="AC5431" s="217" t="s">
        <v>333</v>
      </c>
    </row>
    <row r="5432" spans="28:29">
      <c r="AB5432" s="231" t="s">
        <v>5821</v>
      </c>
      <c r="AC5432" s="217" t="s">
        <v>333</v>
      </c>
    </row>
    <row r="5433" spans="28:29">
      <c r="AB5433" s="231" t="s">
        <v>5822</v>
      </c>
      <c r="AC5433" s="217" t="s">
        <v>333</v>
      </c>
    </row>
    <row r="5434" spans="28:29">
      <c r="AB5434" s="231" t="s">
        <v>5823</v>
      </c>
      <c r="AC5434" s="217" t="s">
        <v>333</v>
      </c>
    </row>
    <row r="5435" spans="28:29">
      <c r="AB5435" s="231" t="s">
        <v>5824</v>
      </c>
      <c r="AC5435" s="217" t="s">
        <v>333</v>
      </c>
    </row>
    <row r="5436" spans="28:29">
      <c r="AB5436" s="231" t="s">
        <v>5825</v>
      </c>
      <c r="AC5436" s="217" t="s">
        <v>333</v>
      </c>
    </row>
    <row r="5437" spans="28:29">
      <c r="AB5437" s="231" t="s">
        <v>5826</v>
      </c>
      <c r="AC5437" s="217" t="s">
        <v>333</v>
      </c>
    </row>
    <row r="5438" spans="28:29">
      <c r="AB5438" s="231" t="s">
        <v>5827</v>
      </c>
      <c r="AC5438" s="217" t="s">
        <v>333</v>
      </c>
    </row>
    <row r="5439" spans="28:29">
      <c r="AB5439" s="231" t="s">
        <v>5828</v>
      </c>
      <c r="AC5439" s="217" t="s">
        <v>333</v>
      </c>
    </row>
    <row r="5440" spans="28:29">
      <c r="AB5440" s="231" t="s">
        <v>5829</v>
      </c>
      <c r="AC5440" s="217" t="s">
        <v>333</v>
      </c>
    </row>
    <row r="5441" spans="28:29">
      <c r="AB5441" s="231" t="s">
        <v>5830</v>
      </c>
      <c r="AC5441" s="217" t="s">
        <v>333</v>
      </c>
    </row>
    <row r="5442" spans="28:29">
      <c r="AB5442" s="231" t="s">
        <v>5831</v>
      </c>
      <c r="AC5442" s="217" t="s">
        <v>333</v>
      </c>
    </row>
    <row r="5443" spans="28:29">
      <c r="AB5443" s="231" t="s">
        <v>5832</v>
      </c>
      <c r="AC5443" s="217" t="s">
        <v>333</v>
      </c>
    </row>
    <row r="5444" spans="28:29">
      <c r="AB5444" s="231" t="s">
        <v>5833</v>
      </c>
      <c r="AC5444" s="217" t="s">
        <v>333</v>
      </c>
    </row>
    <row r="5445" spans="28:29">
      <c r="AB5445" s="231" t="s">
        <v>5834</v>
      </c>
      <c r="AC5445" s="217" t="s">
        <v>333</v>
      </c>
    </row>
    <row r="5446" spans="28:29">
      <c r="AB5446" s="231" t="s">
        <v>5835</v>
      </c>
      <c r="AC5446" s="217" t="s">
        <v>333</v>
      </c>
    </row>
    <row r="5447" spans="28:29">
      <c r="AB5447" s="231" t="s">
        <v>5836</v>
      </c>
      <c r="AC5447" s="217" t="s">
        <v>333</v>
      </c>
    </row>
    <row r="5448" spans="28:29">
      <c r="AB5448" s="231" t="s">
        <v>5837</v>
      </c>
      <c r="AC5448" s="217" t="s">
        <v>333</v>
      </c>
    </row>
    <row r="5449" spans="28:29">
      <c r="AB5449" s="231" t="s">
        <v>5838</v>
      </c>
      <c r="AC5449" s="217" t="s">
        <v>333</v>
      </c>
    </row>
    <row r="5450" spans="28:29">
      <c r="AB5450" s="231" t="s">
        <v>5839</v>
      </c>
      <c r="AC5450" s="217" t="s">
        <v>333</v>
      </c>
    </row>
    <row r="5451" spans="28:29">
      <c r="AB5451" s="231" t="s">
        <v>5840</v>
      </c>
      <c r="AC5451" s="217" t="s">
        <v>333</v>
      </c>
    </row>
    <row r="5452" spans="28:29">
      <c r="AB5452" s="231" t="s">
        <v>5841</v>
      </c>
      <c r="AC5452" s="217" t="s">
        <v>333</v>
      </c>
    </row>
    <row r="5453" spans="28:29">
      <c r="AB5453" s="231" t="s">
        <v>5842</v>
      </c>
      <c r="AC5453" s="217" t="s">
        <v>333</v>
      </c>
    </row>
    <row r="5454" spans="28:29">
      <c r="AB5454" s="231" t="s">
        <v>5843</v>
      </c>
      <c r="AC5454" s="217" t="s">
        <v>333</v>
      </c>
    </row>
    <row r="5455" spans="28:29">
      <c r="AB5455" s="231" t="s">
        <v>5844</v>
      </c>
      <c r="AC5455" s="217" t="s">
        <v>333</v>
      </c>
    </row>
    <row r="5456" spans="28:29">
      <c r="AB5456" s="231" t="s">
        <v>5845</v>
      </c>
      <c r="AC5456" s="217" t="s">
        <v>333</v>
      </c>
    </row>
    <row r="5457" spans="28:29">
      <c r="AB5457" s="231" t="s">
        <v>5846</v>
      </c>
      <c r="AC5457" s="217" t="s">
        <v>333</v>
      </c>
    </row>
    <row r="5458" spans="28:29">
      <c r="AB5458" s="231" t="s">
        <v>5847</v>
      </c>
      <c r="AC5458" s="217" t="s">
        <v>333</v>
      </c>
    </row>
    <row r="5459" spans="28:29">
      <c r="AB5459" s="231" t="s">
        <v>5848</v>
      </c>
      <c r="AC5459" s="217" t="s">
        <v>333</v>
      </c>
    </row>
    <row r="5460" spans="28:29">
      <c r="AB5460" s="231" t="s">
        <v>5849</v>
      </c>
      <c r="AC5460" s="217" t="s">
        <v>333</v>
      </c>
    </row>
    <row r="5461" spans="28:29">
      <c r="AB5461" s="231" t="s">
        <v>5850</v>
      </c>
      <c r="AC5461" s="217" t="s">
        <v>333</v>
      </c>
    </row>
    <row r="5462" spans="28:29">
      <c r="AB5462" s="231" t="s">
        <v>5851</v>
      </c>
      <c r="AC5462" s="217" t="s">
        <v>333</v>
      </c>
    </row>
    <row r="5463" spans="28:29">
      <c r="AB5463" s="231" t="s">
        <v>5852</v>
      </c>
      <c r="AC5463" s="217" t="s">
        <v>333</v>
      </c>
    </row>
    <row r="5464" spans="28:29">
      <c r="AB5464" s="231" t="s">
        <v>5853</v>
      </c>
      <c r="AC5464" s="217" t="s">
        <v>333</v>
      </c>
    </row>
    <row r="5465" spans="28:29">
      <c r="AB5465" s="231" t="s">
        <v>5854</v>
      </c>
      <c r="AC5465" s="217" t="s">
        <v>333</v>
      </c>
    </row>
    <row r="5466" spans="28:29">
      <c r="AB5466" s="231" t="s">
        <v>5855</v>
      </c>
      <c r="AC5466" s="217" t="s">
        <v>333</v>
      </c>
    </row>
    <row r="5467" spans="28:29">
      <c r="AB5467" s="231" t="s">
        <v>5856</v>
      </c>
      <c r="AC5467" s="217" t="s">
        <v>333</v>
      </c>
    </row>
    <row r="5468" spans="28:29">
      <c r="AB5468" s="231" t="s">
        <v>5857</v>
      </c>
      <c r="AC5468" s="217" t="s">
        <v>333</v>
      </c>
    </row>
    <row r="5469" spans="28:29">
      <c r="AB5469" s="231" t="s">
        <v>5858</v>
      </c>
      <c r="AC5469" s="217" t="s">
        <v>333</v>
      </c>
    </row>
    <row r="5470" spans="28:29">
      <c r="AB5470" s="231" t="s">
        <v>5859</v>
      </c>
      <c r="AC5470" s="217" t="s">
        <v>333</v>
      </c>
    </row>
    <row r="5471" spans="28:29">
      <c r="AB5471" s="231" t="s">
        <v>5860</v>
      </c>
      <c r="AC5471" s="217" t="s">
        <v>333</v>
      </c>
    </row>
    <row r="5472" spans="28:29">
      <c r="AB5472" s="231" t="s">
        <v>5861</v>
      </c>
      <c r="AC5472" s="217" t="s">
        <v>333</v>
      </c>
    </row>
    <row r="5473" spans="28:29">
      <c r="AB5473" s="231" t="s">
        <v>5862</v>
      </c>
      <c r="AC5473" s="217" t="s">
        <v>333</v>
      </c>
    </row>
    <row r="5474" spans="28:29">
      <c r="AB5474" s="231" t="s">
        <v>5863</v>
      </c>
      <c r="AC5474" s="217" t="s">
        <v>333</v>
      </c>
    </row>
    <row r="5475" spans="28:29">
      <c r="AB5475" s="231" t="s">
        <v>5864</v>
      </c>
      <c r="AC5475" s="217" t="s">
        <v>333</v>
      </c>
    </row>
    <row r="5476" spans="28:29">
      <c r="AB5476" s="231" t="s">
        <v>5865</v>
      </c>
      <c r="AC5476" s="217" t="s">
        <v>333</v>
      </c>
    </row>
    <row r="5477" spans="28:29">
      <c r="AB5477" s="231" t="s">
        <v>5866</v>
      </c>
      <c r="AC5477" s="217" t="s">
        <v>333</v>
      </c>
    </row>
    <row r="5478" spans="28:29">
      <c r="AB5478" s="231" t="s">
        <v>5867</v>
      </c>
      <c r="AC5478" s="217" t="s">
        <v>333</v>
      </c>
    </row>
    <row r="5479" spans="28:29">
      <c r="AB5479" s="231" t="s">
        <v>5868</v>
      </c>
      <c r="AC5479" s="217" t="s">
        <v>333</v>
      </c>
    </row>
    <row r="5480" spans="28:29">
      <c r="AB5480" s="231" t="s">
        <v>5869</v>
      </c>
      <c r="AC5480" s="217" t="s">
        <v>333</v>
      </c>
    </row>
    <row r="5481" spans="28:29">
      <c r="AB5481" s="231" t="s">
        <v>5870</v>
      </c>
      <c r="AC5481" s="217" t="s">
        <v>333</v>
      </c>
    </row>
    <row r="5482" spans="28:29">
      <c r="AB5482" s="231" t="s">
        <v>5871</v>
      </c>
      <c r="AC5482" s="217" t="s">
        <v>333</v>
      </c>
    </row>
    <row r="5483" spans="28:29">
      <c r="AB5483" s="231" t="s">
        <v>5872</v>
      </c>
      <c r="AC5483" s="217" t="s">
        <v>333</v>
      </c>
    </row>
    <row r="5484" spans="28:29">
      <c r="AB5484" s="231" t="s">
        <v>5873</v>
      </c>
      <c r="AC5484" s="217" t="s">
        <v>333</v>
      </c>
    </row>
    <row r="5485" spans="28:29">
      <c r="AB5485" s="231" t="s">
        <v>5874</v>
      </c>
      <c r="AC5485" s="217" t="s">
        <v>333</v>
      </c>
    </row>
    <row r="5486" spans="28:29">
      <c r="AB5486" s="231" t="s">
        <v>5875</v>
      </c>
      <c r="AC5486" s="217" t="s">
        <v>333</v>
      </c>
    </row>
    <row r="5487" spans="28:29">
      <c r="AB5487" s="231" t="s">
        <v>5876</v>
      </c>
      <c r="AC5487" s="217" t="s">
        <v>333</v>
      </c>
    </row>
    <row r="5488" spans="28:29">
      <c r="AB5488" s="231" t="s">
        <v>5877</v>
      </c>
      <c r="AC5488" s="217" t="s">
        <v>333</v>
      </c>
    </row>
    <row r="5489" spans="28:29">
      <c r="AB5489" s="231" t="s">
        <v>5878</v>
      </c>
      <c r="AC5489" s="217" t="s">
        <v>333</v>
      </c>
    </row>
    <row r="5490" spans="28:29">
      <c r="AB5490" s="231" t="s">
        <v>5879</v>
      </c>
      <c r="AC5490" s="217" t="s">
        <v>333</v>
      </c>
    </row>
    <row r="5491" spans="28:29">
      <c r="AB5491" s="231" t="s">
        <v>5880</v>
      </c>
      <c r="AC5491" s="217" t="s">
        <v>333</v>
      </c>
    </row>
    <row r="5492" spans="28:29">
      <c r="AB5492" s="231" t="s">
        <v>5881</v>
      </c>
      <c r="AC5492" s="217" t="s">
        <v>333</v>
      </c>
    </row>
    <row r="5493" spans="28:29">
      <c r="AB5493" s="231" t="s">
        <v>5882</v>
      </c>
      <c r="AC5493" s="217" t="s">
        <v>333</v>
      </c>
    </row>
    <row r="5494" spans="28:29">
      <c r="AB5494" s="231" t="s">
        <v>5883</v>
      </c>
      <c r="AC5494" s="217" t="s">
        <v>333</v>
      </c>
    </row>
    <row r="5495" spans="28:29">
      <c r="AB5495" s="231" t="s">
        <v>5884</v>
      </c>
      <c r="AC5495" s="217" t="s">
        <v>333</v>
      </c>
    </row>
    <row r="5496" spans="28:29">
      <c r="AB5496" s="231" t="s">
        <v>5885</v>
      </c>
      <c r="AC5496" s="217" t="s">
        <v>333</v>
      </c>
    </row>
    <row r="5497" spans="28:29">
      <c r="AB5497" s="231" t="s">
        <v>5886</v>
      </c>
      <c r="AC5497" s="217" t="s">
        <v>333</v>
      </c>
    </row>
    <row r="5498" spans="28:29">
      <c r="AB5498" s="231" t="s">
        <v>5887</v>
      </c>
      <c r="AC5498" s="217" t="s">
        <v>333</v>
      </c>
    </row>
    <row r="5499" spans="28:29">
      <c r="AB5499" s="231" t="s">
        <v>5888</v>
      </c>
      <c r="AC5499" s="217" t="s">
        <v>333</v>
      </c>
    </row>
    <row r="5500" spans="28:29">
      <c r="AB5500" s="231" t="s">
        <v>5889</v>
      </c>
      <c r="AC5500" s="217" t="s">
        <v>333</v>
      </c>
    </row>
    <row r="5501" spans="28:29">
      <c r="AB5501" s="231" t="s">
        <v>5890</v>
      </c>
      <c r="AC5501" s="217" t="s">
        <v>333</v>
      </c>
    </row>
    <row r="5502" spans="28:29">
      <c r="AB5502" s="231" t="s">
        <v>5891</v>
      </c>
      <c r="AC5502" s="217" t="s">
        <v>333</v>
      </c>
    </row>
    <row r="5503" spans="28:29">
      <c r="AB5503" s="231" t="s">
        <v>5892</v>
      </c>
      <c r="AC5503" s="217" t="s">
        <v>333</v>
      </c>
    </row>
    <row r="5504" spans="28:29">
      <c r="AB5504" s="231" t="s">
        <v>5893</v>
      </c>
      <c r="AC5504" s="217" t="s">
        <v>333</v>
      </c>
    </row>
    <row r="5505" spans="28:29">
      <c r="AB5505" s="231" t="s">
        <v>5894</v>
      </c>
      <c r="AC5505" s="217" t="s">
        <v>333</v>
      </c>
    </row>
    <row r="5506" spans="28:29">
      <c r="AB5506" s="231" t="s">
        <v>5895</v>
      </c>
      <c r="AC5506" s="217" t="s">
        <v>333</v>
      </c>
    </row>
    <row r="5507" spans="28:29">
      <c r="AB5507" s="231" t="s">
        <v>5896</v>
      </c>
      <c r="AC5507" s="217" t="s">
        <v>333</v>
      </c>
    </row>
    <row r="5508" spans="28:29">
      <c r="AB5508" s="231" t="s">
        <v>5897</v>
      </c>
      <c r="AC5508" s="217" t="s">
        <v>333</v>
      </c>
    </row>
    <row r="5509" spans="28:29">
      <c r="AB5509" s="231" t="s">
        <v>5898</v>
      </c>
      <c r="AC5509" s="217" t="s">
        <v>333</v>
      </c>
    </row>
    <row r="5510" spans="28:29">
      <c r="AB5510" s="231" t="s">
        <v>5899</v>
      </c>
      <c r="AC5510" s="217" t="s">
        <v>333</v>
      </c>
    </row>
    <row r="5511" spans="28:29">
      <c r="AB5511" s="231" t="s">
        <v>5900</v>
      </c>
      <c r="AC5511" s="217" t="s">
        <v>333</v>
      </c>
    </row>
    <row r="5512" spans="28:29">
      <c r="AB5512" s="231" t="s">
        <v>5901</v>
      </c>
      <c r="AC5512" s="217" t="s">
        <v>333</v>
      </c>
    </row>
    <row r="5513" spans="28:29">
      <c r="AB5513" s="231" t="s">
        <v>5902</v>
      </c>
      <c r="AC5513" s="217" t="s">
        <v>333</v>
      </c>
    </row>
    <row r="5514" spans="28:29">
      <c r="AB5514" s="231" t="s">
        <v>5903</v>
      </c>
      <c r="AC5514" s="217" t="s">
        <v>333</v>
      </c>
    </row>
    <row r="5515" spans="28:29">
      <c r="AB5515" s="231" t="s">
        <v>5904</v>
      </c>
      <c r="AC5515" s="217" t="s">
        <v>333</v>
      </c>
    </row>
    <row r="5516" spans="28:29">
      <c r="AB5516" s="231" t="s">
        <v>5905</v>
      </c>
      <c r="AC5516" s="217" t="s">
        <v>333</v>
      </c>
    </row>
    <row r="5517" spans="28:29">
      <c r="AB5517" s="231" t="s">
        <v>5906</v>
      </c>
      <c r="AC5517" s="217" t="s">
        <v>333</v>
      </c>
    </row>
    <row r="5518" spans="28:29">
      <c r="AB5518" s="231" t="s">
        <v>5907</v>
      </c>
      <c r="AC5518" s="217" t="s">
        <v>333</v>
      </c>
    </row>
    <row r="5519" spans="28:29">
      <c r="AB5519" s="231" t="s">
        <v>5908</v>
      </c>
      <c r="AC5519" s="217" t="s">
        <v>333</v>
      </c>
    </row>
    <row r="5520" spans="28:29">
      <c r="AB5520" s="231" t="s">
        <v>5909</v>
      </c>
      <c r="AC5520" s="217" t="s">
        <v>333</v>
      </c>
    </row>
    <row r="5521" spans="28:29">
      <c r="AB5521" s="231" t="s">
        <v>5910</v>
      </c>
      <c r="AC5521" s="217" t="s">
        <v>333</v>
      </c>
    </row>
    <row r="5522" spans="28:29">
      <c r="AB5522" s="231" t="s">
        <v>5911</v>
      </c>
      <c r="AC5522" s="217" t="s">
        <v>333</v>
      </c>
    </row>
    <row r="5523" spans="28:29">
      <c r="AB5523" s="231" t="s">
        <v>5912</v>
      </c>
      <c r="AC5523" s="217" t="s">
        <v>333</v>
      </c>
    </row>
    <row r="5524" spans="28:29">
      <c r="AB5524" s="231" t="s">
        <v>5913</v>
      </c>
      <c r="AC5524" s="217" t="s">
        <v>333</v>
      </c>
    </row>
    <row r="5525" spans="28:29">
      <c r="AB5525" s="231" t="s">
        <v>5914</v>
      </c>
      <c r="AC5525" s="217" t="s">
        <v>333</v>
      </c>
    </row>
    <row r="5526" spans="28:29">
      <c r="AB5526" s="231" t="s">
        <v>5915</v>
      </c>
      <c r="AC5526" s="217" t="s">
        <v>333</v>
      </c>
    </row>
    <row r="5527" spans="28:29">
      <c r="AB5527" s="231" t="s">
        <v>5916</v>
      </c>
      <c r="AC5527" s="217" t="s">
        <v>333</v>
      </c>
    </row>
    <row r="5528" spans="28:29">
      <c r="AB5528" s="231" t="s">
        <v>5917</v>
      </c>
      <c r="AC5528" s="217" t="s">
        <v>333</v>
      </c>
    </row>
    <row r="5529" spans="28:29">
      <c r="AB5529" s="231" t="s">
        <v>5918</v>
      </c>
      <c r="AC5529" s="217" t="s">
        <v>333</v>
      </c>
    </row>
    <row r="5530" spans="28:29">
      <c r="AB5530" s="231" t="s">
        <v>5919</v>
      </c>
      <c r="AC5530" s="217" t="s">
        <v>333</v>
      </c>
    </row>
    <row r="5531" spans="28:29">
      <c r="AB5531" s="231" t="s">
        <v>5920</v>
      </c>
      <c r="AC5531" s="217" t="s">
        <v>333</v>
      </c>
    </row>
    <row r="5532" spans="28:29">
      <c r="AB5532" s="231" t="s">
        <v>5921</v>
      </c>
      <c r="AC5532" s="217" t="s">
        <v>333</v>
      </c>
    </row>
    <row r="5533" spans="28:29">
      <c r="AB5533" s="231" t="s">
        <v>5922</v>
      </c>
      <c r="AC5533" s="217" t="s">
        <v>333</v>
      </c>
    </row>
    <row r="5534" spans="28:29">
      <c r="AB5534" s="231" t="s">
        <v>5923</v>
      </c>
      <c r="AC5534" s="217" t="s">
        <v>333</v>
      </c>
    </row>
    <row r="5535" spans="28:29">
      <c r="AB5535" s="231" t="s">
        <v>5924</v>
      </c>
      <c r="AC5535" s="217" t="s">
        <v>333</v>
      </c>
    </row>
    <row r="5536" spans="28:29">
      <c r="AB5536" s="231" t="s">
        <v>5925</v>
      </c>
      <c r="AC5536" s="217" t="s">
        <v>333</v>
      </c>
    </row>
    <row r="5537" spans="28:29">
      <c r="AB5537" s="231" t="s">
        <v>5926</v>
      </c>
      <c r="AC5537" s="217" t="s">
        <v>333</v>
      </c>
    </row>
    <row r="5538" spans="28:29">
      <c r="AB5538" s="231" t="s">
        <v>5927</v>
      </c>
      <c r="AC5538" s="217" t="s">
        <v>333</v>
      </c>
    </row>
    <row r="5539" spans="28:29">
      <c r="AB5539" s="231" t="s">
        <v>5928</v>
      </c>
      <c r="AC5539" s="217" t="s">
        <v>333</v>
      </c>
    </row>
    <row r="5540" spans="28:29">
      <c r="AB5540" s="231" t="s">
        <v>5929</v>
      </c>
      <c r="AC5540" s="217" t="s">
        <v>333</v>
      </c>
    </row>
    <row r="5541" spans="28:29">
      <c r="AB5541" s="231" t="s">
        <v>5930</v>
      </c>
      <c r="AC5541" s="217" t="s">
        <v>333</v>
      </c>
    </row>
    <row r="5542" spans="28:29">
      <c r="AB5542" s="231" t="s">
        <v>5931</v>
      </c>
      <c r="AC5542" s="217" t="s">
        <v>333</v>
      </c>
    </row>
    <row r="5543" spans="28:29">
      <c r="AB5543" s="231" t="s">
        <v>5932</v>
      </c>
      <c r="AC5543" s="217" t="s">
        <v>333</v>
      </c>
    </row>
    <row r="5544" spans="28:29">
      <c r="AB5544" s="231" t="s">
        <v>5933</v>
      </c>
      <c r="AC5544" s="217" t="s">
        <v>333</v>
      </c>
    </row>
    <row r="5545" spans="28:29">
      <c r="AB5545" s="231" t="s">
        <v>5934</v>
      </c>
      <c r="AC5545" s="217" t="s">
        <v>333</v>
      </c>
    </row>
    <row r="5546" spans="28:29">
      <c r="AB5546" s="231" t="s">
        <v>5935</v>
      </c>
      <c r="AC5546" s="217" t="s">
        <v>333</v>
      </c>
    </row>
    <row r="5547" spans="28:29">
      <c r="AB5547" s="231" t="s">
        <v>5936</v>
      </c>
      <c r="AC5547" s="217" t="s">
        <v>333</v>
      </c>
    </row>
    <row r="5548" spans="28:29">
      <c r="AB5548" s="231" t="s">
        <v>5937</v>
      </c>
      <c r="AC5548" s="217" t="s">
        <v>333</v>
      </c>
    </row>
    <row r="5549" spans="28:29">
      <c r="AB5549" s="231" t="s">
        <v>5938</v>
      </c>
      <c r="AC5549" s="217" t="s">
        <v>333</v>
      </c>
    </row>
    <row r="5550" spans="28:29">
      <c r="AB5550" s="231" t="s">
        <v>5939</v>
      </c>
      <c r="AC5550" s="217" t="s">
        <v>333</v>
      </c>
    </row>
    <row r="5551" spans="28:29">
      <c r="AB5551" s="231" t="s">
        <v>5940</v>
      </c>
      <c r="AC5551" s="217" t="s">
        <v>333</v>
      </c>
    </row>
    <row r="5552" spans="28:29">
      <c r="AB5552" s="231" t="s">
        <v>5941</v>
      </c>
      <c r="AC5552" s="217" t="s">
        <v>333</v>
      </c>
    </row>
    <row r="5553" spans="28:29">
      <c r="AB5553" s="231" t="s">
        <v>5942</v>
      </c>
      <c r="AC5553" s="217" t="s">
        <v>333</v>
      </c>
    </row>
    <row r="5554" spans="28:29">
      <c r="AB5554" s="231" t="s">
        <v>5943</v>
      </c>
      <c r="AC5554" s="217" t="s">
        <v>333</v>
      </c>
    </row>
    <row r="5555" spans="28:29">
      <c r="AB5555" s="231" t="s">
        <v>5944</v>
      </c>
      <c r="AC5555" s="217" t="s">
        <v>333</v>
      </c>
    </row>
    <row r="5556" spans="28:29">
      <c r="AB5556" s="231" t="s">
        <v>5945</v>
      </c>
      <c r="AC5556" s="217" t="s">
        <v>333</v>
      </c>
    </row>
    <row r="5557" spans="28:29">
      <c r="AB5557" s="231" t="s">
        <v>5946</v>
      </c>
      <c r="AC5557" s="217" t="s">
        <v>333</v>
      </c>
    </row>
    <row r="5558" spans="28:29">
      <c r="AB5558" s="231" t="s">
        <v>5947</v>
      </c>
      <c r="AC5558" s="217" t="s">
        <v>333</v>
      </c>
    </row>
    <row r="5559" spans="28:29">
      <c r="AB5559" s="231" t="s">
        <v>5948</v>
      </c>
      <c r="AC5559" s="217" t="s">
        <v>333</v>
      </c>
    </row>
    <row r="5560" spans="28:29">
      <c r="AB5560" s="231" t="s">
        <v>5949</v>
      </c>
      <c r="AC5560" s="217" t="s">
        <v>333</v>
      </c>
    </row>
    <row r="5561" spans="28:29">
      <c r="AB5561" s="231" t="s">
        <v>5950</v>
      </c>
      <c r="AC5561" s="217" t="s">
        <v>333</v>
      </c>
    </row>
    <row r="5562" spans="28:29">
      <c r="AB5562" s="231" t="s">
        <v>5951</v>
      </c>
      <c r="AC5562" s="217" t="s">
        <v>333</v>
      </c>
    </row>
    <row r="5563" spans="28:29">
      <c r="AB5563" s="231" t="s">
        <v>5952</v>
      </c>
      <c r="AC5563" s="217" t="s">
        <v>333</v>
      </c>
    </row>
    <row r="5564" spans="28:29">
      <c r="AB5564" s="231" t="s">
        <v>5953</v>
      </c>
      <c r="AC5564" s="217" t="s">
        <v>333</v>
      </c>
    </row>
    <row r="5565" spans="28:29">
      <c r="AB5565" s="231" t="s">
        <v>5954</v>
      </c>
      <c r="AC5565" s="217" t="s">
        <v>333</v>
      </c>
    </row>
    <row r="5566" spans="28:29">
      <c r="AB5566" s="231" t="s">
        <v>5955</v>
      </c>
      <c r="AC5566" s="217" t="s">
        <v>333</v>
      </c>
    </row>
    <row r="5567" spans="28:29">
      <c r="AB5567" s="231" t="s">
        <v>5956</v>
      </c>
      <c r="AC5567" s="217" t="s">
        <v>333</v>
      </c>
    </row>
    <row r="5568" spans="28:29">
      <c r="AB5568" s="231" t="s">
        <v>5957</v>
      </c>
      <c r="AC5568" s="217" t="s">
        <v>333</v>
      </c>
    </row>
    <row r="5569" spans="28:29">
      <c r="AB5569" s="231" t="s">
        <v>5958</v>
      </c>
      <c r="AC5569" s="217" t="s">
        <v>333</v>
      </c>
    </row>
    <row r="5570" spans="28:29">
      <c r="AB5570" s="231" t="s">
        <v>5959</v>
      </c>
      <c r="AC5570" s="217" t="s">
        <v>333</v>
      </c>
    </row>
    <row r="5571" spans="28:29">
      <c r="AB5571" s="231" t="s">
        <v>5960</v>
      </c>
      <c r="AC5571" s="217" t="s">
        <v>333</v>
      </c>
    </row>
    <row r="5572" spans="28:29">
      <c r="AB5572" s="231" t="s">
        <v>5961</v>
      </c>
      <c r="AC5572" s="217" t="s">
        <v>333</v>
      </c>
    </row>
    <row r="5573" spans="28:29">
      <c r="AB5573" s="231" t="s">
        <v>5962</v>
      </c>
      <c r="AC5573" s="217" t="s">
        <v>333</v>
      </c>
    </row>
    <row r="5574" spans="28:29">
      <c r="AB5574" s="231" t="s">
        <v>5963</v>
      </c>
      <c r="AC5574" s="217" t="s">
        <v>333</v>
      </c>
    </row>
    <row r="5575" spans="28:29">
      <c r="AB5575" s="231" t="s">
        <v>5964</v>
      </c>
      <c r="AC5575" s="217" t="s">
        <v>333</v>
      </c>
    </row>
    <row r="5576" spans="28:29">
      <c r="AB5576" s="231" t="s">
        <v>5965</v>
      </c>
      <c r="AC5576" s="217" t="s">
        <v>333</v>
      </c>
    </row>
    <row r="5577" spans="28:29">
      <c r="AB5577" s="231" t="s">
        <v>5966</v>
      </c>
      <c r="AC5577" s="217" t="s">
        <v>333</v>
      </c>
    </row>
    <row r="5578" spans="28:29">
      <c r="AB5578" s="231" t="s">
        <v>5967</v>
      </c>
      <c r="AC5578" s="217" t="s">
        <v>333</v>
      </c>
    </row>
    <row r="5579" spans="28:29">
      <c r="AB5579" s="231" t="s">
        <v>5968</v>
      </c>
      <c r="AC5579" s="217" t="s">
        <v>333</v>
      </c>
    </row>
    <row r="5580" spans="28:29">
      <c r="AB5580" s="231" t="s">
        <v>5969</v>
      </c>
      <c r="AC5580" s="217" t="s">
        <v>333</v>
      </c>
    </row>
    <row r="5581" spans="28:29">
      <c r="AB5581" s="231" t="s">
        <v>5970</v>
      </c>
      <c r="AC5581" s="217" t="s">
        <v>333</v>
      </c>
    </row>
    <row r="5582" spans="28:29">
      <c r="AB5582" s="231" t="s">
        <v>5971</v>
      </c>
      <c r="AC5582" s="217" t="s">
        <v>333</v>
      </c>
    </row>
    <row r="5583" spans="28:29">
      <c r="AB5583" s="231" t="s">
        <v>5972</v>
      </c>
      <c r="AC5583" s="217" t="s">
        <v>333</v>
      </c>
    </row>
    <row r="5584" spans="28:29">
      <c r="AB5584" s="231" t="s">
        <v>5973</v>
      </c>
      <c r="AC5584" s="217" t="s">
        <v>333</v>
      </c>
    </row>
    <row r="5585" spans="28:29">
      <c r="AB5585" s="231" t="s">
        <v>5974</v>
      </c>
      <c r="AC5585" s="217" t="s">
        <v>333</v>
      </c>
    </row>
    <row r="5586" spans="28:29">
      <c r="AB5586" s="231" t="s">
        <v>5975</v>
      </c>
      <c r="AC5586" s="217" t="s">
        <v>333</v>
      </c>
    </row>
    <row r="5587" spans="28:29">
      <c r="AB5587" s="231" t="s">
        <v>5976</v>
      </c>
      <c r="AC5587" s="217" t="s">
        <v>333</v>
      </c>
    </row>
    <row r="5588" spans="28:29">
      <c r="AB5588" s="231" t="s">
        <v>5977</v>
      </c>
      <c r="AC5588" s="217" t="s">
        <v>333</v>
      </c>
    </row>
    <row r="5589" spans="28:29">
      <c r="AB5589" s="231" t="s">
        <v>5978</v>
      </c>
      <c r="AC5589" s="217" t="s">
        <v>333</v>
      </c>
    </row>
    <row r="5590" spans="28:29">
      <c r="AB5590" s="231" t="s">
        <v>5979</v>
      </c>
      <c r="AC5590" s="217" t="s">
        <v>333</v>
      </c>
    </row>
    <row r="5591" spans="28:29">
      <c r="AB5591" s="231" t="s">
        <v>5980</v>
      </c>
      <c r="AC5591" s="217" t="s">
        <v>333</v>
      </c>
    </row>
    <row r="5592" spans="28:29">
      <c r="AB5592" s="231" t="s">
        <v>5981</v>
      </c>
      <c r="AC5592" s="217" t="s">
        <v>333</v>
      </c>
    </row>
    <row r="5593" spans="28:29">
      <c r="AB5593" s="231" t="s">
        <v>5982</v>
      </c>
      <c r="AC5593" s="217" t="s">
        <v>333</v>
      </c>
    </row>
    <row r="5594" spans="28:29">
      <c r="AB5594" s="231" t="s">
        <v>5983</v>
      </c>
      <c r="AC5594" s="217" t="s">
        <v>333</v>
      </c>
    </row>
    <row r="5595" spans="28:29">
      <c r="AB5595" s="231" t="s">
        <v>5984</v>
      </c>
      <c r="AC5595" s="217" t="s">
        <v>333</v>
      </c>
    </row>
    <row r="5596" spans="28:29">
      <c r="AB5596" s="231" t="s">
        <v>5985</v>
      </c>
      <c r="AC5596" s="217" t="s">
        <v>333</v>
      </c>
    </row>
    <row r="5597" spans="28:29">
      <c r="AB5597" s="231" t="s">
        <v>5986</v>
      </c>
      <c r="AC5597" s="217" t="s">
        <v>333</v>
      </c>
    </row>
    <row r="5598" spans="28:29">
      <c r="AB5598" s="231" t="s">
        <v>5987</v>
      </c>
      <c r="AC5598" s="217" t="s">
        <v>333</v>
      </c>
    </row>
    <row r="5599" spans="28:29">
      <c r="AB5599" s="231" t="s">
        <v>5988</v>
      </c>
      <c r="AC5599" s="217" t="s">
        <v>333</v>
      </c>
    </row>
    <row r="5600" spans="28:29">
      <c r="AB5600" s="231" t="s">
        <v>5989</v>
      </c>
      <c r="AC5600" s="217" t="s">
        <v>333</v>
      </c>
    </row>
    <row r="5601" spans="28:29">
      <c r="AB5601" s="231" t="s">
        <v>5990</v>
      </c>
      <c r="AC5601" s="217" t="s">
        <v>333</v>
      </c>
    </row>
    <row r="5602" spans="28:29">
      <c r="AB5602" s="231" t="s">
        <v>5991</v>
      </c>
      <c r="AC5602" s="217" t="s">
        <v>333</v>
      </c>
    </row>
    <row r="5603" spans="28:29">
      <c r="AB5603" s="231" t="s">
        <v>5992</v>
      </c>
      <c r="AC5603" s="217" t="s">
        <v>333</v>
      </c>
    </row>
    <row r="5604" spans="28:29">
      <c r="AB5604" s="231" t="s">
        <v>5993</v>
      </c>
      <c r="AC5604" s="217" t="s">
        <v>333</v>
      </c>
    </row>
    <row r="5605" spans="28:29">
      <c r="AB5605" s="231" t="s">
        <v>5994</v>
      </c>
      <c r="AC5605" s="217" t="s">
        <v>333</v>
      </c>
    </row>
    <row r="5606" spans="28:29">
      <c r="AB5606" s="231" t="s">
        <v>5995</v>
      </c>
      <c r="AC5606" s="217" t="s">
        <v>333</v>
      </c>
    </row>
    <row r="5607" spans="28:29">
      <c r="AB5607" s="231" t="s">
        <v>5996</v>
      </c>
      <c r="AC5607" s="217" t="s">
        <v>333</v>
      </c>
    </row>
    <row r="5608" spans="28:29">
      <c r="AB5608" s="231" t="s">
        <v>5997</v>
      </c>
      <c r="AC5608" s="217" t="s">
        <v>333</v>
      </c>
    </row>
    <row r="5609" spans="28:29">
      <c r="AB5609" s="231" t="s">
        <v>5998</v>
      </c>
      <c r="AC5609" s="217" t="s">
        <v>333</v>
      </c>
    </row>
    <row r="5610" spans="28:29">
      <c r="AB5610" s="231" t="s">
        <v>5999</v>
      </c>
      <c r="AC5610" s="217" t="s">
        <v>333</v>
      </c>
    </row>
    <row r="5611" spans="28:29">
      <c r="AB5611" s="231" t="s">
        <v>6000</v>
      </c>
      <c r="AC5611" s="217" t="s">
        <v>333</v>
      </c>
    </row>
    <row r="5612" spans="28:29">
      <c r="AB5612" s="231" t="s">
        <v>6001</v>
      </c>
      <c r="AC5612" s="217" t="s">
        <v>333</v>
      </c>
    </row>
    <row r="5613" spans="28:29">
      <c r="AB5613" s="231" t="s">
        <v>6002</v>
      </c>
      <c r="AC5613" s="217" t="s">
        <v>333</v>
      </c>
    </row>
    <row r="5614" spans="28:29">
      <c r="AB5614" s="231" t="s">
        <v>6003</v>
      </c>
      <c r="AC5614" s="217" t="s">
        <v>333</v>
      </c>
    </row>
    <row r="5615" spans="28:29">
      <c r="AB5615" s="231" t="s">
        <v>6004</v>
      </c>
      <c r="AC5615" s="217" t="s">
        <v>333</v>
      </c>
    </row>
    <row r="5616" spans="28:29">
      <c r="AB5616" s="231" t="s">
        <v>6005</v>
      </c>
      <c r="AC5616" s="217" t="s">
        <v>333</v>
      </c>
    </row>
    <row r="5617" spans="28:29">
      <c r="AB5617" s="231" t="s">
        <v>6006</v>
      </c>
      <c r="AC5617" s="217" t="s">
        <v>333</v>
      </c>
    </row>
    <row r="5618" spans="28:29">
      <c r="AB5618" s="231" t="s">
        <v>6007</v>
      </c>
      <c r="AC5618" s="217" t="s">
        <v>333</v>
      </c>
    </row>
    <row r="5619" spans="28:29">
      <c r="AB5619" s="231" t="s">
        <v>6008</v>
      </c>
      <c r="AC5619" s="217" t="s">
        <v>333</v>
      </c>
    </row>
    <row r="5620" spans="28:29">
      <c r="AB5620" s="231" t="s">
        <v>6009</v>
      </c>
      <c r="AC5620" s="217" t="s">
        <v>333</v>
      </c>
    </row>
    <row r="5621" spans="28:29">
      <c r="AB5621" s="231" t="s">
        <v>6010</v>
      </c>
      <c r="AC5621" s="217" t="s">
        <v>333</v>
      </c>
    </row>
    <row r="5622" spans="28:29">
      <c r="AB5622" s="231" t="s">
        <v>6011</v>
      </c>
      <c r="AC5622" s="217" t="s">
        <v>333</v>
      </c>
    </row>
    <row r="5623" spans="28:29">
      <c r="AB5623" s="231" t="s">
        <v>6012</v>
      </c>
      <c r="AC5623" s="217" t="s">
        <v>333</v>
      </c>
    </row>
    <row r="5624" spans="28:29">
      <c r="AB5624" s="231" t="s">
        <v>6013</v>
      </c>
      <c r="AC5624" s="217" t="s">
        <v>333</v>
      </c>
    </row>
    <row r="5625" spans="28:29">
      <c r="AB5625" s="231" t="s">
        <v>6014</v>
      </c>
      <c r="AC5625" s="217" t="s">
        <v>333</v>
      </c>
    </row>
    <row r="5626" spans="28:29">
      <c r="AB5626" s="231" t="s">
        <v>6015</v>
      </c>
      <c r="AC5626" s="217" t="s">
        <v>333</v>
      </c>
    </row>
    <row r="5627" spans="28:29">
      <c r="AB5627" s="231" t="s">
        <v>6016</v>
      </c>
      <c r="AC5627" s="217" t="s">
        <v>333</v>
      </c>
    </row>
    <row r="5628" spans="28:29">
      <c r="AB5628" s="231" t="s">
        <v>6017</v>
      </c>
      <c r="AC5628" s="217" t="s">
        <v>333</v>
      </c>
    </row>
    <row r="5629" spans="28:29">
      <c r="AB5629" s="231" t="s">
        <v>6018</v>
      </c>
      <c r="AC5629" s="217" t="s">
        <v>333</v>
      </c>
    </row>
    <row r="5630" spans="28:29">
      <c r="AB5630" s="231" t="s">
        <v>6019</v>
      </c>
      <c r="AC5630" s="217" t="s">
        <v>333</v>
      </c>
    </row>
    <row r="5631" spans="28:29">
      <c r="AB5631" s="231" t="s">
        <v>6020</v>
      </c>
      <c r="AC5631" s="217" t="s">
        <v>333</v>
      </c>
    </row>
    <row r="5632" spans="28:29">
      <c r="AB5632" s="231" t="s">
        <v>6021</v>
      </c>
      <c r="AC5632" s="217" t="s">
        <v>333</v>
      </c>
    </row>
    <row r="5633" spans="28:29">
      <c r="AB5633" s="231" t="s">
        <v>6022</v>
      </c>
      <c r="AC5633" s="217" t="s">
        <v>333</v>
      </c>
    </row>
    <row r="5634" spans="28:29">
      <c r="AB5634" s="231" t="s">
        <v>6023</v>
      </c>
      <c r="AC5634" s="217" t="s">
        <v>333</v>
      </c>
    </row>
    <row r="5635" spans="28:29">
      <c r="AB5635" s="231" t="s">
        <v>6024</v>
      </c>
      <c r="AC5635" s="217" t="s">
        <v>333</v>
      </c>
    </row>
    <row r="5636" spans="28:29">
      <c r="AB5636" s="231" t="s">
        <v>6025</v>
      </c>
      <c r="AC5636" s="217" t="s">
        <v>333</v>
      </c>
    </row>
    <row r="5637" spans="28:29">
      <c r="AB5637" s="231" t="s">
        <v>6026</v>
      </c>
      <c r="AC5637" s="217" t="s">
        <v>333</v>
      </c>
    </row>
    <row r="5638" spans="28:29">
      <c r="AB5638" s="231" t="s">
        <v>6027</v>
      </c>
      <c r="AC5638" s="217" t="s">
        <v>333</v>
      </c>
    </row>
    <row r="5639" spans="28:29">
      <c r="AB5639" s="231" t="s">
        <v>6028</v>
      </c>
      <c r="AC5639" s="217" t="s">
        <v>333</v>
      </c>
    </row>
    <row r="5640" spans="28:29">
      <c r="AB5640" s="231" t="s">
        <v>6029</v>
      </c>
      <c r="AC5640" s="217" t="s">
        <v>333</v>
      </c>
    </row>
    <row r="5641" spans="28:29">
      <c r="AB5641" s="231" t="s">
        <v>6030</v>
      </c>
      <c r="AC5641" s="217" t="s">
        <v>333</v>
      </c>
    </row>
    <row r="5642" spans="28:29">
      <c r="AB5642" s="231" t="s">
        <v>6031</v>
      </c>
      <c r="AC5642" s="217" t="s">
        <v>333</v>
      </c>
    </row>
    <row r="5643" spans="28:29">
      <c r="AB5643" s="231" t="s">
        <v>6032</v>
      </c>
      <c r="AC5643" s="217" t="s">
        <v>333</v>
      </c>
    </row>
    <row r="5644" spans="28:29">
      <c r="AB5644" s="231" t="s">
        <v>6033</v>
      </c>
      <c r="AC5644" s="217" t="s">
        <v>333</v>
      </c>
    </row>
    <row r="5645" spans="28:29">
      <c r="AB5645" s="231" t="s">
        <v>6034</v>
      </c>
      <c r="AC5645" s="217" t="s">
        <v>333</v>
      </c>
    </row>
    <row r="5646" spans="28:29">
      <c r="AB5646" s="231" t="s">
        <v>6035</v>
      </c>
      <c r="AC5646" s="217" t="s">
        <v>333</v>
      </c>
    </row>
    <row r="5647" spans="28:29">
      <c r="AB5647" s="231" t="s">
        <v>6036</v>
      </c>
      <c r="AC5647" s="217" t="s">
        <v>333</v>
      </c>
    </row>
    <row r="5648" spans="28:29">
      <c r="AB5648" s="231" t="s">
        <v>6037</v>
      </c>
      <c r="AC5648" s="217" t="s">
        <v>333</v>
      </c>
    </row>
    <row r="5649" spans="28:29">
      <c r="AB5649" s="231" t="s">
        <v>6038</v>
      </c>
      <c r="AC5649" s="217" t="s">
        <v>333</v>
      </c>
    </row>
    <row r="5650" spans="28:29">
      <c r="AB5650" s="231" t="s">
        <v>6039</v>
      </c>
      <c r="AC5650" s="217" t="s">
        <v>333</v>
      </c>
    </row>
    <row r="5651" spans="28:29">
      <c r="AB5651" s="231" t="s">
        <v>6040</v>
      </c>
      <c r="AC5651" s="217" t="s">
        <v>333</v>
      </c>
    </row>
    <row r="5652" spans="28:29">
      <c r="AB5652" s="231" t="s">
        <v>6041</v>
      </c>
      <c r="AC5652" s="217" t="s">
        <v>333</v>
      </c>
    </row>
    <row r="5653" spans="28:29">
      <c r="AB5653" s="231" t="s">
        <v>6042</v>
      </c>
      <c r="AC5653" s="217" t="s">
        <v>333</v>
      </c>
    </row>
    <row r="5654" spans="28:29">
      <c r="AB5654" s="231" t="s">
        <v>6043</v>
      </c>
      <c r="AC5654" s="217" t="s">
        <v>333</v>
      </c>
    </row>
    <row r="5655" spans="28:29">
      <c r="AB5655" s="231" t="s">
        <v>6044</v>
      </c>
      <c r="AC5655" s="217" t="s">
        <v>333</v>
      </c>
    </row>
    <row r="5656" spans="28:29">
      <c r="AB5656" s="231" t="s">
        <v>6045</v>
      </c>
      <c r="AC5656" s="217" t="s">
        <v>333</v>
      </c>
    </row>
    <row r="5657" spans="28:29">
      <c r="AB5657" s="231" t="s">
        <v>6046</v>
      </c>
      <c r="AC5657" s="217" t="s">
        <v>333</v>
      </c>
    </row>
    <row r="5658" spans="28:29">
      <c r="AB5658" s="231" t="s">
        <v>6047</v>
      </c>
      <c r="AC5658" s="217" t="s">
        <v>333</v>
      </c>
    </row>
    <row r="5659" spans="28:29">
      <c r="AB5659" s="231" t="s">
        <v>6048</v>
      </c>
      <c r="AC5659" s="217" t="s">
        <v>333</v>
      </c>
    </row>
    <row r="5660" spans="28:29">
      <c r="AB5660" s="231" t="s">
        <v>6049</v>
      </c>
      <c r="AC5660" s="217" t="s">
        <v>333</v>
      </c>
    </row>
    <row r="5661" spans="28:29">
      <c r="AB5661" s="231" t="s">
        <v>6050</v>
      </c>
      <c r="AC5661" s="217" t="s">
        <v>333</v>
      </c>
    </row>
    <row r="5662" spans="28:29">
      <c r="AB5662" s="231" t="s">
        <v>6051</v>
      </c>
      <c r="AC5662" s="217" t="s">
        <v>333</v>
      </c>
    </row>
    <row r="5663" spans="28:29">
      <c r="AB5663" s="231" t="s">
        <v>6052</v>
      </c>
      <c r="AC5663" s="217" t="s">
        <v>333</v>
      </c>
    </row>
    <row r="5664" spans="28:29">
      <c r="AB5664" s="231" t="s">
        <v>6053</v>
      </c>
      <c r="AC5664" s="217" t="s">
        <v>333</v>
      </c>
    </row>
    <row r="5665" spans="28:29">
      <c r="AB5665" s="231" t="s">
        <v>6054</v>
      </c>
      <c r="AC5665" s="217" t="s">
        <v>333</v>
      </c>
    </row>
    <row r="5666" spans="28:29">
      <c r="AB5666" s="231" t="s">
        <v>6055</v>
      </c>
      <c r="AC5666" s="217" t="s">
        <v>333</v>
      </c>
    </row>
    <row r="5667" spans="28:29">
      <c r="AB5667" s="231" t="s">
        <v>6056</v>
      </c>
      <c r="AC5667" s="217" t="s">
        <v>333</v>
      </c>
    </row>
    <row r="5668" spans="28:29">
      <c r="AB5668" s="231" t="s">
        <v>6057</v>
      </c>
      <c r="AC5668" s="217" t="s">
        <v>333</v>
      </c>
    </row>
    <row r="5669" spans="28:29">
      <c r="AB5669" s="231" t="s">
        <v>6058</v>
      </c>
      <c r="AC5669" s="217" t="s">
        <v>333</v>
      </c>
    </row>
    <row r="5670" spans="28:29">
      <c r="AB5670" s="231" t="s">
        <v>6059</v>
      </c>
      <c r="AC5670" s="217" t="s">
        <v>333</v>
      </c>
    </row>
    <row r="5671" spans="28:29">
      <c r="AB5671" s="231" t="s">
        <v>6060</v>
      </c>
      <c r="AC5671" s="217" t="s">
        <v>333</v>
      </c>
    </row>
    <row r="5672" spans="28:29">
      <c r="AB5672" s="231" t="s">
        <v>6061</v>
      </c>
      <c r="AC5672" s="217" t="s">
        <v>333</v>
      </c>
    </row>
    <row r="5673" spans="28:29">
      <c r="AB5673" s="231" t="s">
        <v>6062</v>
      </c>
      <c r="AC5673" s="217" t="s">
        <v>333</v>
      </c>
    </row>
    <row r="5674" spans="28:29">
      <c r="AB5674" s="231" t="s">
        <v>6063</v>
      </c>
      <c r="AC5674" s="217" t="s">
        <v>333</v>
      </c>
    </row>
    <row r="5675" spans="28:29">
      <c r="AB5675" s="231" t="s">
        <v>6064</v>
      </c>
      <c r="AC5675" s="217" t="s">
        <v>333</v>
      </c>
    </row>
    <row r="5676" spans="28:29">
      <c r="AB5676" s="231" t="s">
        <v>6065</v>
      </c>
      <c r="AC5676" s="217" t="s">
        <v>333</v>
      </c>
    </row>
    <row r="5677" spans="28:29">
      <c r="AB5677" s="231" t="s">
        <v>6066</v>
      </c>
      <c r="AC5677" s="217" t="s">
        <v>333</v>
      </c>
    </row>
    <row r="5678" spans="28:29">
      <c r="AB5678" s="231" t="s">
        <v>6067</v>
      </c>
      <c r="AC5678" s="217" t="s">
        <v>333</v>
      </c>
    </row>
    <row r="5679" spans="28:29">
      <c r="AB5679" s="231" t="s">
        <v>6068</v>
      </c>
      <c r="AC5679" s="217" t="s">
        <v>333</v>
      </c>
    </row>
    <row r="5680" spans="28:29">
      <c r="AB5680" s="231" t="s">
        <v>6069</v>
      </c>
      <c r="AC5680" s="217" t="s">
        <v>333</v>
      </c>
    </row>
    <row r="5681" spans="28:29">
      <c r="AB5681" s="231" t="s">
        <v>6070</v>
      </c>
      <c r="AC5681" s="217" t="s">
        <v>333</v>
      </c>
    </row>
    <row r="5682" spans="28:29">
      <c r="AB5682" s="231" t="s">
        <v>6071</v>
      </c>
      <c r="AC5682" s="217" t="s">
        <v>333</v>
      </c>
    </row>
    <row r="5683" spans="28:29">
      <c r="AB5683" s="231" t="s">
        <v>6072</v>
      </c>
      <c r="AC5683" s="217" t="s">
        <v>333</v>
      </c>
    </row>
    <row r="5684" spans="28:29">
      <c r="AB5684" s="231" t="s">
        <v>6073</v>
      </c>
      <c r="AC5684" s="217" t="s">
        <v>333</v>
      </c>
    </row>
    <row r="5685" spans="28:29">
      <c r="AB5685" s="231" t="s">
        <v>6074</v>
      </c>
      <c r="AC5685" s="217" t="s">
        <v>333</v>
      </c>
    </row>
    <row r="5686" spans="28:29">
      <c r="AB5686" s="231" t="s">
        <v>6075</v>
      </c>
      <c r="AC5686" s="217" t="s">
        <v>333</v>
      </c>
    </row>
    <row r="5687" spans="28:29">
      <c r="AB5687" s="231" t="s">
        <v>6076</v>
      </c>
      <c r="AC5687" s="217" t="s">
        <v>333</v>
      </c>
    </row>
    <row r="5688" spans="28:29">
      <c r="AB5688" s="231" t="s">
        <v>6077</v>
      </c>
      <c r="AC5688" s="217" t="s">
        <v>333</v>
      </c>
    </row>
    <row r="5689" spans="28:29">
      <c r="AB5689" s="231" t="s">
        <v>6078</v>
      </c>
      <c r="AC5689" s="217" t="s">
        <v>333</v>
      </c>
    </row>
    <row r="5690" spans="28:29">
      <c r="AB5690" s="231" t="s">
        <v>6079</v>
      </c>
      <c r="AC5690" s="217" t="s">
        <v>333</v>
      </c>
    </row>
    <row r="5691" spans="28:29">
      <c r="AB5691" s="231" t="s">
        <v>6080</v>
      </c>
      <c r="AC5691" s="217" t="s">
        <v>333</v>
      </c>
    </row>
    <row r="5692" spans="28:29">
      <c r="AB5692" s="231" t="s">
        <v>6081</v>
      </c>
      <c r="AC5692" s="217" t="s">
        <v>333</v>
      </c>
    </row>
    <row r="5693" spans="28:29">
      <c r="AB5693" s="231" t="s">
        <v>6082</v>
      </c>
      <c r="AC5693" s="217" t="s">
        <v>333</v>
      </c>
    </row>
    <row r="5694" spans="28:29">
      <c r="AB5694" s="231" t="s">
        <v>6083</v>
      </c>
      <c r="AC5694" s="217" t="s">
        <v>333</v>
      </c>
    </row>
    <row r="5695" spans="28:29">
      <c r="AB5695" s="231" t="s">
        <v>6084</v>
      </c>
      <c r="AC5695" s="217" t="s">
        <v>333</v>
      </c>
    </row>
    <row r="5696" spans="28:29">
      <c r="AB5696" s="231" t="s">
        <v>6085</v>
      </c>
      <c r="AC5696" s="217" t="s">
        <v>333</v>
      </c>
    </row>
    <row r="5697" spans="28:29">
      <c r="AB5697" s="231" t="s">
        <v>6086</v>
      </c>
      <c r="AC5697" s="217" t="s">
        <v>333</v>
      </c>
    </row>
    <row r="5698" spans="28:29">
      <c r="AB5698" s="231" t="s">
        <v>6087</v>
      </c>
      <c r="AC5698" s="217" t="s">
        <v>333</v>
      </c>
    </row>
    <row r="5699" spans="28:29">
      <c r="AB5699" s="231" t="s">
        <v>6088</v>
      </c>
      <c r="AC5699" s="217" t="s">
        <v>333</v>
      </c>
    </row>
    <row r="5700" spans="28:29">
      <c r="AB5700" s="231" t="s">
        <v>6089</v>
      </c>
      <c r="AC5700" s="217" t="s">
        <v>333</v>
      </c>
    </row>
    <row r="5701" spans="28:29">
      <c r="AB5701" s="231" t="s">
        <v>6090</v>
      </c>
      <c r="AC5701" s="217" t="s">
        <v>333</v>
      </c>
    </row>
    <row r="5702" spans="28:29">
      <c r="AB5702" s="231" t="s">
        <v>6091</v>
      </c>
      <c r="AC5702" s="217" t="s">
        <v>333</v>
      </c>
    </row>
    <row r="5703" spans="28:29">
      <c r="AB5703" s="231" t="s">
        <v>6092</v>
      </c>
      <c r="AC5703" s="217" t="s">
        <v>333</v>
      </c>
    </row>
    <row r="5704" spans="28:29">
      <c r="AB5704" s="231" t="s">
        <v>6093</v>
      </c>
      <c r="AC5704" s="217" t="s">
        <v>333</v>
      </c>
    </row>
    <row r="5705" spans="28:29">
      <c r="AB5705" s="231" t="s">
        <v>6094</v>
      </c>
      <c r="AC5705" s="217" t="s">
        <v>333</v>
      </c>
    </row>
    <row r="5706" spans="28:29">
      <c r="AB5706" s="231" t="s">
        <v>6095</v>
      </c>
      <c r="AC5706" s="217" t="s">
        <v>333</v>
      </c>
    </row>
    <row r="5707" spans="28:29">
      <c r="AB5707" s="231" t="s">
        <v>6096</v>
      </c>
      <c r="AC5707" s="217" t="s">
        <v>333</v>
      </c>
    </row>
    <row r="5708" spans="28:29">
      <c r="AB5708" s="231" t="s">
        <v>6097</v>
      </c>
      <c r="AC5708" s="217" t="s">
        <v>333</v>
      </c>
    </row>
    <row r="5709" spans="28:29">
      <c r="AB5709" s="231" t="s">
        <v>6098</v>
      </c>
      <c r="AC5709" s="217" t="s">
        <v>333</v>
      </c>
    </row>
    <row r="5710" spans="28:29">
      <c r="AB5710" s="231" t="s">
        <v>6099</v>
      </c>
      <c r="AC5710" s="217" t="s">
        <v>333</v>
      </c>
    </row>
    <row r="5711" spans="28:29">
      <c r="AB5711" s="231" t="s">
        <v>6100</v>
      </c>
      <c r="AC5711" s="217" t="s">
        <v>333</v>
      </c>
    </row>
    <row r="5712" spans="28:29">
      <c r="AB5712" s="231" t="s">
        <v>6101</v>
      </c>
      <c r="AC5712" s="217" t="s">
        <v>333</v>
      </c>
    </row>
    <row r="5713" spans="28:29">
      <c r="AB5713" s="231" t="s">
        <v>6102</v>
      </c>
      <c r="AC5713" s="217" t="s">
        <v>333</v>
      </c>
    </row>
    <row r="5714" spans="28:29">
      <c r="AB5714" s="231" t="s">
        <v>6103</v>
      </c>
      <c r="AC5714" s="217" t="s">
        <v>333</v>
      </c>
    </row>
    <row r="5715" spans="28:29">
      <c r="AB5715" s="231" t="s">
        <v>6104</v>
      </c>
      <c r="AC5715" s="217" t="s">
        <v>333</v>
      </c>
    </row>
    <row r="5716" spans="28:29">
      <c r="AB5716" s="231" t="s">
        <v>6105</v>
      </c>
      <c r="AC5716" s="217" t="s">
        <v>333</v>
      </c>
    </row>
    <row r="5717" spans="28:29">
      <c r="AB5717" s="231" t="s">
        <v>6106</v>
      </c>
      <c r="AC5717" s="217" t="s">
        <v>333</v>
      </c>
    </row>
    <row r="5718" spans="28:29">
      <c r="AB5718" s="231" t="s">
        <v>6107</v>
      </c>
      <c r="AC5718" s="217" t="s">
        <v>333</v>
      </c>
    </row>
    <row r="5719" spans="28:29">
      <c r="AB5719" s="231" t="s">
        <v>6108</v>
      </c>
      <c r="AC5719" s="217" t="s">
        <v>333</v>
      </c>
    </row>
    <row r="5720" spans="28:29">
      <c r="AB5720" s="231" t="s">
        <v>6109</v>
      </c>
      <c r="AC5720" s="217" t="s">
        <v>333</v>
      </c>
    </row>
    <row r="5721" spans="28:29">
      <c r="AB5721" s="231" t="s">
        <v>6110</v>
      </c>
      <c r="AC5721" s="217" t="s">
        <v>333</v>
      </c>
    </row>
    <row r="5722" spans="28:29">
      <c r="AB5722" s="231" t="s">
        <v>6111</v>
      </c>
      <c r="AC5722" s="217" t="s">
        <v>333</v>
      </c>
    </row>
    <row r="5723" spans="28:29">
      <c r="AB5723" s="231" t="s">
        <v>6112</v>
      </c>
      <c r="AC5723" s="217" t="s">
        <v>333</v>
      </c>
    </row>
    <row r="5724" spans="28:29">
      <c r="AB5724" s="231" t="s">
        <v>6113</v>
      </c>
      <c r="AC5724" s="217" t="s">
        <v>333</v>
      </c>
    </row>
    <row r="5725" spans="28:29">
      <c r="AB5725" s="231" t="s">
        <v>6114</v>
      </c>
      <c r="AC5725" s="217" t="s">
        <v>333</v>
      </c>
    </row>
    <row r="5726" spans="28:29">
      <c r="AB5726" s="231" t="s">
        <v>6115</v>
      </c>
      <c r="AC5726" s="217" t="s">
        <v>333</v>
      </c>
    </row>
    <row r="5727" spans="28:29">
      <c r="AB5727" s="231" t="s">
        <v>6116</v>
      </c>
      <c r="AC5727" s="217" t="s">
        <v>333</v>
      </c>
    </row>
    <row r="5728" spans="28:29">
      <c r="AB5728" s="231" t="s">
        <v>6117</v>
      </c>
      <c r="AC5728" s="217" t="s">
        <v>333</v>
      </c>
    </row>
    <row r="5729" spans="28:29">
      <c r="AB5729" s="231" t="s">
        <v>6118</v>
      </c>
      <c r="AC5729" s="217" t="s">
        <v>333</v>
      </c>
    </row>
    <row r="5730" spans="28:29">
      <c r="AB5730" s="231" t="s">
        <v>6119</v>
      </c>
      <c r="AC5730" s="217" t="s">
        <v>333</v>
      </c>
    </row>
    <row r="5731" spans="28:29">
      <c r="AB5731" s="231" t="s">
        <v>6120</v>
      </c>
      <c r="AC5731" s="217" t="s">
        <v>333</v>
      </c>
    </row>
    <row r="5732" spans="28:29">
      <c r="AB5732" s="231" t="s">
        <v>6121</v>
      </c>
      <c r="AC5732" s="217" t="s">
        <v>333</v>
      </c>
    </row>
    <row r="5733" spans="28:29">
      <c r="AB5733" s="231" t="s">
        <v>6122</v>
      </c>
      <c r="AC5733" s="217" t="s">
        <v>333</v>
      </c>
    </row>
    <row r="5734" spans="28:29">
      <c r="AB5734" s="231" t="s">
        <v>6123</v>
      </c>
      <c r="AC5734" s="217" t="s">
        <v>333</v>
      </c>
    </row>
    <row r="5735" spans="28:29">
      <c r="AB5735" s="231" t="s">
        <v>6124</v>
      </c>
      <c r="AC5735" s="217" t="s">
        <v>333</v>
      </c>
    </row>
    <row r="5736" spans="28:29">
      <c r="AB5736" s="231" t="s">
        <v>6125</v>
      </c>
      <c r="AC5736" s="217" t="s">
        <v>333</v>
      </c>
    </row>
    <row r="5737" spans="28:29">
      <c r="AB5737" s="231" t="s">
        <v>6126</v>
      </c>
      <c r="AC5737" s="217" t="s">
        <v>333</v>
      </c>
    </row>
    <row r="5738" spans="28:29">
      <c r="AB5738" s="231" t="s">
        <v>6127</v>
      </c>
      <c r="AC5738" s="217" t="s">
        <v>333</v>
      </c>
    </row>
    <row r="5739" spans="28:29">
      <c r="AB5739" s="231" t="s">
        <v>6128</v>
      </c>
      <c r="AC5739" s="217" t="s">
        <v>333</v>
      </c>
    </row>
    <row r="5740" spans="28:29">
      <c r="AB5740" s="231" t="s">
        <v>6129</v>
      </c>
      <c r="AC5740" s="217" t="s">
        <v>333</v>
      </c>
    </row>
    <row r="5741" spans="28:29">
      <c r="AB5741" s="231" t="s">
        <v>6130</v>
      </c>
      <c r="AC5741" s="217" t="s">
        <v>333</v>
      </c>
    </row>
    <row r="5742" spans="28:29">
      <c r="AB5742" s="231" t="s">
        <v>6131</v>
      </c>
      <c r="AC5742" s="217" t="s">
        <v>333</v>
      </c>
    </row>
    <row r="5743" spans="28:29">
      <c r="AB5743" s="231" t="s">
        <v>6132</v>
      </c>
      <c r="AC5743" s="217" t="s">
        <v>333</v>
      </c>
    </row>
    <row r="5744" spans="28:29">
      <c r="AB5744" s="231" t="s">
        <v>6133</v>
      </c>
      <c r="AC5744" s="217" t="s">
        <v>333</v>
      </c>
    </row>
    <row r="5745" spans="28:29">
      <c r="AB5745" s="231" t="s">
        <v>6134</v>
      </c>
      <c r="AC5745" s="217" t="s">
        <v>333</v>
      </c>
    </row>
    <row r="5746" spans="28:29">
      <c r="AB5746" s="231" t="s">
        <v>6135</v>
      </c>
      <c r="AC5746" s="217" t="s">
        <v>333</v>
      </c>
    </row>
    <row r="5747" spans="28:29">
      <c r="AB5747" s="231" t="s">
        <v>6136</v>
      </c>
      <c r="AC5747" s="217" t="s">
        <v>333</v>
      </c>
    </row>
    <row r="5748" spans="28:29">
      <c r="AB5748" s="231" t="s">
        <v>6137</v>
      </c>
      <c r="AC5748" s="217" t="s">
        <v>333</v>
      </c>
    </row>
    <row r="5749" spans="28:29">
      <c r="AB5749" s="231" t="s">
        <v>6138</v>
      </c>
      <c r="AC5749" s="217" t="s">
        <v>333</v>
      </c>
    </row>
    <row r="5750" spans="28:29">
      <c r="AB5750" s="231" t="s">
        <v>6139</v>
      </c>
      <c r="AC5750" s="217" t="s">
        <v>333</v>
      </c>
    </row>
    <row r="5751" spans="28:29">
      <c r="AB5751" s="231" t="s">
        <v>6140</v>
      </c>
      <c r="AC5751" s="217" t="s">
        <v>333</v>
      </c>
    </row>
    <row r="5752" spans="28:29">
      <c r="AB5752" s="231" t="s">
        <v>6141</v>
      </c>
      <c r="AC5752" s="217" t="s">
        <v>333</v>
      </c>
    </row>
    <row r="5753" spans="28:29">
      <c r="AB5753" s="231" t="s">
        <v>6142</v>
      </c>
      <c r="AC5753" s="217" t="s">
        <v>333</v>
      </c>
    </row>
    <row r="5754" spans="28:29">
      <c r="AB5754" s="231" t="s">
        <v>6143</v>
      </c>
      <c r="AC5754" s="217" t="s">
        <v>333</v>
      </c>
    </row>
    <row r="5755" spans="28:29">
      <c r="AB5755" s="231" t="s">
        <v>6144</v>
      </c>
      <c r="AC5755" s="217" t="s">
        <v>333</v>
      </c>
    </row>
    <row r="5756" spans="28:29">
      <c r="AB5756" s="231" t="s">
        <v>6145</v>
      </c>
      <c r="AC5756" s="217" t="s">
        <v>333</v>
      </c>
    </row>
    <row r="5757" spans="28:29">
      <c r="AB5757" s="231" t="s">
        <v>6146</v>
      </c>
      <c r="AC5757" s="217" t="s">
        <v>333</v>
      </c>
    </row>
    <row r="5758" spans="28:29">
      <c r="AB5758" s="231" t="s">
        <v>6147</v>
      </c>
      <c r="AC5758" s="217" t="s">
        <v>333</v>
      </c>
    </row>
    <row r="5759" spans="28:29">
      <c r="AB5759" s="231" t="s">
        <v>6148</v>
      </c>
      <c r="AC5759" s="217" t="s">
        <v>333</v>
      </c>
    </row>
    <row r="5760" spans="28:29">
      <c r="AB5760" s="231" t="s">
        <v>6149</v>
      </c>
      <c r="AC5760" s="217" t="s">
        <v>333</v>
      </c>
    </row>
    <row r="5761" spans="28:29">
      <c r="AB5761" s="231" t="s">
        <v>6150</v>
      </c>
      <c r="AC5761" s="217" t="s">
        <v>333</v>
      </c>
    </row>
    <row r="5762" spans="28:29">
      <c r="AB5762" s="231" t="s">
        <v>6151</v>
      </c>
      <c r="AC5762" s="217" t="s">
        <v>333</v>
      </c>
    </row>
    <row r="5763" spans="28:29">
      <c r="AB5763" s="231" t="s">
        <v>6152</v>
      </c>
      <c r="AC5763" s="217" t="s">
        <v>333</v>
      </c>
    </row>
    <row r="5764" spans="28:29">
      <c r="AB5764" s="231" t="s">
        <v>6153</v>
      </c>
      <c r="AC5764" s="217" t="s">
        <v>333</v>
      </c>
    </row>
    <row r="5765" spans="28:29">
      <c r="AB5765" s="231" t="s">
        <v>6154</v>
      </c>
      <c r="AC5765" s="217" t="s">
        <v>333</v>
      </c>
    </row>
    <row r="5766" spans="28:29">
      <c r="AB5766" s="231" t="s">
        <v>6155</v>
      </c>
      <c r="AC5766" s="217" t="s">
        <v>333</v>
      </c>
    </row>
    <row r="5767" spans="28:29">
      <c r="AB5767" s="231" t="s">
        <v>6156</v>
      </c>
      <c r="AC5767" s="217" t="s">
        <v>333</v>
      </c>
    </row>
    <row r="5768" spans="28:29">
      <c r="AB5768" s="231" t="s">
        <v>6157</v>
      </c>
      <c r="AC5768" s="217" t="s">
        <v>333</v>
      </c>
    </row>
    <row r="5769" spans="28:29">
      <c r="AB5769" s="231" t="s">
        <v>6158</v>
      </c>
      <c r="AC5769" s="217" t="s">
        <v>333</v>
      </c>
    </row>
    <row r="5770" spans="28:29">
      <c r="AB5770" s="231" t="s">
        <v>6159</v>
      </c>
      <c r="AC5770" s="217" t="s">
        <v>333</v>
      </c>
    </row>
    <row r="5771" spans="28:29">
      <c r="AB5771" s="231" t="s">
        <v>6160</v>
      </c>
      <c r="AC5771" s="217" t="s">
        <v>333</v>
      </c>
    </row>
    <row r="5772" spans="28:29">
      <c r="AB5772" s="231" t="s">
        <v>6161</v>
      </c>
      <c r="AC5772" s="217" t="s">
        <v>333</v>
      </c>
    </row>
    <row r="5773" spans="28:29">
      <c r="AB5773" s="231" t="s">
        <v>6162</v>
      </c>
      <c r="AC5773" s="217" t="s">
        <v>333</v>
      </c>
    </row>
    <row r="5774" spans="28:29">
      <c r="AB5774" s="231" t="s">
        <v>6163</v>
      </c>
      <c r="AC5774" s="217" t="s">
        <v>333</v>
      </c>
    </row>
    <row r="5775" spans="28:29">
      <c r="AB5775" s="231" t="s">
        <v>6164</v>
      </c>
      <c r="AC5775" s="217" t="s">
        <v>333</v>
      </c>
    </row>
    <row r="5776" spans="28:29">
      <c r="AB5776" s="231" t="s">
        <v>6165</v>
      </c>
      <c r="AC5776" s="217" t="s">
        <v>333</v>
      </c>
    </row>
    <row r="5777" spans="28:29">
      <c r="AB5777" s="231" t="s">
        <v>6166</v>
      </c>
      <c r="AC5777" s="217" t="s">
        <v>333</v>
      </c>
    </row>
    <row r="5778" spans="28:29">
      <c r="AB5778" s="231" t="s">
        <v>6167</v>
      </c>
      <c r="AC5778" s="217" t="s">
        <v>333</v>
      </c>
    </row>
    <row r="5779" spans="28:29">
      <c r="AB5779" s="231" t="s">
        <v>6168</v>
      </c>
      <c r="AC5779" s="217" t="s">
        <v>333</v>
      </c>
    </row>
  </sheetData>
  <mergeCells count="5">
    <mergeCell ref="Q2:T2"/>
    <mergeCell ref="Q3:T3"/>
    <mergeCell ref="L53:O53"/>
    <mergeCell ref="Q41:S41"/>
    <mergeCell ref="L61:M61"/>
  </mergeCells>
  <pageMargins left="0.7" right="0.7" top="0.75" bottom="0.75" header="0.3" footer="0.3"/>
  <headerFooter>
    <oddHeader>&amp;R&amp;"Arial"&amp;11&amp;KFF7300 MANN+HUMMEL - Confidential&amp;1#_x000D_</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theme="5" tint="0.39997558519241921"/>
  </sheetPr>
  <dimension ref="C2:H26"/>
  <sheetViews>
    <sheetView showGridLines="0" workbookViewId="0">
      <selection activeCell="I7" sqref="I7:M18"/>
    </sheetView>
  </sheetViews>
  <sheetFormatPr defaultRowHeight="14.5"/>
  <cols>
    <col min="4" max="4" width="14.453125" customWidth="1"/>
    <col min="6" max="6" width="23.453125" customWidth="1"/>
    <col min="7" max="7" width="23.7265625" customWidth="1"/>
    <col min="8" max="8" width="20.1796875" customWidth="1"/>
  </cols>
  <sheetData>
    <row r="2" spans="3:8">
      <c r="C2" s="2"/>
      <c r="D2" s="3"/>
      <c r="E2" s="3"/>
      <c r="F2" s="3"/>
      <c r="G2" s="3"/>
      <c r="H2" s="4"/>
    </row>
    <row r="3" spans="3:8" ht="18.5">
      <c r="C3" s="5"/>
      <c r="D3" s="6"/>
      <c r="E3" s="6"/>
      <c r="F3" s="446" t="s">
        <v>6169</v>
      </c>
      <c r="G3" s="446"/>
      <c r="H3" s="493"/>
    </row>
    <row r="4" spans="3:8" ht="18.5">
      <c r="C4" s="5"/>
      <c r="D4" s="6"/>
      <c r="E4" s="6"/>
      <c r="F4" s="446"/>
      <c r="G4" s="446"/>
      <c r="H4" s="493"/>
    </row>
    <row r="5" spans="3:8" ht="18.5">
      <c r="C5" s="5"/>
      <c r="D5" s="6"/>
      <c r="E5" s="6"/>
      <c r="F5" s="446"/>
      <c r="G5" s="446"/>
      <c r="H5" s="493"/>
    </row>
    <row r="6" spans="3:8" ht="18.5">
      <c r="C6" s="5"/>
      <c r="D6" s="6"/>
      <c r="E6" s="6"/>
      <c r="F6" s="6"/>
      <c r="G6" s="6"/>
      <c r="H6" s="7"/>
    </row>
    <row r="7" spans="3:8" ht="18.5">
      <c r="C7" s="5"/>
      <c r="D7" s="8" t="s">
        <v>31</v>
      </c>
      <c r="E7" s="6"/>
      <c r="F7" s="434" t="s">
        <v>6170</v>
      </c>
      <c r="G7" s="435"/>
      <c r="H7" s="7"/>
    </row>
    <row r="8" spans="3:8" ht="18.5">
      <c r="C8" s="5"/>
      <c r="D8" s="6"/>
      <c r="E8" s="6"/>
      <c r="F8" s="6"/>
      <c r="G8" s="6"/>
      <c r="H8" s="7"/>
    </row>
    <row r="9" spans="3:8" ht="18.5">
      <c r="C9" s="5"/>
      <c r="D9" s="8" t="s">
        <v>6171</v>
      </c>
      <c r="E9" s="6"/>
      <c r="F9" s="434" t="s">
        <v>6172</v>
      </c>
      <c r="G9" s="435"/>
      <c r="H9" s="7"/>
    </row>
    <row r="10" spans="3:8" ht="18.5">
      <c r="C10" s="5"/>
      <c r="D10" s="6"/>
      <c r="E10" s="6"/>
      <c r="F10" s="6"/>
      <c r="G10" s="6"/>
      <c r="H10" s="7"/>
    </row>
    <row r="11" spans="3:8" ht="18.5">
      <c r="C11" s="5"/>
      <c r="D11" s="6"/>
      <c r="E11" s="6"/>
      <c r="F11" s="9" t="s">
        <v>33</v>
      </c>
      <c r="G11" s="9" t="s">
        <v>34</v>
      </c>
      <c r="H11" s="7"/>
    </row>
    <row r="12" spans="3:8" ht="18.5">
      <c r="C12" s="5"/>
      <c r="D12" s="8" t="s">
        <v>35</v>
      </c>
      <c r="E12" s="6"/>
      <c r="F12" s="1">
        <v>5</v>
      </c>
      <c r="G12" s="109">
        <v>0</v>
      </c>
      <c r="H12" s="7"/>
    </row>
    <row r="13" spans="3:8" ht="18.5">
      <c r="C13" s="5"/>
      <c r="D13" s="8" t="s">
        <v>36</v>
      </c>
      <c r="E13" s="6"/>
      <c r="F13" s="1">
        <v>96</v>
      </c>
      <c r="G13" s="109">
        <v>0</v>
      </c>
      <c r="H13" s="7"/>
    </row>
    <row r="14" spans="3:8" ht="18.5">
      <c r="C14" s="5"/>
      <c r="D14" s="6"/>
      <c r="E14" s="6"/>
      <c r="F14" s="6"/>
      <c r="G14" s="6"/>
      <c r="H14" s="7"/>
    </row>
    <row r="15" spans="3:8" ht="18" customHeight="1">
      <c r="C15" s="5"/>
      <c r="D15" s="8" t="s">
        <v>41</v>
      </c>
      <c r="E15" s="6"/>
      <c r="F15" s="103" t="str">
        <f>'Pricing Logic Pads'!O25</f>
        <v>1300596AT</v>
      </c>
      <c r="G15" s="104"/>
      <c r="H15" s="7"/>
    </row>
    <row r="16" spans="3:8">
      <c r="C16" s="5"/>
      <c r="H16" s="10"/>
    </row>
    <row r="17" spans="3:8" ht="18" customHeight="1">
      <c r="C17" s="5"/>
      <c r="D17" s="8" t="s">
        <v>42</v>
      </c>
      <c r="E17" s="6"/>
      <c r="F17" s="105">
        <f>IFERROR(VLOOKUP('Pricing Logic Pads'!S28,'Pricing Logic Pads'!$S$32:$T$338,2,FALSE),'Pricing Logic Pads'!O26)</f>
        <v>2.06</v>
      </c>
      <c r="G17" s="106"/>
      <c r="H17" s="10"/>
    </row>
    <row r="18" spans="3:8" ht="18" customHeight="1">
      <c r="C18" s="5"/>
      <c r="D18" s="8"/>
      <c r="E18" s="6"/>
      <c r="F18" s="154"/>
      <c r="G18" s="154"/>
      <c r="H18" s="10"/>
    </row>
    <row r="19" spans="3:8" ht="18" customHeight="1">
      <c r="C19" s="5"/>
      <c r="D19" s="8"/>
      <c r="E19" s="6"/>
      <c r="F19" s="154"/>
      <c r="G19" s="154"/>
      <c r="H19" s="10"/>
    </row>
    <row r="20" spans="3:8" ht="18.5">
      <c r="C20" s="5"/>
      <c r="D20" s="8"/>
      <c r="E20" s="6"/>
      <c r="F20" s="100"/>
      <c r="G20" s="100"/>
      <c r="H20" s="10"/>
    </row>
    <row r="21" spans="3:8" ht="18" customHeight="1">
      <c r="C21" s="5"/>
      <c r="D21" s="8" t="s">
        <v>43</v>
      </c>
      <c r="E21" s="6"/>
      <c r="F21" s="107">
        <f>'Pricing Logic Pads'!Q25</f>
        <v>8</v>
      </c>
      <c r="G21" s="108"/>
      <c r="H21" s="10"/>
    </row>
    <row r="22" spans="3:8" ht="18.5">
      <c r="C22" s="5"/>
      <c r="D22" s="8" t="s">
        <v>44</v>
      </c>
      <c r="E22" s="6"/>
      <c r="F22" s="105">
        <f>IFERROR(F17*F21,F17)</f>
        <v>16.48</v>
      </c>
      <c r="G22" s="106"/>
      <c r="H22" s="10"/>
    </row>
    <row r="23" spans="3:8" ht="15" thickBot="1">
      <c r="C23" s="11"/>
      <c r="D23" s="12"/>
      <c r="E23" s="12"/>
      <c r="F23" s="12"/>
      <c r="G23" s="12"/>
      <c r="H23" s="13"/>
    </row>
    <row r="26" spans="3:8" ht="170.25" customHeight="1" thickBot="1">
      <c r="C26" s="443" t="s">
        <v>6173</v>
      </c>
      <c r="D26" s="491"/>
      <c r="E26" s="491"/>
      <c r="F26" s="491"/>
      <c r="G26" s="491"/>
      <c r="H26" s="492"/>
    </row>
  </sheetData>
  <protectedRanges>
    <protectedRange sqref="F7:G14" name="Input"/>
  </protectedRanges>
  <mergeCells count="4">
    <mergeCell ref="C26:H26"/>
    <mergeCell ref="F3:H5"/>
    <mergeCell ref="F7:G7"/>
    <mergeCell ref="F9:G9"/>
  </mergeCells>
  <pageMargins left="0.7" right="0.7" top="0.75" bottom="0.75" header="0.3" footer="0.3"/>
  <headerFooter>
    <oddHeader>&amp;R&amp;"Arial"&amp;11&amp;KFF7300 MANN+HUMMEL - Confidential&amp;1#_x000D_</oddHeader>
  </headerFooter>
  <drawing r:id="rId1"/>
  <extLst>
    <ext xmlns:x14="http://schemas.microsoft.com/office/spreadsheetml/2009/9/main" uri="{CCE6A557-97BC-4b89-ADB6-D9C93CAAB3DF}">
      <x14:dataValidations xmlns:xm="http://schemas.microsoft.com/office/excel/2006/main" count="5">
        <x14:dataValidation type="list" allowBlank="1" showInputMessage="1" showErrorMessage="1" xr:uid="{1B5223C5-0C5C-41DA-A353-B99A84CF488A}">
          <x14:formula1>
            <xm:f>'Pricing Logic Pads'!$Q$31:$Q$283</xm:f>
          </x14:formula1>
          <xm:sqref>F13</xm:sqref>
        </x14:dataValidation>
        <x14:dataValidation type="list" allowBlank="1" showInputMessage="1" showErrorMessage="1" xr:uid="{2721D3EB-4D8B-41F0-82DF-2913678AA708}">
          <x14:formula1>
            <xm:f>'Pricing Logic Pads'!$J$16:$J$24</xm:f>
          </x14:formula1>
          <xm:sqref>F7:G7</xm:sqref>
        </x14:dataValidation>
        <x14:dataValidation type="list" allowBlank="1" showInputMessage="1" showErrorMessage="1" xr:uid="{3E460EED-2C6F-43B7-8C1D-5ADE7F3F60F6}">
          <x14:formula1>
            <xm:f>'Pricing Logic Pads'!$V$17:$V$24</xm:f>
          </x14:formula1>
          <xm:sqref>G12:G13</xm:sqref>
        </x14:dataValidation>
        <x14:dataValidation type="list" allowBlank="1" showInputMessage="1" showErrorMessage="1" xr:uid="{6E877F8D-25B7-4931-8C74-C62F9D0EFBC1}">
          <x14:formula1>
            <xm:f>'Pricing Logic Pads'!$Q$16:$Q$17</xm:f>
          </x14:formula1>
          <xm:sqref>F9:G9</xm:sqref>
        </x14:dataValidation>
        <x14:dataValidation type="list" allowBlank="1" showInputMessage="1" showErrorMessage="1" xr:uid="{3AB09F98-B0CD-4DC6-AD04-D5607B55D824}">
          <x14:formula1>
            <xm:f>'Pricing Logic Pads'!$P$31:$P$127</xm:f>
          </x14:formula1>
          <xm:sqref>F12</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2C4CD2-9A7B-4B20-A868-5B234FAAB8A3}">
  <sheetPr codeName="Sheet3"/>
  <dimension ref="A1:JT1650"/>
  <sheetViews>
    <sheetView showGridLines="0" topLeftCell="A45" workbookViewId="0">
      <selection activeCell="I7" sqref="I7:M18"/>
    </sheetView>
  </sheetViews>
  <sheetFormatPr defaultRowHeight="14.5"/>
  <cols>
    <col min="1" max="1" width="10.453125" customWidth="1"/>
    <col min="2" max="2" width="31" bestFit="1" customWidth="1"/>
    <col min="3" max="3" width="11.81640625" bestFit="1" customWidth="1"/>
    <col min="4" max="4" width="7.54296875" customWidth="1"/>
    <col min="5" max="5" width="10.54296875" customWidth="1"/>
    <col min="6" max="7" width="12.54296875" customWidth="1"/>
    <col min="9" max="9" width="32.26953125" bestFit="1" customWidth="1"/>
    <col min="10" max="10" width="32.1796875" bestFit="1" customWidth="1"/>
    <col min="11" max="11" width="28.453125" bestFit="1" customWidth="1"/>
    <col min="12" max="12" width="23" customWidth="1"/>
    <col min="13" max="13" width="13.54296875" customWidth="1"/>
    <col min="14" max="14" width="14" bestFit="1" customWidth="1"/>
    <col min="15" max="15" width="13" customWidth="1"/>
    <col min="16" max="16" width="31.26953125" bestFit="1" customWidth="1"/>
    <col min="17" max="17" width="12.7265625" customWidth="1"/>
    <col min="19" max="19" width="14.453125" customWidth="1"/>
    <col min="20" max="20" width="20" customWidth="1"/>
    <col min="21" max="23" width="8.81640625"/>
    <col min="24" max="25" width="10.81640625" customWidth="1"/>
    <col min="26" max="26" width="31.26953125" bestFit="1" customWidth="1"/>
    <col min="30" max="30" width="19.7265625" bestFit="1" customWidth="1"/>
    <col min="33" max="33" width="31.26953125" bestFit="1" customWidth="1"/>
  </cols>
  <sheetData>
    <row r="1" spans="1:280" ht="16">
      <c r="A1" s="155" t="s">
        <v>6174</v>
      </c>
      <c r="B1" s="155" t="s">
        <v>59</v>
      </c>
      <c r="C1" s="155" t="s">
        <v>383</v>
      </c>
      <c r="D1" s="155" t="s">
        <v>6175</v>
      </c>
      <c r="E1" s="155" t="s">
        <v>6176</v>
      </c>
      <c r="F1" s="155" t="s">
        <v>27</v>
      </c>
      <c r="G1" s="87" t="s">
        <v>6177</v>
      </c>
      <c r="J1" s="432" t="s">
        <v>6178</v>
      </c>
      <c r="K1" s="432"/>
      <c r="L1" s="432"/>
      <c r="M1" s="432"/>
      <c r="N1" s="432"/>
      <c r="O1" s="432"/>
      <c r="P1" s="432"/>
      <c r="Q1" s="432"/>
    </row>
    <row r="2" spans="1:280">
      <c r="A2" s="156">
        <v>132</v>
      </c>
      <c r="B2" s="157" t="s">
        <v>6179</v>
      </c>
      <c r="C2" s="157" t="s">
        <v>6180</v>
      </c>
      <c r="D2" s="157">
        <v>16</v>
      </c>
      <c r="E2" s="157">
        <v>249</v>
      </c>
      <c r="F2" s="360">
        <v>0.99</v>
      </c>
      <c r="J2" s="130" t="s">
        <v>25</v>
      </c>
      <c r="K2" s="130" t="s">
        <v>248</v>
      </c>
      <c r="L2" s="130" t="s">
        <v>6181</v>
      </c>
      <c r="M2" s="130" t="s">
        <v>6182</v>
      </c>
      <c r="N2" s="130" t="s">
        <v>160</v>
      </c>
      <c r="O2" s="130" t="s">
        <v>6174</v>
      </c>
      <c r="P2" s="130" t="s">
        <v>6183</v>
      </c>
      <c r="Q2" s="130" t="s">
        <v>380</v>
      </c>
      <c r="R2" s="130" t="s">
        <v>381</v>
      </c>
      <c r="S2" t="s">
        <v>6184</v>
      </c>
    </row>
    <row r="3" spans="1:280">
      <c r="A3" s="156">
        <v>132</v>
      </c>
      <c r="B3" s="157" t="s">
        <v>6179</v>
      </c>
      <c r="C3" s="157" t="s">
        <v>6185</v>
      </c>
      <c r="D3" s="157">
        <v>250</v>
      </c>
      <c r="E3" s="157">
        <v>299</v>
      </c>
      <c r="F3" s="360">
        <v>1.0900000000000001</v>
      </c>
      <c r="J3" s="131" t="s">
        <v>21</v>
      </c>
      <c r="K3" s="131" t="s">
        <v>308</v>
      </c>
      <c r="L3" s="131" t="s">
        <v>6186</v>
      </c>
      <c r="M3" s="131">
        <v>1</v>
      </c>
      <c r="N3" s="131">
        <v>0.25</v>
      </c>
      <c r="O3" s="131">
        <v>130</v>
      </c>
      <c r="P3" s="116" t="s">
        <v>90</v>
      </c>
      <c r="Q3" s="116">
        <v>4</v>
      </c>
      <c r="R3" s="116">
        <v>256</v>
      </c>
      <c r="AG3" s="335" t="s">
        <v>225</v>
      </c>
    </row>
    <row r="4" spans="1:280">
      <c r="A4" s="156">
        <v>132</v>
      </c>
      <c r="B4" s="157" t="s">
        <v>6179</v>
      </c>
      <c r="C4" s="157" t="s">
        <v>6187</v>
      </c>
      <c r="D4" s="157">
        <v>300</v>
      </c>
      <c r="E4" s="157">
        <v>349</v>
      </c>
      <c r="F4" s="360">
        <v>1.2</v>
      </c>
      <c r="J4" s="131" t="s">
        <v>21</v>
      </c>
      <c r="K4" s="131" t="s">
        <v>308</v>
      </c>
      <c r="L4" s="131" t="s">
        <v>6188</v>
      </c>
      <c r="M4" s="131">
        <v>1</v>
      </c>
      <c r="N4" s="131">
        <v>0.5</v>
      </c>
      <c r="O4" s="131">
        <v>132</v>
      </c>
      <c r="P4" s="116" t="s">
        <v>90</v>
      </c>
      <c r="Q4" s="116">
        <v>4</v>
      </c>
      <c r="R4" s="116">
        <v>256</v>
      </c>
      <c r="S4" t="s">
        <v>6189</v>
      </c>
      <c r="Z4" t="s">
        <v>6190</v>
      </c>
      <c r="AA4" t="s">
        <v>6191</v>
      </c>
      <c r="AD4" t="s">
        <v>6192</v>
      </c>
      <c r="AE4" t="s">
        <v>225</v>
      </c>
      <c r="AG4" s="16" t="str" cm="1">
        <f t="array" ref="AG4:AG15">_xlfn.UNIQUE(Width[[#All],[Level1]])</f>
        <v>Level1</v>
      </c>
    </row>
    <row r="5" spans="1:280">
      <c r="A5" s="156">
        <v>132</v>
      </c>
      <c r="B5" s="157" t="s">
        <v>6179</v>
      </c>
      <c r="C5" s="157" t="s">
        <v>6193</v>
      </c>
      <c r="D5" s="157">
        <v>350</v>
      </c>
      <c r="E5" s="157">
        <v>399</v>
      </c>
      <c r="F5" s="360">
        <v>1.3</v>
      </c>
      <c r="J5" s="131" t="s">
        <v>21</v>
      </c>
      <c r="K5" s="131" t="s">
        <v>308</v>
      </c>
      <c r="L5" s="131" t="s">
        <v>6194</v>
      </c>
      <c r="M5" s="131">
        <v>1</v>
      </c>
      <c r="N5" s="131">
        <v>1</v>
      </c>
      <c r="O5" s="131">
        <v>134</v>
      </c>
      <c r="P5" s="116" t="s">
        <v>90</v>
      </c>
      <c r="Q5" s="116">
        <v>4</v>
      </c>
      <c r="R5" s="116">
        <v>256</v>
      </c>
      <c r="S5" t="s">
        <v>6195</v>
      </c>
      <c r="Z5" t="s">
        <v>6170</v>
      </c>
      <c r="AA5">
        <v>4</v>
      </c>
      <c r="AB5">
        <v>4</v>
      </c>
      <c r="AD5" s="334" t="s">
        <v>6170</v>
      </c>
      <c r="AG5" t="str">
        <v>Tri-Dek #3 Media Pad</v>
      </c>
      <c r="AH5" cm="1">
        <f t="array" ref="AH5:CV5">_xlfn.TOROW(_xlfn.UNIQUE(_xlfn._xlws.FILTER(Width[Level2],Width[Level1]=AG5,"")))</f>
        <v>4</v>
      </c>
      <c r="AI5">
        <v>5</v>
      </c>
      <c r="AJ5">
        <v>6</v>
      </c>
      <c r="AK5">
        <v>7</v>
      </c>
      <c r="AL5">
        <v>8</v>
      </c>
      <c r="AM5">
        <v>9</v>
      </c>
      <c r="AN5">
        <v>10</v>
      </c>
      <c r="AO5">
        <v>11</v>
      </c>
      <c r="AP5">
        <v>12</v>
      </c>
      <c r="AQ5">
        <v>13</v>
      </c>
      <c r="AR5">
        <v>14</v>
      </c>
      <c r="AS5">
        <v>15</v>
      </c>
      <c r="AT5">
        <v>16</v>
      </c>
      <c r="AU5">
        <v>17</v>
      </c>
      <c r="AV5">
        <v>18</v>
      </c>
      <c r="AW5">
        <v>19</v>
      </c>
      <c r="AX5">
        <v>20</v>
      </c>
      <c r="AY5">
        <v>21</v>
      </c>
      <c r="AZ5">
        <v>22</v>
      </c>
      <c r="BA5">
        <v>23</v>
      </c>
      <c r="BB5">
        <v>24</v>
      </c>
      <c r="BC5">
        <v>25</v>
      </c>
      <c r="BD5">
        <v>26</v>
      </c>
      <c r="BE5">
        <v>27</v>
      </c>
      <c r="BF5">
        <v>28</v>
      </c>
      <c r="BG5">
        <v>29</v>
      </c>
      <c r="BH5">
        <v>30</v>
      </c>
      <c r="BI5">
        <v>31</v>
      </c>
      <c r="BJ5">
        <v>32</v>
      </c>
      <c r="BK5">
        <v>33</v>
      </c>
      <c r="BL5">
        <v>34</v>
      </c>
      <c r="BM5">
        <v>35</v>
      </c>
      <c r="BN5">
        <v>36</v>
      </c>
      <c r="BO5">
        <v>37</v>
      </c>
      <c r="BP5">
        <v>38</v>
      </c>
      <c r="BQ5">
        <v>39</v>
      </c>
      <c r="BR5">
        <v>40</v>
      </c>
      <c r="BS5">
        <v>41</v>
      </c>
      <c r="BT5">
        <v>42</v>
      </c>
      <c r="BU5">
        <v>43</v>
      </c>
      <c r="BV5">
        <v>44</v>
      </c>
      <c r="BW5">
        <v>45</v>
      </c>
      <c r="BX5">
        <v>46</v>
      </c>
      <c r="BY5">
        <v>47</v>
      </c>
      <c r="BZ5">
        <v>48</v>
      </c>
      <c r="CA5">
        <v>49</v>
      </c>
      <c r="CB5">
        <v>50</v>
      </c>
      <c r="CC5">
        <v>51</v>
      </c>
      <c r="CD5">
        <v>52</v>
      </c>
      <c r="CE5">
        <v>53</v>
      </c>
      <c r="CF5">
        <v>54</v>
      </c>
      <c r="CG5">
        <v>55</v>
      </c>
      <c r="CH5">
        <v>56</v>
      </c>
      <c r="CI5">
        <v>57</v>
      </c>
      <c r="CJ5">
        <v>58</v>
      </c>
      <c r="CK5">
        <v>59</v>
      </c>
      <c r="CL5">
        <v>60</v>
      </c>
      <c r="CM5">
        <v>61</v>
      </c>
      <c r="CN5">
        <v>62</v>
      </c>
      <c r="CO5">
        <v>63</v>
      </c>
      <c r="CP5">
        <v>64</v>
      </c>
      <c r="CQ5">
        <v>65</v>
      </c>
      <c r="CR5">
        <v>66</v>
      </c>
      <c r="CS5">
        <v>67</v>
      </c>
      <c r="CT5">
        <v>68</v>
      </c>
      <c r="CU5">
        <v>69</v>
      </c>
      <c r="CV5">
        <v>70</v>
      </c>
    </row>
    <row r="6" spans="1:280">
      <c r="A6" s="156">
        <v>132</v>
      </c>
      <c r="B6" s="157" t="s">
        <v>6179</v>
      </c>
      <c r="C6" s="157" t="s">
        <v>6196</v>
      </c>
      <c r="D6" s="157">
        <v>400</v>
      </c>
      <c r="E6" s="157">
        <v>449</v>
      </c>
      <c r="F6" s="360">
        <v>1.4</v>
      </c>
      <c r="J6" s="131" t="s">
        <v>21</v>
      </c>
      <c r="K6" s="131" t="s">
        <v>308</v>
      </c>
      <c r="L6" s="131" t="s">
        <v>6197</v>
      </c>
      <c r="M6" s="131">
        <v>1</v>
      </c>
      <c r="N6" s="131">
        <v>2</v>
      </c>
      <c r="O6" s="131">
        <v>152</v>
      </c>
      <c r="P6" s="116" t="s">
        <v>90</v>
      </c>
      <c r="Q6" s="116">
        <v>4</v>
      </c>
      <c r="R6" s="116">
        <v>256</v>
      </c>
      <c r="S6" t="s">
        <v>6198</v>
      </c>
      <c r="Z6" t="s">
        <v>6170</v>
      </c>
      <c r="AA6">
        <v>5</v>
      </c>
      <c r="AB6">
        <v>5</v>
      </c>
      <c r="AG6" t="str">
        <v>Tri-Dek #5 Media Pad</v>
      </c>
      <c r="AH6" cm="1">
        <f t="array" ref="AH6:DJ6">_xlfn.TOROW(_xlfn.UNIQUE(_xlfn._xlws.FILTER(Width[Level2],Width[Level1]=AG6,"")))</f>
        <v>4</v>
      </c>
      <c r="AI6">
        <v>5</v>
      </c>
      <c r="AJ6">
        <v>6</v>
      </c>
      <c r="AK6">
        <v>7</v>
      </c>
      <c r="AL6">
        <v>8</v>
      </c>
      <c r="AM6">
        <v>9</v>
      </c>
      <c r="AN6">
        <v>10</v>
      </c>
      <c r="AO6">
        <v>11</v>
      </c>
      <c r="AP6">
        <v>12</v>
      </c>
      <c r="AQ6">
        <v>13</v>
      </c>
      <c r="AR6">
        <v>14</v>
      </c>
      <c r="AS6">
        <v>15</v>
      </c>
      <c r="AT6">
        <v>16</v>
      </c>
      <c r="AU6">
        <v>17</v>
      </c>
      <c r="AV6">
        <v>18</v>
      </c>
      <c r="AW6">
        <v>19</v>
      </c>
      <c r="AX6">
        <v>20</v>
      </c>
      <c r="AY6">
        <v>21</v>
      </c>
      <c r="AZ6">
        <v>22</v>
      </c>
      <c r="BA6">
        <v>23</v>
      </c>
      <c r="BB6">
        <v>24</v>
      </c>
      <c r="BC6">
        <v>25</v>
      </c>
      <c r="BD6">
        <v>26</v>
      </c>
      <c r="BE6">
        <v>27</v>
      </c>
      <c r="BF6">
        <v>28</v>
      </c>
      <c r="BG6">
        <v>29</v>
      </c>
      <c r="BH6">
        <v>30</v>
      </c>
      <c r="BI6">
        <v>31</v>
      </c>
      <c r="BJ6">
        <v>32</v>
      </c>
      <c r="BK6">
        <v>33</v>
      </c>
      <c r="BL6">
        <v>34</v>
      </c>
      <c r="BM6">
        <v>35</v>
      </c>
      <c r="BN6">
        <v>36</v>
      </c>
      <c r="BO6">
        <v>37</v>
      </c>
      <c r="BP6">
        <v>38</v>
      </c>
      <c r="BQ6">
        <v>39</v>
      </c>
      <c r="BR6">
        <v>40</v>
      </c>
      <c r="BS6">
        <v>41</v>
      </c>
      <c r="BT6">
        <v>42</v>
      </c>
      <c r="BU6">
        <v>43</v>
      </c>
      <c r="BV6">
        <v>44</v>
      </c>
      <c r="BW6">
        <v>45</v>
      </c>
      <c r="BX6">
        <v>46</v>
      </c>
      <c r="BY6">
        <v>47</v>
      </c>
      <c r="BZ6">
        <v>48</v>
      </c>
      <c r="CA6">
        <v>49</v>
      </c>
      <c r="CB6">
        <v>50</v>
      </c>
      <c r="CC6">
        <v>51</v>
      </c>
      <c r="CD6">
        <v>52</v>
      </c>
      <c r="CE6">
        <v>53</v>
      </c>
      <c r="CF6">
        <v>54</v>
      </c>
      <c r="CG6">
        <v>55</v>
      </c>
      <c r="CH6">
        <v>56</v>
      </c>
      <c r="CI6">
        <v>57</v>
      </c>
      <c r="CJ6">
        <v>58</v>
      </c>
      <c r="CK6">
        <v>59</v>
      </c>
      <c r="CL6">
        <v>60</v>
      </c>
      <c r="CM6">
        <v>61</v>
      </c>
      <c r="CN6">
        <v>62</v>
      </c>
      <c r="CO6">
        <v>63</v>
      </c>
      <c r="CP6">
        <v>64</v>
      </c>
      <c r="CQ6">
        <v>65</v>
      </c>
      <c r="CR6">
        <v>66</v>
      </c>
      <c r="CS6">
        <v>67</v>
      </c>
      <c r="CT6">
        <v>68</v>
      </c>
      <c r="CU6">
        <v>69</v>
      </c>
      <c r="CV6">
        <v>70</v>
      </c>
      <c r="CW6">
        <v>71</v>
      </c>
      <c r="CX6">
        <v>72</v>
      </c>
      <c r="CY6">
        <v>73</v>
      </c>
      <c r="CZ6">
        <v>74</v>
      </c>
      <c r="DA6">
        <v>75</v>
      </c>
      <c r="DB6">
        <v>76</v>
      </c>
      <c r="DC6">
        <v>77</v>
      </c>
      <c r="DD6">
        <v>78</v>
      </c>
      <c r="DE6">
        <v>79</v>
      </c>
      <c r="DF6">
        <v>80</v>
      </c>
      <c r="DG6">
        <v>81</v>
      </c>
      <c r="DH6">
        <v>82</v>
      </c>
      <c r="DI6">
        <v>83</v>
      </c>
      <c r="DJ6">
        <v>84</v>
      </c>
    </row>
    <row r="7" spans="1:280">
      <c r="A7" s="156">
        <v>132</v>
      </c>
      <c r="B7" s="157" t="s">
        <v>6179</v>
      </c>
      <c r="C7" s="157" t="s">
        <v>6199</v>
      </c>
      <c r="D7" s="157">
        <v>450</v>
      </c>
      <c r="E7" s="157">
        <v>499</v>
      </c>
      <c r="F7" s="360">
        <v>1.51</v>
      </c>
      <c r="J7" s="131" t="s">
        <v>21</v>
      </c>
      <c r="K7" s="131" t="s">
        <v>308</v>
      </c>
      <c r="L7" s="131" t="s">
        <v>6200</v>
      </c>
      <c r="M7" s="131">
        <v>2</v>
      </c>
      <c r="N7" s="131"/>
      <c r="O7" s="131">
        <v>136</v>
      </c>
      <c r="P7" s="116" t="s">
        <v>90</v>
      </c>
      <c r="Q7" s="116">
        <v>4</v>
      </c>
      <c r="R7" s="116">
        <v>256</v>
      </c>
      <c r="Z7" t="s">
        <v>6170</v>
      </c>
      <c r="AA7">
        <v>6</v>
      </c>
      <c r="AB7">
        <v>6</v>
      </c>
      <c r="AG7" t="str">
        <v>Tri-Dek #7 Media Pad</v>
      </c>
      <c r="AH7" cm="1">
        <f t="array" ref="AH7:DV7">_xlfn.TOROW(_xlfn.UNIQUE(_xlfn._xlws.FILTER(Width[Level2],Width[Level1]=AG7,"")))</f>
        <v>4</v>
      </c>
      <c r="AI7">
        <v>5</v>
      </c>
      <c r="AJ7">
        <v>6</v>
      </c>
      <c r="AK7">
        <v>7</v>
      </c>
      <c r="AL7">
        <v>8</v>
      </c>
      <c r="AM7">
        <v>9</v>
      </c>
      <c r="AN7">
        <v>10</v>
      </c>
      <c r="AO7">
        <v>11</v>
      </c>
      <c r="AP7">
        <v>12</v>
      </c>
      <c r="AQ7">
        <v>13</v>
      </c>
      <c r="AR7">
        <v>14</v>
      </c>
      <c r="AS7">
        <v>15</v>
      </c>
      <c r="AT7">
        <v>16</v>
      </c>
      <c r="AU7">
        <v>17</v>
      </c>
      <c r="AV7">
        <v>18</v>
      </c>
      <c r="AW7">
        <v>19</v>
      </c>
      <c r="AX7">
        <v>20</v>
      </c>
      <c r="AY7">
        <v>21</v>
      </c>
      <c r="AZ7">
        <v>22</v>
      </c>
      <c r="BA7">
        <v>23</v>
      </c>
      <c r="BB7">
        <v>24</v>
      </c>
      <c r="BC7">
        <v>25</v>
      </c>
      <c r="BD7">
        <v>26</v>
      </c>
      <c r="BE7">
        <v>27</v>
      </c>
      <c r="BF7">
        <v>28</v>
      </c>
      <c r="BG7">
        <v>29</v>
      </c>
      <c r="BH7">
        <v>30</v>
      </c>
      <c r="BI7">
        <v>31</v>
      </c>
      <c r="BJ7">
        <v>32</v>
      </c>
      <c r="BK7">
        <v>33</v>
      </c>
      <c r="BL7">
        <v>34</v>
      </c>
      <c r="BM7">
        <v>35</v>
      </c>
      <c r="BN7">
        <v>36</v>
      </c>
      <c r="BO7">
        <v>37</v>
      </c>
      <c r="BP7">
        <v>38</v>
      </c>
      <c r="BQ7">
        <v>39</v>
      </c>
      <c r="BR7">
        <v>40</v>
      </c>
      <c r="BS7">
        <v>41</v>
      </c>
      <c r="BT7">
        <v>42</v>
      </c>
      <c r="BU7">
        <v>43</v>
      </c>
      <c r="BV7">
        <v>44</v>
      </c>
      <c r="BW7">
        <v>45</v>
      </c>
      <c r="BX7">
        <v>46</v>
      </c>
      <c r="BY7">
        <v>47</v>
      </c>
      <c r="BZ7">
        <v>48</v>
      </c>
      <c r="CA7">
        <v>49</v>
      </c>
      <c r="CB7">
        <v>50</v>
      </c>
      <c r="CC7">
        <v>51</v>
      </c>
      <c r="CD7">
        <v>52</v>
      </c>
      <c r="CE7">
        <v>53</v>
      </c>
      <c r="CF7">
        <v>54</v>
      </c>
      <c r="CG7">
        <v>55</v>
      </c>
      <c r="CH7">
        <v>56</v>
      </c>
      <c r="CI7">
        <v>57</v>
      </c>
      <c r="CJ7">
        <v>58</v>
      </c>
      <c r="CK7">
        <v>59</v>
      </c>
      <c r="CL7">
        <v>60</v>
      </c>
      <c r="CM7">
        <v>61</v>
      </c>
      <c r="CN7">
        <v>62</v>
      </c>
      <c r="CO7">
        <v>63</v>
      </c>
      <c r="CP7">
        <v>64</v>
      </c>
      <c r="CQ7">
        <v>65</v>
      </c>
      <c r="CR7">
        <v>66</v>
      </c>
      <c r="CS7">
        <v>67</v>
      </c>
      <c r="CT7">
        <v>68</v>
      </c>
      <c r="CU7">
        <v>69</v>
      </c>
      <c r="CV7">
        <v>70</v>
      </c>
      <c r="CW7">
        <v>71</v>
      </c>
      <c r="CX7">
        <v>72</v>
      </c>
      <c r="CY7">
        <v>73</v>
      </c>
      <c r="CZ7">
        <v>74</v>
      </c>
      <c r="DA7">
        <v>75</v>
      </c>
      <c r="DB7">
        <v>76</v>
      </c>
      <c r="DC7">
        <v>77</v>
      </c>
      <c r="DD7">
        <v>78</v>
      </c>
      <c r="DE7">
        <v>79</v>
      </c>
      <c r="DF7">
        <v>80</v>
      </c>
      <c r="DG7">
        <v>81</v>
      </c>
      <c r="DH7">
        <v>82</v>
      </c>
      <c r="DI7">
        <v>83</v>
      </c>
      <c r="DJ7">
        <v>84</v>
      </c>
      <c r="DK7">
        <v>85</v>
      </c>
      <c r="DL7">
        <v>86</v>
      </c>
      <c r="DM7">
        <v>87</v>
      </c>
      <c r="DN7">
        <v>88</v>
      </c>
      <c r="DO7">
        <v>89</v>
      </c>
      <c r="DP7">
        <v>90</v>
      </c>
      <c r="DQ7">
        <v>91</v>
      </c>
      <c r="DR7">
        <v>92</v>
      </c>
      <c r="DS7">
        <v>93</v>
      </c>
      <c r="DT7">
        <v>94</v>
      </c>
      <c r="DU7">
        <v>95</v>
      </c>
      <c r="DV7">
        <v>96</v>
      </c>
    </row>
    <row r="8" spans="1:280">
      <c r="A8" s="156">
        <v>132</v>
      </c>
      <c r="B8" s="157" t="s">
        <v>6179</v>
      </c>
      <c r="C8" s="157" t="s">
        <v>6201</v>
      </c>
      <c r="D8" s="157">
        <v>500</v>
      </c>
      <c r="E8" s="157">
        <v>549</v>
      </c>
      <c r="F8" s="360">
        <v>1.61</v>
      </c>
      <c r="J8" s="131" t="s">
        <v>21</v>
      </c>
      <c r="K8" s="131" t="s">
        <v>308</v>
      </c>
      <c r="L8" s="131" t="s">
        <v>6202</v>
      </c>
      <c r="M8" s="131">
        <v>3</v>
      </c>
      <c r="N8" s="131"/>
      <c r="O8" s="131">
        <v>176</v>
      </c>
      <c r="P8" s="116" t="s">
        <v>90</v>
      </c>
      <c r="Q8" s="116">
        <v>4</v>
      </c>
      <c r="R8" s="116">
        <v>256</v>
      </c>
      <c r="Z8" t="s">
        <v>6170</v>
      </c>
      <c r="AA8">
        <v>7</v>
      </c>
      <c r="AB8">
        <v>7</v>
      </c>
      <c r="AG8" t="str">
        <v>Tri-Dek #10 Media Pad</v>
      </c>
      <c r="AH8" cm="1">
        <f t="array" ref="AH8:JT8">_xlfn.TOROW(_xlfn.UNIQUE(_xlfn._xlws.FILTER(Width[Level2],Width[Level1]=AG8,"")))</f>
        <v>4</v>
      </c>
      <c r="AI8">
        <v>5</v>
      </c>
      <c r="AJ8">
        <v>6</v>
      </c>
      <c r="AK8">
        <v>7</v>
      </c>
      <c r="AL8">
        <v>8</v>
      </c>
      <c r="AM8">
        <v>9</v>
      </c>
      <c r="AN8">
        <v>10</v>
      </c>
      <c r="AO8">
        <v>11</v>
      </c>
      <c r="AP8">
        <v>12</v>
      </c>
      <c r="AQ8">
        <v>13</v>
      </c>
      <c r="AR8">
        <v>14</v>
      </c>
      <c r="AS8">
        <v>15</v>
      </c>
      <c r="AT8">
        <v>16</v>
      </c>
      <c r="AU8">
        <v>17</v>
      </c>
      <c r="AV8">
        <v>18</v>
      </c>
      <c r="AW8">
        <v>19</v>
      </c>
      <c r="AX8">
        <v>20</v>
      </c>
      <c r="AY8">
        <v>21</v>
      </c>
      <c r="AZ8">
        <v>22</v>
      </c>
      <c r="BA8">
        <v>23</v>
      </c>
      <c r="BB8">
        <v>24</v>
      </c>
      <c r="BC8">
        <v>25</v>
      </c>
      <c r="BD8">
        <v>26</v>
      </c>
      <c r="BE8">
        <v>27</v>
      </c>
      <c r="BF8">
        <v>28</v>
      </c>
      <c r="BG8">
        <v>29</v>
      </c>
      <c r="BH8">
        <v>30</v>
      </c>
      <c r="BI8">
        <v>31</v>
      </c>
      <c r="BJ8">
        <v>32</v>
      </c>
      <c r="BK8">
        <v>33</v>
      </c>
      <c r="BL8">
        <v>34</v>
      </c>
      <c r="BM8">
        <v>35</v>
      </c>
      <c r="BN8">
        <v>36</v>
      </c>
      <c r="BO8">
        <v>37</v>
      </c>
      <c r="BP8">
        <v>38</v>
      </c>
      <c r="BQ8">
        <v>39</v>
      </c>
      <c r="BR8">
        <v>40</v>
      </c>
      <c r="BS8">
        <v>41</v>
      </c>
      <c r="BT8">
        <v>42</v>
      </c>
      <c r="BU8">
        <v>43</v>
      </c>
      <c r="BV8">
        <v>44</v>
      </c>
      <c r="BW8">
        <v>45</v>
      </c>
      <c r="BX8">
        <v>46</v>
      </c>
      <c r="BY8">
        <v>47</v>
      </c>
      <c r="BZ8">
        <v>48</v>
      </c>
      <c r="CA8">
        <v>49</v>
      </c>
      <c r="CB8">
        <v>50</v>
      </c>
      <c r="CC8">
        <v>51</v>
      </c>
      <c r="CD8">
        <v>52</v>
      </c>
      <c r="CE8">
        <v>53</v>
      </c>
      <c r="CF8">
        <v>54</v>
      </c>
      <c r="CG8">
        <v>55</v>
      </c>
      <c r="CH8">
        <v>56</v>
      </c>
      <c r="CI8">
        <v>57</v>
      </c>
      <c r="CJ8">
        <v>58</v>
      </c>
      <c r="CK8">
        <v>59</v>
      </c>
      <c r="CL8">
        <v>60</v>
      </c>
      <c r="CM8">
        <v>61</v>
      </c>
      <c r="CN8">
        <v>62</v>
      </c>
      <c r="CO8">
        <v>63</v>
      </c>
      <c r="CP8">
        <v>64</v>
      </c>
      <c r="CQ8">
        <v>65</v>
      </c>
      <c r="CR8">
        <v>66</v>
      </c>
      <c r="CS8">
        <v>67</v>
      </c>
      <c r="CT8">
        <v>68</v>
      </c>
      <c r="CU8">
        <v>69</v>
      </c>
      <c r="CV8">
        <v>70</v>
      </c>
      <c r="CW8">
        <v>71</v>
      </c>
      <c r="CX8">
        <v>72</v>
      </c>
      <c r="CY8">
        <v>73</v>
      </c>
      <c r="CZ8">
        <v>74</v>
      </c>
      <c r="DA8">
        <v>75</v>
      </c>
      <c r="DB8">
        <v>76</v>
      </c>
      <c r="DC8">
        <v>77</v>
      </c>
      <c r="DD8">
        <v>78</v>
      </c>
      <c r="DE8">
        <v>79</v>
      </c>
      <c r="DF8">
        <v>80</v>
      </c>
      <c r="DG8">
        <v>81</v>
      </c>
      <c r="DH8">
        <v>82</v>
      </c>
      <c r="DI8">
        <v>83</v>
      </c>
      <c r="DJ8">
        <v>84</v>
      </c>
      <c r="DK8">
        <v>85</v>
      </c>
      <c r="DL8">
        <v>86</v>
      </c>
      <c r="DM8">
        <v>87</v>
      </c>
      <c r="DN8">
        <v>88</v>
      </c>
      <c r="DO8">
        <v>89</v>
      </c>
      <c r="DP8">
        <v>90</v>
      </c>
      <c r="DQ8">
        <v>91</v>
      </c>
      <c r="DR8">
        <v>92</v>
      </c>
      <c r="DS8">
        <v>93</v>
      </c>
      <c r="DT8">
        <v>94</v>
      </c>
      <c r="DU8">
        <v>95</v>
      </c>
      <c r="DV8">
        <v>96</v>
      </c>
      <c r="DW8">
        <v>97</v>
      </c>
      <c r="DX8">
        <v>98</v>
      </c>
      <c r="DY8">
        <v>99</v>
      </c>
      <c r="DZ8">
        <v>100</v>
      </c>
      <c r="EA8">
        <v>101</v>
      </c>
      <c r="EB8">
        <v>102</v>
      </c>
      <c r="EC8">
        <v>103</v>
      </c>
      <c r="ED8">
        <v>104</v>
      </c>
      <c r="EE8">
        <v>105</v>
      </c>
      <c r="EF8">
        <v>106</v>
      </c>
      <c r="EG8">
        <v>107</v>
      </c>
      <c r="EH8">
        <v>108</v>
      </c>
      <c r="EI8">
        <v>109</v>
      </c>
      <c r="EJ8">
        <v>110</v>
      </c>
      <c r="EK8">
        <v>111</v>
      </c>
      <c r="EL8">
        <v>112</v>
      </c>
      <c r="EM8">
        <v>113</v>
      </c>
      <c r="EN8">
        <v>114</v>
      </c>
      <c r="EO8">
        <v>115</v>
      </c>
      <c r="EP8">
        <v>116</v>
      </c>
      <c r="EQ8">
        <v>117</v>
      </c>
      <c r="ER8">
        <v>118</v>
      </c>
      <c r="ES8">
        <v>119</v>
      </c>
      <c r="ET8">
        <v>120</v>
      </c>
      <c r="EU8">
        <v>121</v>
      </c>
      <c r="EV8">
        <v>122</v>
      </c>
      <c r="EW8">
        <v>123</v>
      </c>
      <c r="EX8">
        <v>124</v>
      </c>
      <c r="EY8">
        <v>125</v>
      </c>
      <c r="EZ8">
        <v>126</v>
      </c>
      <c r="FA8">
        <v>127</v>
      </c>
      <c r="FB8">
        <v>128</v>
      </c>
      <c r="FC8">
        <v>129</v>
      </c>
      <c r="FD8">
        <v>130</v>
      </c>
      <c r="FE8">
        <v>131</v>
      </c>
      <c r="FF8">
        <v>132</v>
      </c>
      <c r="FG8">
        <v>133</v>
      </c>
      <c r="FH8">
        <v>134</v>
      </c>
      <c r="FI8">
        <v>135</v>
      </c>
      <c r="FJ8">
        <v>136</v>
      </c>
      <c r="FK8">
        <v>137</v>
      </c>
      <c r="FL8">
        <v>138</v>
      </c>
      <c r="FM8">
        <v>139</v>
      </c>
      <c r="FN8">
        <v>140</v>
      </c>
      <c r="FO8">
        <v>141</v>
      </c>
      <c r="FP8">
        <v>142</v>
      </c>
      <c r="FQ8">
        <v>143</v>
      </c>
      <c r="FR8">
        <v>144</v>
      </c>
      <c r="FS8">
        <v>145</v>
      </c>
      <c r="FT8">
        <v>146</v>
      </c>
      <c r="FU8">
        <v>147</v>
      </c>
      <c r="FV8">
        <v>148</v>
      </c>
      <c r="FW8">
        <v>149</v>
      </c>
      <c r="FX8">
        <v>150</v>
      </c>
      <c r="FY8">
        <v>151</v>
      </c>
      <c r="FZ8">
        <v>152</v>
      </c>
      <c r="GA8">
        <v>153</v>
      </c>
      <c r="GB8">
        <v>154</v>
      </c>
      <c r="GC8">
        <v>155</v>
      </c>
      <c r="GD8">
        <v>156</v>
      </c>
      <c r="GE8">
        <v>157</v>
      </c>
      <c r="GF8">
        <v>158</v>
      </c>
      <c r="GG8">
        <v>159</v>
      </c>
      <c r="GH8">
        <v>160</v>
      </c>
      <c r="GI8">
        <v>161</v>
      </c>
      <c r="GJ8">
        <v>162</v>
      </c>
      <c r="GK8">
        <v>163</v>
      </c>
      <c r="GL8">
        <v>164</v>
      </c>
      <c r="GM8">
        <v>165</v>
      </c>
      <c r="GN8">
        <v>166</v>
      </c>
      <c r="GO8">
        <v>167</v>
      </c>
      <c r="GP8">
        <v>168</v>
      </c>
      <c r="GQ8">
        <v>169</v>
      </c>
      <c r="GR8">
        <v>170</v>
      </c>
      <c r="GS8">
        <v>171</v>
      </c>
      <c r="GT8">
        <v>172</v>
      </c>
      <c r="GU8">
        <v>173</v>
      </c>
      <c r="GV8">
        <v>174</v>
      </c>
      <c r="GW8">
        <v>175</v>
      </c>
      <c r="GX8">
        <v>176</v>
      </c>
      <c r="GY8">
        <v>177</v>
      </c>
      <c r="GZ8">
        <v>178</v>
      </c>
      <c r="HA8">
        <v>179</v>
      </c>
      <c r="HB8">
        <v>180</v>
      </c>
      <c r="HC8">
        <v>181</v>
      </c>
      <c r="HD8">
        <v>182</v>
      </c>
      <c r="HE8">
        <v>183</v>
      </c>
      <c r="HF8">
        <v>184</v>
      </c>
      <c r="HG8">
        <v>185</v>
      </c>
      <c r="HH8">
        <v>186</v>
      </c>
      <c r="HI8">
        <v>187</v>
      </c>
      <c r="HJ8">
        <v>188</v>
      </c>
      <c r="HK8">
        <v>189</v>
      </c>
      <c r="HL8">
        <v>190</v>
      </c>
      <c r="HM8">
        <v>191</v>
      </c>
      <c r="HN8">
        <v>192</v>
      </c>
      <c r="HO8">
        <v>193</v>
      </c>
      <c r="HP8">
        <v>194</v>
      </c>
      <c r="HQ8">
        <v>195</v>
      </c>
      <c r="HR8">
        <v>196</v>
      </c>
      <c r="HS8">
        <v>197</v>
      </c>
      <c r="HT8">
        <v>198</v>
      </c>
      <c r="HU8">
        <v>199</v>
      </c>
      <c r="HV8">
        <v>200</v>
      </c>
      <c r="HW8">
        <v>201</v>
      </c>
      <c r="HX8">
        <v>202</v>
      </c>
      <c r="HY8">
        <v>203</v>
      </c>
      <c r="HZ8">
        <v>204</v>
      </c>
      <c r="IA8">
        <v>205</v>
      </c>
      <c r="IB8">
        <v>206</v>
      </c>
      <c r="IC8">
        <v>207</v>
      </c>
      <c r="ID8">
        <v>208</v>
      </c>
      <c r="IE8">
        <v>209</v>
      </c>
      <c r="IF8">
        <v>210</v>
      </c>
      <c r="IG8">
        <v>211</v>
      </c>
      <c r="IH8">
        <v>212</v>
      </c>
      <c r="II8">
        <v>213</v>
      </c>
      <c r="IJ8">
        <v>214</v>
      </c>
      <c r="IK8">
        <v>215</v>
      </c>
      <c r="IL8">
        <v>216</v>
      </c>
      <c r="IM8">
        <v>217</v>
      </c>
      <c r="IN8">
        <v>218</v>
      </c>
      <c r="IO8">
        <v>219</v>
      </c>
      <c r="IP8">
        <v>220</v>
      </c>
      <c r="IQ8">
        <v>221</v>
      </c>
      <c r="IR8">
        <v>222</v>
      </c>
      <c r="IS8">
        <v>223</v>
      </c>
      <c r="IT8">
        <v>224</v>
      </c>
      <c r="IU8">
        <v>225</v>
      </c>
      <c r="IV8">
        <v>226</v>
      </c>
      <c r="IW8">
        <v>227</v>
      </c>
      <c r="IX8">
        <v>228</v>
      </c>
      <c r="IY8">
        <v>229</v>
      </c>
      <c r="IZ8">
        <v>230</v>
      </c>
      <c r="JA8">
        <v>231</v>
      </c>
      <c r="JB8">
        <v>232</v>
      </c>
      <c r="JC8">
        <v>233</v>
      </c>
      <c r="JD8">
        <v>234</v>
      </c>
      <c r="JE8">
        <v>235</v>
      </c>
      <c r="JF8">
        <v>236</v>
      </c>
      <c r="JG8">
        <v>237</v>
      </c>
      <c r="JH8">
        <v>238</v>
      </c>
      <c r="JI8">
        <v>239</v>
      </c>
      <c r="JJ8">
        <v>240</v>
      </c>
      <c r="JK8">
        <v>241</v>
      </c>
      <c r="JL8">
        <v>242</v>
      </c>
      <c r="JM8">
        <v>243</v>
      </c>
      <c r="JN8">
        <v>244</v>
      </c>
      <c r="JO8">
        <v>245</v>
      </c>
      <c r="JP8">
        <v>246</v>
      </c>
      <c r="JQ8">
        <v>247</v>
      </c>
      <c r="JR8">
        <v>248</v>
      </c>
      <c r="JS8">
        <v>249</v>
      </c>
      <c r="JT8">
        <v>250</v>
      </c>
    </row>
    <row r="9" spans="1:280">
      <c r="A9" s="156">
        <v>132</v>
      </c>
      <c r="B9" s="157" t="s">
        <v>6179</v>
      </c>
      <c r="C9" s="157" t="s">
        <v>6203</v>
      </c>
      <c r="D9" s="157">
        <v>550</v>
      </c>
      <c r="E9" s="157">
        <v>599</v>
      </c>
      <c r="F9" s="360">
        <v>1.72</v>
      </c>
      <c r="J9" s="131" t="s">
        <v>21</v>
      </c>
      <c r="K9" s="131" t="s">
        <v>308</v>
      </c>
      <c r="L9" s="131" t="s">
        <v>6204</v>
      </c>
      <c r="M9" s="131">
        <v>3</v>
      </c>
      <c r="N9" s="131"/>
      <c r="O9" s="131">
        <v>140</v>
      </c>
      <c r="P9" s="116" t="s">
        <v>90</v>
      </c>
      <c r="Q9" s="116">
        <v>5</v>
      </c>
      <c r="R9" s="116">
        <v>256</v>
      </c>
      <c r="Z9" t="s">
        <v>6170</v>
      </c>
      <c r="AA9">
        <v>8</v>
      </c>
      <c r="AB9">
        <v>8</v>
      </c>
      <c r="AG9" t="str">
        <v>Tri-Dek 2-Ply 15/40 Media Pad</v>
      </c>
      <c r="AH9" cm="1">
        <f t="array" ref="AH9:JT9">_xlfn.TOROW(_xlfn.UNIQUE(_xlfn._xlws.FILTER(Width[Level2],Width[Level1]=AG9,"")))</f>
        <v>4</v>
      </c>
      <c r="AI9">
        <v>5</v>
      </c>
      <c r="AJ9">
        <v>6</v>
      </c>
      <c r="AK9">
        <v>7</v>
      </c>
      <c r="AL9">
        <v>8</v>
      </c>
      <c r="AM9">
        <v>9</v>
      </c>
      <c r="AN9">
        <v>10</v>
      </c>
      <c r="AO9">
        <v>11</v>
      </c>
      <c r="AP9">
        <v>12</v>
      </c>
      <c r="AQ9">
        <v>13</v>
      </c>
      <c r="AR9">
        <v>14</v>
      </c>
      <c r="AS9">
        <v>15</v>
      </c>
      <c r="AT9">
        <v>16</v>
      </c>
      <c r="AU9">
        <v>17</v>
      </c>
      <c r="AV9">
        <v>18</v>
      </c>
      <c r="AW9">
        <v>19</v>
      </c>
      <c r="AX9">
        <v>20</v>
      </c>
      <c r="AY9">
        <v>21</v>
      </c>
      <c r="AZ9">
        <v>22</v>
      </c>
      <c r="BA9">
        <v>23</v>
      </c>
      <c r="BB9">
        <v>24</v>
      </c>
      <c r="BC9">
        <v>25</v>
      </c>
      <c r="BD9">
        <v>26</v>
      </c>
      <c r="BE9">
        <v>27</v>
      </c>
      <c r="BF9">
        <v>28</v>
      </c>
      <c r="BG9">
        <v>29</v>
      </c>
      <c r="BH9">
        <v>30</v>
      </c>
      <c r="BI9">
        <v>31</v>
      </c>
      <c r="BJ9">
        <v>32</v>
      </c>
      <c r="BK9">
        <v>33</v>
      </c>
      <c r="BL9">
        <v>34</v>
      </c>
      <c r="BM9">
        <v>35</v>
      </c>
      <c r="BN9">
        <v>36</v>
      </c>
      <c r="BO9">
        <v>37</v>
      </c>
      <c r="BP9">
        <v>38</v>
      </c>
      <c r="BQ9">
        <v>39</v>
      </c>
      <c r="BR9">
        <v>40</v>
      </c>
      <c r="BS9">
        <v>41</v>
      </c>
      <c r="BT9">
        <v>42</v>
      </c>
      <c r="BU9">
        <v>43</v>
      </c>
      <c r="BV9">
        <v>44</v>
      </c>
      <c r="BW9">
        <v>45</v>
      </c>
      <c r="BX9">
        <v>46</v>
      </c>
      <c r="BY9">
        <v>47</v>
      </c>
      <c r="BZ9">
        <v>48</v>
      </c>
      <c r="CA9">
        <v>49</v>
      </c>
      <c r="CB9">
        <v>50</v>
      </c>
      <c r="CC9">
        <v>51</v>
      </c>
      <c r="CD9">
        <v>52</v>
      </c>
      <c r="CE9">
        <v>53</v>
      </c>
      <c r="CF9">
        <v>54</v>
      </c>
      <c r="CG9">
        <v>55</v>
      </c>
      <c r="CH9">
        <v>56</v>
      </c>
      <c r="CI9">
        <v>57</v>
      </c>
      <c r="CJ9">
        <v>58</v>
      </c>
      <c r="CK9">
        <v>59</v>
      </c>
      <c r="CL9">
        <v>60</v>
      </c>
      <c r="CM9">
        <v>61</v>
      </c>
      <c r="CN9">
        <v>62</v>
      </c>
      <c r="CO9">
        <v>63</v>
      </c>
      <c r="CP9">
        <v>64</v>
      </c>
      <c r="CQ9">
        <v>65</v>
      </c>
      <c r="CR9">
        <v>66</v>
      </c>
      <c r="CS9">
        <v>67</v>
      </c>
      <c r="CT9">
        <v>68</v>
      </c>
      <c r="CU9">
        <v>69</v>
      </c>
      <c r="CV9">
        <v>70</v>
      </c>
      <c r="CW9">
        <v>71</v>
      </c>
      <c r="CX9">
        <v>72</v>
      </c>
      <c r="CY9">
        <v>73</v>
      </c>
      <c r="CZ9">
        <v>74</v>
      </c>
      <c r="DA9">
        <v>75</v>
      </c>
      <c r="DB9">
        <v>76</v>
      </c>
      <c r="DC9">
        <v>77</v>
      </c>
      <c r="DD9">
        <v>78</v>
      </c>
      <c r="DE9">
        <v>79</v>
      </c>
      <c r="DF9">
        <v>80</v>
      </c>
      <c r="DG9">
        <v>81</v>
      </c>
      <c r="DH9">
        <v>82</v>
      </c>
      <c r="DI9">
        <v>83</v>
      </c>
      <c r="DJ9">
        <v>84</v>
      </c>
      <c r="DK9">
        <v>85</v>
      </c>
      <c r="DL9">
        <v>86</v>
      </c>
      <c r="DM9">
        <v>87</v>
      </c>
      <c r="DN9">
        <v>88</v>
      </c>
      <c r="DO9">
        <v>89</v>
      </c>
      <c r="DP9">
        <v>90</v>
      </c>
      <c r="DQ9">
        <v>91</v>
      </c>
      <c r="DR9">
        <v>92</v>
      </c>
      <c r="DS9">
        <v>93</v>
      </c>
      <c r="DT9">
        <v>94</v>
      </c>
      <c r="DU9">
        <v>95</v>
      </c>
      <c r="DV9">
        <v>96</v>
      </c>
      <c r="DW9">
        <v>97</v>
      </c>
      <c r="DX9">
        <v>98</v>
      </c>
      <c r="DY9">
        <v>99</v>
      </c>
      <c r="DZ9">
        <v>100</v>
      </c>
      <c r="EA9">
        <v>101</v>
      </c>
      <c r="EB9">
        <v>102</v>
      </c>
      <c r="EC9">
        <v>103</v>
      </c>
      <c r="ED9">
        <v>104</v>
      </c>
      <c r="EE9">
        <v>105</v>
      </c>
      <c r="EF9">
        <v>106</v>
      </c>
      <c r="EG9">
        <v>107</v>
      </c>
      <c r="EH9">
        <v>108</v>
      </c>
      <c r="EI9">
        <v>109</v>
      </c>
      <c r="EJ9">
        <v>110</v>
      </c>
      <c r="EK9">
        <v>111</v>
      </c>
      <c r="EL9">
        <v>112</v>
      </c>
      <c r="EM9">
        <v>113</v>
      </c>
      <c r="EN9">
        <v>114</v>
      </c>
      <c r="EO9">
        <v>115</v>
      </c>
      <c r="EP9">
        <v>116</v>
      </c>
      <c r="EQ9">
        <v>117</v>
      </c>
      <c r="ER9">
        <v>118</v>
      </c>
      <c r="ES9">
        <v>119</v>
      </c>
      <c r="ET9">
        <v>120</v>
      </c>
      <c r="EU9">
        <v>121</v>
      </c>
      <c r="EV9">
        <v>122</v>
      </c>
      <c r="EW9">
        <v>123</v>
      </c>
      <c r="EX9">
        <v>124</v>
      </c>
      <c r="EY9">
        <v>125</v>
      </c>
      <c r="EZ9">
        <v>126</v>
      </c>
      <c r="FA9">
        <v>127</v>
      </c>
      <c r="FB9">
        <v>128</v>
      </c>
      <c r="FC9">
        <v>129</v>
      </c>
      <c r="FD9">
        <v>130</v>
      </c>
      <c r="FE9">
        <v>131</v>
      </c>
      <c r="FF9">
        <v>132</v>
      </c>
      <c r="FG9">
        <v>133</v>
      </c>
      <c r="FH9">
        <v>134</v>
      </c>
      <c r="FI9">
        <v>135</v>
      </c>
      <c r="FJ9">
        <v>136</v>
      </c>
      <c r="FK9">
        <v>137</v>
      </c>
      <c r="FL9">
        <v>138</v>
      </c>
      <c r="FM9">
        <v>139</v>
      </c>
      <c r="FN9">
        <v>140</v>
      </c>
      <c r="FO9">
        <v>141</v>
      </c>
      <c r="FP9">
        <v>142</v>
      </c>
      <c r="FQ9">
        <v>143</v>
      </c>
      <c r="FR9">
        <v>144</v>
      </c>
      <c r="FS9">
        <v>145</v>
      </c>
      <c r="FT9">
        <v>146</v>
      </c>
      <c r="FU9">
        <v>147</v>
      </c>
      <c r="FV9">
        <v>148</v>
      </c>
      <c r="FW9">
        <v>149</v>
      </c>
      <c r="FX9">
        <v>150</v>
      </c>
      <c r="FY9">
        <v>151</v>
      </c>
      <c r="FZ9">
        <v>152</v>
      </c>
      <c r="GA9">
        <v>153</v>
      </c>
      <c r="GB9">
        <v>154</v>
      </c>
      <c r="GC9">
        <v>155</v>
      </c>
      <c r="GD9">
        <v>156</v>
      </c>
      <c r="GE9">
        <v>157</v>
      </c>
      <c r="GF9">
        <v>158</v>
      </c>
      <c r="GG9">
        <v>159</v>
      </c>
      <c r="GH9">
        <v>160</v>
      </c>
      <c r="GI9">
        <v>161</v>
      </c>
      <c r="GJ9">
        <v>162</v>
      </c>
      <c r="GK9">
        <v>163</v>
      </c>
      <c r="GL9">
        <v>164</v>
      </c>
      <c r="GM9">
        <v>165</v>
      </c>
      <c r="GN9">
        <v>166</v>
      </c>
      <c r="GO9">
        <v>167</v>
      </c>
      <c r="GP9">
        <v>168</v>
      </c>
      <c r="GQ9">
        <v>169</v>
      </c>
      <c r="GR9">
        <v>170</v>
      </c>
      <c r="GS9">
        <v>171</v>
      </c>
      <c r="GT9">
        <v>172</v>
      </c>
      <c r="GU9">
        <v>173</v>
      </c>
      <c r="GV9">
        <v>174</v>
      </c>
      <c r="GW9">
        <v>175</v>
      </c>
      <c r="GX9">
        <v>176</v>
      </c>
      <c r="GY9">
        <v>177</v>
      </c>
      <c r="GZ9">
        <v>178</v>
      </c>
      <c r="HA9">
        <v>179</v>
      </c>
      <c r="HB9">
        <v>180</v>
      </c>
      <c r="HC9">
        <v>181</v>
      </c>
      <c r="HD9">
        <v>182</v>
      </c>
      <c r="HE9">
        <v>183</v>
      </c>
      <c r="HF9">
        <v>184</v>
      </c>
      <c r="HG9">
        <v>185</v>
      </c>
      <c r="HH9">
        <v>186</v>
      </c>
      <c r="HI9">
        <v>187</v>
      </c>
      <c r="HJ9">
        <v>188</v>
      </c>
      <c r="HK9">
        <v>189</v>
      </c>
      <c r="HL9">
        <v>190</v>
      </c>
      <c r="HM9">
        <v>191</v>
      </c>
      <c r="HN9">
        <v>192</v>
      </c>
      <c r="HO9">
        <v>193</v>
      </c>
      <c r="HP9">
        <v>194</v>
      </c>
      <c r="HQ9">
        <v>195</v>
      </c>
      <c r="HR9">
        <v>196</v>
      </c>
      <c r="HS9">
        <v>197</v>
      </c>
      <c r="HT9">
        <v>198</v>
      </c>
      <c r="HU9">
        <v>199</v>
      </c>
      <c r="HV9">
        <v>200</v>
      </c>
      <c r="HW9">
        <v>201</v>
      </c>
      <c r="HX9">
        <v>202</v>
      </c>
      <c r="HY9">
        <v>203</v>
      </c>
      <c r="HZ9">
        <v>204</v>
      </c>
      <c r="IA9">
        <v>205</v>
      </c>
      <c r="IB9">
        <v>206</v>
      </c>
      <c r="IC9">
        <v>207</v>
      </c>
      <c r="ID9">
        <v>208</v>
      </c>
      <c r="IE9">
        <v>209</v>
      </c>
      <c r="IF9">
        <v>210</v>
      </c>
      <c r="IG9">
        <v>211</v>
      </c>
      <c r="IH9">
        <v>212</v>
      </c>
      <c r="II9">
        <v>213</v>
      </c>
      <c r="IJ9">
        <v>214</v>
      </c>
      <c r="IK9">
        <v>215</v>
      </c>
      <c r="IL9">
        <v>216</v>
      </c>
      <c r="IM9">
        <v>217</v>
      </c>
      <c r="IN9">
        <v>218</v>
      </c>
      <c r="IO9">
        <v>219</v>
      </c>
      <c r="IP9">
        <v>220</v>
      </c>
      <c r="IQ9">
        <v>221</v>
      </c>
      <c r="IR9">
        <v>222</v>
      </c>
      <c r="IS9">
        <v>223</v>
      </c>
      <c r="IT9">
        <v>224</v>
      </c>
      <c r="IU9">
        <v>225</v>
      </c>
      <c r="IV9">
        <v>226</v>
      </c>
      <c r="IW9">
        <v>227</v>
      </c>
      <c r="IX9">
        <v>228</v>
      </c>
      <c r="IY9">
        <v>229</v>
      </c>
      <c r="IZ9">
        <v>230</v>
      </c>
      <c r="JA9">
        <v>231</v>
      </c>
      <c r="JB9">
        <v>232</v>
      </c>
      <c r="JC9">
        <v>233</v>
      </c>
      <c r="JD9">
        <v>234</v>
      </c>
      <c r="JE9">
        <v>235</v>
      </c>
      <c r="JF9">
        <v>236</v>
      </c>
      <c r="JG9">
        <v>237</v>
      </c>
      <c r="JH9">
        <v>238</v>
      </c>
      <c r="JI9">
        <v>239</v>
      </c>
      <c r="JJ9">
        <v>240</v>
      </c>
      <c r="JK9">
        <v>241</v>
      </c>
      <c r="JL9">
        <v>242</v>
      </c>
      <c r="JM9">
        <v>243</v>
      </c>
      <c r="JN9">
        <v>244</v>
      </c>
      <c r="JO9">
        <v>245</v>
      </c>
      <c r="JP9">
        <v>246</v>
      </c>
      <c r="JQ9">
        <v>247</v>
      </c>
      <c r="JR9">
        <v>248</v>
      </c>
      <c r="JS9">
        <v>249</v>
      </c>
      <c r="JT9">
        <v>250</v>
      </c>
    </row>
    <row r="10" spans="1:280">
      <c r="A10" s="156">
        <v>132</v>
      </c>
      <c r="B10" s="157" t="s">
        <v>6179</v>
      </c>
      <c r="C10" s="157" t="s">
        <v>6205</v>
      </c>
      <c r="D10" s="157">
        <v>600</v>
      </c>
      <c r="E10" s="157">
        <v>649</v>
      </c>
      <c r="F10" s="360">
        <v>1.82</v>
      </c>
      <c r="J10" s="131" t="s">
        <v>21</v>
      </c>
      <c r="K10" s="131" t="s">
        <v>308</v>
      </c>
      <c r="L10" s="131" t="s">
        <v>6206</v>
      </c>
      <c r="M10" s="131">
        <v>4</v>
      </c>
      <c r="N10" s="131"/>
      <c r="O10" s="131">
        <v>143</v>
      </c>
      <c r="P10" s="116" t="s">
        <v>90</v>
      </c>
      <c r="Q10" s="116">
        <v>5</v>
      </c>
      <c r="R10" s="116">
        <v>256</v>
      </c>
      <c r="Z10" t="s">
        <v>6170</v>
      </c>
      <c r="AA10">
        <v>9</v>
      </c>
      <c r="AB10">
        <v>9</v>
      </c>
      <c r="AG10" t="str">
        <v>Tri-Dek 3-Ply 6/15/40 Media Pad</v>
      </c>
      <c r="AH10" cm="1">
        <f t="array" ref="AH10:JT10">_xlfn.TOROW(_xlfn.UNIQUE(_xlfn._xlws.FILTER(Width[Level2],Width[Level1]=AG10,"")))</f>
        <v>4</v>
      </c>
      <c r="AI10">
        <v>5</v>
      </c>
      <c r="AJ10">
        <v>6</v>
      </c>
      <c r="AK10">
        <v>7</v>
      </c>
      <c r="AL10">
        <v>8</v>
      </c>
      <c r="AM10">
        <v>9</v>
      </c>
      <c r="AN10">
        <v>10</v>
      </c>
      <c r="AO10">
        <v>11</v>
      </c>
      <c r="AP10">
        <v>12</v>
      </c>
      <c r="AQ10">
        <v>13</v>
      </c>
      <c r="AR10">
        <v>14</v>
      </c>
      <c r="AS10">
        <v>15</v>
      </c>
      <c r="AT10">
        <v>16</v>
      </c>
      <c r="AU10">
        <v>17</v>
      </c>
      <c r="AV10">
        <v>18</v>
      </c>
      <c r="AW10">
        <v>19</v>
      </c>
      <c r="AX10">
        <v>20</v>
      </c>
      <c r="AY10">
        <v>21</v>
      </c>
      <c r="AZ10">
        <v>22</v>
      </c>
      <c r="BA10">
        <v>23</v>
      </c>
      <c r="BB10">
        <v>24</v>
      </c>
      <c r="BC10">
        <v>25</v>
      </c>
      <c r="BD10">
        <v>26</v>
      </c>
      <c r="BE10">
        <v>27</v>
      </c>
      <c r="BF10">
        <v>28</v>
      </c>
      <c r="BG10">
        <v>29</v>
      </c>
      <c r="BH10">
        <v>30</v>
      </c>
      <c r="BI10">
        <v>31</v>
      </c>
      <c r="BJ10">
        <v>32</v>
      </c>
      <c r="BK10">
        <v>33</v>
      </c>
      <c r="BL10">
        <v>34</v>
      </c>
      <c r="BM10">
        <v>35</v>
      </c>
      <c r="BN10">
        <v>36</v>
      </c>
      <c r="BO10">
        <v>37</v>
      </c>
      <c r="BP10">
        <v>38</v>
      </c>
      <c r="BQ10">
        <v>39</v>
      </c>
      <c r="BR10">
        <v>40</v>
      </c>
      <c r="BS10">
        <v>41</v>
      </c>
      <c r="BT10">
        <v>42</v>
      </c>
      <c r="BU10">
        <v>43</v>
      </c>
      <c r="BV10">
        <v>44</v>
      </c>
      <c r="BW10">
        <v>45</v>
      </c>
      <c r="BX10">
        <v>46</v>
      </c>
      <c r="BY10">
        <v>47</v>
      </c>
      <c r="BZ10">
        <v>48</v>
      </c>
      <c r="CA10">
        <v>49</v>
      </c>
      <c r="CB10">
        <v>50</v>
      </c>
      <c r="CC10">
        <v>51</v>
      </c>
      <c r="CD10">
        <v>52</v>
      </c>
      <c r="CE10">
        <v>53</v>
      </c>
      <c r="CF10">
        <v>54</v>
      </c>
      <c r="CG10">
        <v>55</v>
      </c>
      <c r="CH10">
        <v>56</v>
      </c>
      <c r="CI10">
        <v>57</v>
      </c>
      <c r="CJ10">
        <v>58</v>
      </c>
      <c r="CK10">
        <v>59</v>
      </c>
      <c r="CL10">
        <v>60</v>
      </c>
      <c r="CM10">
        <v>61</v>
      </c>
      <c r="CN10">
        <v>62</v>
      </c>
      <c r="CO10">
        <v>63</v>
      </c>
      <c r="CP10">
        <v>64</v>
      </c>
      <c r="CQ10">
        <v>65</v>
      </c>
      <c r="CR10">
        <v>66</v>
      </c>
      <c r="CS10">
        <v>67</v>
      </c>
      <c r="CT10">
        <v>68</v>
      </c>
      <c r="CU10">
        <v>69</v>
      </c>
      <c r="CV10">
        <v>70</v>
      </c>
      <c r="CW10">
        <v>71</v>
      </c>
      <c r="CX10">
        <v>72</v>
      </c>
      <c r="CY10">
        <v>73</v>
      </c>
      <c r="CZ10">
        <v>74</v>
      </c>
      <c r="DA10">
        <v>75</v>
      </c>
      <c r="DB10">
        <v>76</v>
      </c>
      <c r="DC10">
        <v>77</v>
      </c>
      <c r="DD10">
        <v>78</v>
      </c>
      <c r="DE10">
        <v>79</v>
      </c>
      <c r="DF10">
        <v>80</v>
      </c>
      <c r="DG10">
        <v>81</v>
      </c>
      <c r="DH10">
        <v>82</v>
      </c>
      <c r="DI10">
        <v>83</v>
      </c>
      <c r="DJ10">
        <v>84</v>
      </c>
      <c r="DK10">
        <v>85</v>
      </c>
      <c r="DL10">
        <v>86</v>
      </c>
      <c r="DM10">
        <v>87</v>
      </c>
      <c r="DN10">
        <v>88</v>
      </c>
      <c r="DO10">
        <v>89</v>
      </c>
      <c r="DP10">
        <v>90</v>
      </c>
      <c r="DQ10">
        <v>91</v>
      </c>
      <c r="DR10">
        <v>92</v>
      </c>
      <c r="DS10">
        <v>93</v>
      </c>
      <c r="DT10">
        <v>94</v>
      </c>
      <c r="DU10">
        <v>95</v>
      </c>
      <c r="DV10">
        <v>96</v>
      </c>
      <c r="DW10">
        <v>97</v>
      </c>
      <c r="DX10">
        <v>98</v>
      </c>
      <c r="DY10">
        <v>99</v>
      </c>
      <c r="DZ10">
        <v>100</v>
      </c>
      <c r="EA10">
        <v>101</v>
      </c>
      <c r="EB10">
        <v>102</v>
      </c>
      <c r="EC10">
        <v>103</v>
      </c>
      <c r="ED10">
        <v>104</v>
      </c>
      <c r="EE10">
        <v>105</v>
      </c>
      <c r="EF10">
        <v>106</v>
      </c>
      <c r="EG10">
        <v>107</v>
      </c>
      <c r="EH10">
        <v>108</v>
      </c>
      <c r="EI10">
        <v>109</v>
      </c>
      <c r="EJ10">
        <v>110</v>
      </c>
      <c r="EK10">
        <v>111</v>
      </c>
      <c r="EL10">
        <v>112</v>
      </c>
      <c r="EM10">
        <v>113</v>
      </c>
      <c r="EN10">
        <v>114</v>
      </c>
      <c r="EO10">
        <v>115</v>
      </c>
      <c r="EP10">
        <v>116</v>
      </c>
      <c r="EQ10">
        <v>117</v>
      </c>
      <c r="ER10">
        <v>118</v>
      </c>
      <c r="ES10">
        <v>119</v>
      </c>
      <c r="ET10">
        <v>120</v>
      </c>
      <c r="EU10">
        <v>121</v>
      </c>
      <c r="EV10">
        <v>122</v>
      </c>
      <c r="EW10">
        <v>123</v>
      </c>
      <c r="EX10">
        <v>124</v>
      </c>
      <c r="EY10">
        <v>125</v>
      </c>
      <c r="EZ10">
        <v>126</v>
      </c>
      <c r="FA10">
        <v>127</v>
      </c>
      <c r="FB10">
        <v>128</v>
      </c>
      <c r="FC10">
        <v>129</v>
      </c>
      <c r="FD10">
        <v>130</v>
      </c>
      <c r="FE10">
        <v>131</v>
      </c>
      <c r="FF10">
        <v>132</v>
      </c>
      <c r="FG10">
        <v>133</v>
      </c>
      <c r="FH10">
        <v>134</v>
      </c>
      <c r="FI10">
        <v>135</v>
      </c>
      <c r="FJ10">
        <v>136</v>
      </c>
      <c r="FK10">
        <v>137</v>
      </c>
      <c r="FL10">
        <v>138</v>
      </c>
      <c r="FM10">
        <v>139</v>
      </c>
      <c r="FN10">
        <v>140</v>
      </c>
      <c r="FO10">
        <v>141</v>
      </c>
      <c r="FP10">
        <v>142</v>
      </c>
      <c r="FQ10">
        <v>143</v>
      </c>
      <c r="FR10">
        <v>144</v>
      </c>
      <c r="FS10">
        <v>145</v>
      </c>
      <c r="FT10">
        <v>146</v>
      </c>
      <c r="FU10">
        <v>147</v>
      </c>
      <c r="FV10">
        <v>148</v>
      </c>
      <c r="FW10">
        <v>149</v>
      </c>
      <c r="FX10">
        <v>150</v>
      </c>
      <c r="FY10">
        <v>151</v>
      </c>
      <c r="FZ10">
        <v>152</v>
      </c>
      <c r="GA10">
        <v>153</v>
      </c>
      <c r="GB10">
        <v>154</v>
      </c>
      <c r="GC10">
        <v>155</v>
      </c>
      <c r="GD10">
        <v>156</v>
      </c>
      <c r="GE10">
        <v>157</v>
      </c>
      <c r="GF10">
        <v>158</v>
      </c>
      <c r="GG10">
        <v>159</v>
      </c>
      <c r="GH10">
        <v>160</v>
      </c>
      <c r="GI10">
        <v>161</v>
      </c>
      <c r="GJ10">
        <v>162</v>
      </c>
      <c r="GK10">
        <v>163</v>
      </c>
      <c r="GL10">
        <v>164</v>
      </c>
      <c r="GM10">
        <v>165</v>
      </c>
      <c r="GN10">
        <v>166</v>
      </c>
      <c r="GO10">
        <v>167</v>
      </c>
      <c r="GP10">
        <v>168</v>
      </c>
      <c r="GQ10">
        <v>169</v>
      </c>
      <c r="GR10">
        <v>170</v>
      </c>
      <c r="GS10">
        <v>171</v>
      </c>
      <c r="GT10">
        <v>172</v>
      </c>
      <c r="GU10">
        <v>173</v>
      </c>
      <c r="GV10">
        <v>174</v>
      </c>
      <c r="GW10">
        <v>175</v>
      </c>
      <c r="GX10">
        <v>176</v>
      </c>
      <c r="GY10">
        <v>177</v>
      </c>
      <c r="GZ10">
        <v>178</v>
      </c>
      <c r="HA10">
        <v>179</v>
      </c>
      <c r="HB10">
        <v>180</v>
      </c>
      <c r="HC10">
        <v>181</v>
      </c>
      <c r="HD10">
        <v>182</v>
      </c>
      <c r="HE10">
        <v>183</v>
      </c>
      <c r="HF10">
        <v>184</v>
      </c>
      <c r="HG10">
        <v>185</v>
      </c>
      <c r="HH10">
        <v>186</v>
      </c>
      <c r="HI10">
        <v>187</v>
      </c>
      <c r="HJ10">
        <v>188</v>
      </c>
      <c r="HK10">
        <v>189</v>
      </c>
      <c r="HL10">
        <v>190</v>
      </c>
      <c r="HM10">
        <v>191</v>
      </c>
      <c r="HN10">
        <v>192</v>
      </c>
      <c r="HO10">
        <v>193</v>
      </c>
      <c r="HP10">
        <v>194</v>
      </c>
      <c r="HQ10">
        <v>195</v>
      </c>
      <c r="HR10">
        <v>196</v>
      </c>
      <c r="HS10">
        <v>197</v>
      </c>
      <c r="HT10">
        <v>198</v>
      </c>
      <c r="HU10">
        <v>199</v>
      </c>
      <c r="HV10">
        <v>200</v>
      </c>
      <c r="HW10">
        <v>201</v>
      </c>
      <c r="HX10">
        <v>202</v>
      </c>
      <c r="HY10">
        <v>203</v>
      </c>
      <c r="HZ10">
        <v>204</v>
      </c>
      <c r="IA10">
        <v>205</v>
      </c>
      <c r="IB10">
        <v>206</v>
      </c>
      <c r="IC10">
        <v>207</v>
      </c>
      <c r="ID10">
        <v>208</v>
      </c>
      <c r="IE10">
        <v>209</v>
      </c>
      <c r="IF10">
        <v>210</v>
      </c>
      <c r="IG10">
        <v>211</v>
      </c>
      <c r="IH10">
        <v>212</v>
      </c>
      <c r="II10">
        <v>213</v>
      </c>
      <c r="IJ10">
        <v>214</v>
      </c>
      <c r="IK10">
        <v>215</v>
      </c>
      <c r="IL10">
        <v>216</v>
      </c>
      <c r="IM10">
        <v>217</v>
      </c>
      <c r="IN10">
        <v>218</v>
      </c>
      <c r="IO10">
        <v>219</v>
      </c>
      <c r="IP10">
        <v>220</v>
      </c>
      <c r="IQ10">
        <v>221</v>
      </c>
      <c r="IR10">
        <v>222</v>
      </c>
      <c r="IS10">
        <v>223</v>
      </c>
      <c r="IT10">
        <v>224</v>
      </c>
      <c r="IU10">
        <v>225</v>
      </c>
      <c r="IV10">
        <v>226</v>
      </c>
      <c r="IW10">
        <v>227</v>
      </c>
      <c r="IX10">
        <v>228</v>
      </c>
      <c r="IY10">
        <v>229</v>
      </c>
      <c r="IZ10">
        <v>230</v>
      </c>
      <c r="JA10">
        <v>231</v>
      </c>
      <c r="JB10">
        <v>232</v>
      </c>
      <c r="JC10">
        <v>233</v>
      </c>
      <c r="JD10">
        <v>234</v>
      </c>
      <c r="JE10">
        <v>235</v>
      </c>
      <c r="JF10">
        <v>236</v>
      </c>
      <c r="JG10">
        <v>237</v>
      </c>
      <c r="JH10">
        <v>238</v>
      </c>
      <c r="JI10">
        <v>239</v>
      </c>
      <c r="JJ10">
        <v>240</v>
      </c>
      <c r="JK10">
        <v>241</v>
      </c>
      <c r="JL10">
        <v>242</v>
      </c>
      <c r="JM10">
        <v>243</v>
      </c>
      <c r="JN10">
        <v>244</v>
      </c>
      <c r="JO10">
        <v>245</v>
      </c>
      <c r="JP10">
        <v>246</v>
      </c>
      <c r="JQ10">
        <v>247</v>
      </c>
      <c r="JR10">
        <v>248</v>
      </c>
      <c r="JS10">
        <v>249</v>
      </c>
      <c r="JT10">
        <v>250</v>
      </c>
    </row>
    <row r="11" spans="1:280">
      <c r="A11" s="156">
        <v>132</v>
      </c>
      <c r="B11" s="157" t="s">
        <v>6179</v>
      </c>
      <c r="C11" s="157" t="s">
        <v>6207</v>
      </c>
      <c r="D11" s="157">
        <v>650</v>
      </c>
      <c r="E11" s="157">
        <v>699</v>
      </c>
      <c r="F11" s="360">
        <v>1.92</v>
      </c>
      <c r="J11" s="131" t="s">
        <v>21</v>
      </c>
      <c r="K11" s="131" t="s">
        <v>6208</v>
      </c>
      <c r="L11" s="131" t="s">
        <v>6209</v>
      </c>
      <c r="M11" s="131"/>
      <c r="N11" s="131"/>
      <c r="O11" s="131">
        <v>170</v>
      </c>
      <c r="P11" s="116" t="s">
        <v>90</v>
      </c>
      <c r="Q11" s="116">
        <v>4</v>
      </c>
      <c r="R11" s="116">
        <v>100</v>
      </c>
      <c r="S11" t="s">
        <v>6210</v>
      </c>
      <c r="Z11" t="s">
        <v>6170</v>
      </c>
      <c r="AA11">
        <v>10</v>
      </c>
      <c r="AB11">
        <v>10</v>
      </c>
      <c r="AG11" t="str">
        <v>Tri-Dek 3-Ply 15/40+3 Media Pad</v>
      </c>
      <c r="AH11" cm="1">
        <f t="array" ref="AH11:JS11">_xlfn.TOROW(_xlfn.UNIQUE(_xlfn._xlws.FILTER(Width[Level2],Width[Level1]=AG11,"")))</f>
        <v>5</v>
      </c>
      <c r="AI11">
        <v>6</v>
      </c>
      <c r="AJ11">
        <v>7</v>
      </c>
      <c r="AK11">
        <v>8</v>
      </c>
      <c r="AL11">
        <v>9</v>
      </c>
      <c r="AM11">
        <v>10</v>
      </c>
      <c r="AN11">
        <v>11</v>
      </c>
      <c r="AO11">
        <v>12</v>
      </c>
      <c r="AP11">
        <v>13</v>
      </c>
      <c r="AQ11">
        <v>14</v>
      </c>
      <c r="AR11">
        <v>15</v>
      </c>
      <c r="AS11">
        <v>16</v>
      </c>
      <c r="AT11">
        <v>17</v>
      </c>
      <c r="AU11">
        <v>18</v>
      </c>
      <c r="AV11">
        <v>19</v>
      </c>
      <c r="AW11">
        <v>20</v>
      </c>
      <c r="AX11">
        <v>21</v>
      </c>
      <c r="AY11">
        <v>22</v>
      </c>
      <c r="AZ11">
        <v>23</v>
      </c>
      <c r="BA11">
        <v>24</v>
      </c>
      <c r="BB11">
        <v>25</v>
      </c>
      <c r="BC11">
        <v>26</v>
      </c>
      <c r="BD11">
        <v>27</v>
      </c>
      <c r="BE11">
        <v>28</v>
      </c>
      <c r="BF11">
        <v>29</v>
      </c>
      <c r="BG11">
        <v>30</v>
      </c>
      <c r="BH11">
        <v>31</v>
      </c>
      <c r="BI11">
        <v>32</v>
      </c>
      <c r="BJ11">
        <v>33</v>
      </c>
      <c r="BK11">
        <v>34</v>
      </c>
      <c r="BL11">
        <v>35</v>
      </c>
      <c r="BM11">
        <v>36</v>
      </c>
      <c r="BN11">
        <v>37</v>
      </c>
      <c r="BO11">
        <v>38</v>
      </c>
      <c r="BP11">
        <v>39</v>
      </c>
      <c r="BQ11">
        <v>40</v>
      </c>
      <c r="BR11">
        <v>41</v>
      </c>
      <c r="BS11">
        <v>42</v>
      </c>
      <c r="BT11">
        <v>43</v>
      </c>
      <c r="BU11">
        <v>44</v>
      </c>
      <c r="BV11">
        <v>45</v>
      </c>
      <c r="BW11">
        <v>46</v>
      </c>
      <c r="BX11">
        <v>47</v>
      </c>
      <c r="BY11">
        <v>48</v>
      </c>
      <c r="BZ11">
        <v>49</v>
      </c>
      <c r="CA11">
        <v>50</v>
      </c>
      <c r="CB11">
        <v>51</v>
      </c>
      <c r="CC11">
        <v>52</v>
      </c>
      <c r="CD11">
        <v>53</v>
      </c>
      <c r="CE11">
        <v>54</v>
      </c>
      <c r="CF11">
        <v>55</v>
      </c>
      <c r="CG11">
        <v>56</v>
      </c>
      <c r="CH11">
        <v>57</v>
      </c>
      <c r="CI11">
        <v>58</v>
      </c>
      <c r="CJ11">
        <v>59</v>
      </c>
      <c r="CK11">
        <v>60</v>
      </c>
      <c r="CL11">
        <v>61</v>
      </c>
      <c r="CM11">
        <v>62</v>
      </c>
      <c r="CN11">
        <v>63</v>
      </c>
      <c r="CO11">
        <v>64</v>
      </c>
      <c r="CP11">
        <v>65</v>
      </c>
      <c r="CQ11">
        <v>66</v>
      </c>
      <c r="CR11">
        <v>67</v>
      </c>
      <c r="CS11">
        <v>68</v>
      </c>
      <c r="CT11">
        <v>69</v>
      </c>
      <c r="CU11">
        <v>70</v>
      </c>
      <c r="CV11">
        <v>71</v>
      </c>
      <c r="CW11">
        <v>72</v>
      </c>
      <c r="CX11">
        <v>73</v>
      </c>
      <c r="CY11">
        <v>74</v>
      </c>
      <c r="CZ11">
        <v>75</v>
      </c>
      <c r="DA11">
        <v>76</v>
      </c>
      <c r="DB11">
        <v>77</v>
      </c>
      <c r="DC11">
        <v>78</v>
      </c>
      <c r="DD11">
        <v>79</v>
      </c>
      <c r="DE11">
        <v>80</v>
      </c>
      <c r="DF11">
        <v>81</v>
      </c>
      <c r="DG11">
        <v>82</v>
      </c>
      <c r="DH11">
        <v>83</v>
      </c>
      <c r="DI11">
        <v>84</v>
      </c>
      <c r="DJ11">
        <v>85</v>
      </c>
      <c r="DK11">
        <v>86</v>
      </c>
      <c r="DL11">
        <v>87</v>
      </c>
      <c r="DM11">
        <v>88</v>
      </c>
      <c r="DN11">
        <v>89</v>
      </c>
      <c r="DO11">
        <v>90</v>
      </c>
      <c r="DP11">
        <v>91</v>
      </c>
      <c r="DQ11">
        <v>92</v>
      </c>
      <c r="DR11">
        <v>93</v>
      </c>
      <c r="DS11">
        <v>94</v>
      </c>
      <c r="DT11">
        <v>95</v>
      </c>
      <c r="DU11">
        <v>96</v>
      </c>
      <c r="DV11">
        <v>97</v>
      </c>
      <c r="DW11">
        <v>98</v>
      </c>
      <c r="DX11">
        <v>99</v>
      </c>
      <c r="DY11">
        <v>100</v>
      </c>
      <c r="DZ11">
        <v>101</v>
      </c>
      <c r="EA11">
        <v>102</v>
      </c>
      <c r="EB11">
        <v>103</v>
      </c>
      <c r="EC11">
        <v>104</v>
      </c>
      <c r="ED11">
        <v>105</v>
      </c>
      <c r="EE11">
        <v>106</v>
      </c>
      <c r="EF11">
        <v>107</v>
      </c>
      <c r="EG11">
        <v>108</v>
      </c>
      <c r="EH11">
        <v>109</v>
      </c>
      <c r="EI11">
        <v>110</v>
      </c>
      <c r="EJ11">
        <v>111</v>
      </c>
      <c r="EK11">
        <v>112</v>
      </c>
      <c r="EL11">
        <v>113</v>
      </c>
      <c r="EM11">
        <v>114</v>
      </c>
      <c r="EN11">
        <v>115</v>
      </c>
      <c r="EO11">
        <v>116</v>
      </c>
      <c r="EP11">
        <v>117</v>
      </c>
      <c r="EQ11">
        <v>118</v>
      </c>
      <c r="ER11">
        <v>119</v>
      </c>
      <c r="ES11">
        <v>120</v>
      </c>
      <c r="ET11">
        <v>121</v>
      </c>
      <c r="EU11">
        <v>122</v>
      </c>
      <c r="EV11">
        <v>123</v>
      </c>
      <c r="EW11">
        <v>124</v>
      </c>
      <c r="EX11">
        <v>125</v>
      </c>
      <c r="EY11">
        <v>126</v>
      </c>
      <c r="EZ11">
        <v>127</v>
      </c>
      <c r="FA11">
        <v>128</v>
      </c>
      <c r="FB11">
        <v>129</v>
      </c>
      <c r="FC11">
        <v>130</v>
      </c>
      <c r="FD11">
        <v>131</v>
      </c>
      <c r="FE11">
        <v>132</v>
      </c>
      <c r="FF11">
        <v>133</v>
      </c>
      <c r="FG11">
        <v>134</v>
      </c>
      <c r="FH11">
        <v>135</v>
      </c>
      <c r="FI11">
        <v>136</v>
      </c>
      <c r="FJ11">
        <v>137</v>
      </c>
      <c r="FK11">
        <v>138</v>
      </c>
      <c r="FL11">
        <v>139</v>
      </c>
      <c r="FM11">
        <v>140</v>
      </c>
      <c r="FN11">
        <v>141</v>
      </c>
      <c r="FO11">
        <v>142</v>
      </c>
      <c r="FP11">
        <v>143</v>
      </c>
      <c r="FQ11">
        <v>144</v>
      </c>
      <c r="FR11">
        <v>145</v>
      </c>
      <c r="FS11">
        <v>146</v>
      </c>
      <c r="FT11">
        <v>147</v>
      </c>
      <c r="FU11">
        <v>148</v>
      </c>
      <c r="FV11">
        <v>149</v>
      </c>
      <c r="FW11">
        <v>150</v>
      </c>
      <c r="FX11">
        <v>151</v>
      </c>
      <c r="FY11">
        <v>152</v>
      </c>
      <c r="FZ11">
        <v>153</v>
      </c>
      <c r="GA11">
        <v>154</v>
      </c>
      <c r="GB11">
        <v>155</v>
      </c>
      <c r="GC11">
        <v>156</v>
      </c>
      <c r="GD11">
        <v>157</v>
      </c>
      <c r="GE11">
        <v>158</v>
      </c>
      <c r="GF11">
        <v>159</v>
      </c>
      <c r="GG11">
        <v>160</v>
      </c>
      <c r="GH11">
        <v>161</v>
      </c>
      <c r="GI11">
        <v>162</v>
      </c>
      <c r="GJ11">
        <v>163</v>
      </c>
      <c r="GK11">
        <v>164</v>
      </c>
      <c r="GL11">
        <v>165</v>
      </c>
      <c r="GM11">
        <v>166</v>
      </c>
      <c r="GN11">
        <v>167</v>
      </c>
      <c r="GO11">
        <v>168</v>
      </c>
      <c r="GP11">
        <v>169</v>
      </c>
      <c r="GQ11">
        <v>170</v>
      </c>
      <c r="GR11">
        <v>171</v>
      </c>
      <c r="GS11">
        <v>172</v>
      </c>
      <c r="GT11">
        <v>173</v>
      </c>
      <c r="GU11">
        <v>174</v>
      </c>
      <c r="GV11">
        <v>175</v>
      </c>
      <c r="GW11">
        <v>176</v>
      </c>
      <c r="GX11">
        <v>177</v>
      </c>
      <c r="GY11">
        <v>178</v>
      </c>
      <c r="GZ11">
        <v>179</v>
      </c>
      <c r="HA11">
        <v>180</v>
      </c>
      <c r="HB11">
        <v>181</v>
      </c>
      <c r="HC11">
        <v>182</v>
      </c>
      <c r="HD11">
        <v>183</v>
      </c>
      <c r="HE11">
        <v>184</v>
      </c>
      <c r="HF11">
        <v>185</v>
      </c>
      <c r="HG11">
        <v>186</v>
      </c>
      <c r="HH11">
        <v>187</v>
      </c>
      <c r="HI11">
        <v>188</v>
      </c>
      <c r="HJ11">
        <v>189</v>
      </c>
      <c r="HK11">
        <v>190</v>
      </c>
      <c r="HL11">
        <v>191</v>
      </c>
      <c r="HM11">
        <v>192</v>
      </c>
      <c r="HN11">
        <v>193</v>
      </c>
      <c r="HO11">
        <v>194</v>
      </c>
      <c r="HP11">
        <v>195</v>
      </c>
      <c r="HQ11">
        <v>196</v>
      </c>
      <c r="HR11">
        <v>197</v>
      </c>
      <c r="HS11">
        <v>198</v>
      </c>
      <c r="HT11">
        <v>199</v>
      </c>
      <c r="HU11">
        <v>200</v>
      </c>
      <c r="HV11">
        <v>201</v>
      </c>
      <c r="HW11">
        <v>202</v>
      </c>
      <c r="HX11">
        <v>203</v>
      </c>
      <c r="HY11">
        <v>204</v>
      </c>
      <c r="HZ11">
        <v>205</v>
      </c>
      <c r="IA11">
        <v>206</v>
      </c>
      <c r="IB11">
        <v>207</v>
      </c>
      <c r="IC11">
        <v>208</v>
      </c>
      <c r="ID11">
        <v>209</v>
      </c>
      <c r="IE11">
        <v>210</v>
      </c>
      <c r="IF11">
        <v>211</v>
      </c>
      <c r="IG11">
        <v>212</v>
      </c>
      <c r="IH11">
        <v>213</v>
      </c>
      <c r="II11">
        <v>214</v>
      </c>
      <c r="IJ11">
        <v>215</v>
      </c>
      <c r="IK11">
        <v>216</v>
      </c>
      <c r="IL11">
        <v>217</v>
      </c>
      <c r="IM11">
        <v>218</v>
      </c>
      <c r="IN11">
        <v>219</v>
      </c>
      <c r="IO11">
        <v>220</v>
      </c>
      <c r="IP11">
        <v>221</v>
      </c>
      <c r="IQ11">
        <v>222</v>
      </c>
      <c r="IR11">
        <v>223</v>
      </c>
      <c r="IS11">
        <v>224</v>
      </c>
      <c r="IT11">
        <v>225</v>
      </c>
      <c r="IU11">
        <v>226</v>
      </c>
      <c r="IV11">
        <v>227</v>
      </c>
      <c r="IW11">
        <v>228</v>
      </c>
      <c r="IX11">
        <v>229</v>
      </c>
      <c r="IY11">
        <v>230</v>
      </c>
      <c r="IZ11">
        <v>231</v>
      </c>
      <c r="JA11">
        <v>232</v>
      </c>
      <c r="JB11">
        <v>233</v>
      </c>
      <c r="JC11">
        <v>234</v>
      </c>
      <c r="JD11">
        <v>235</v>
      </c>
      <c r="JE11">
        <v>236</v>
      </c>
      <c r="JF11">
        <v>237</v>
      </c>
      <c r="JG11">
        <v>238</v>
      </c>
      <c r="JH11">
        <v>239</v>
      </c>
      <c r="JI11">
        <v>240</v>
      </c>
      <c r="JJ11">
        <v>241</v>
      </c>
      <c r="JK11">
        <v>242</v>
      </c>
      <c r="JL11">
        <v>243</v>
      </c>
      <c r="JM11">
        <v>244</v>
      </c>
      <c r="JN11">
        <v>245</v>
      </c>
      <c r="JO11">
        <v>246</v>
      </c>
      <c r="JP11">
        <v>247</v>
      </c>
      <c r="JQ11">
        <v>248</v>
      </c>
      <c r="JR11">
        <v>249</v>
      </c>
      <c r="JS11">
        <v>250</v>
      </c>
    </row>
    <row r="12" spans="1:280">
      <c r="A12" s="156">
        <v>132</v>
      </c>
      <c r="B12" s="157" t="s">
        <v>6179</v>
      </c>
      <c r="C12" s="157" t="s">
        <v>6211</v>
      </c>
      <c r="D12" s="157">
        <v>700</v>
      </c>
      <c r="E12" s="157">
        <v>749</v>
      </c>
      <c r="F12" s="360">
        <v>2.0299999999999998</v>
      </c>
      <c r="P12" s="92"/>
      <c r="Z12" t="s">
        <v>6170</v>
      </c>
      <c r="AA12">
        <v>11</v>
      </c>
      <c r="AB12">
        <v>11</v>
      </c>
      <c r="AG12" t="str">
        <v>Tri-Dek 4-Ply 6/40+3 Media Pad</v>
      </c>
      <c r="AH12" cm="1">
        <f t="array" ref="AH12:JS12">_xlfn.TOROW(_xlfn.UNIQUE(_xlfn._xlws.FILTER(Width[Level2],Width[Level1]=AG12,"")))</f>
        <v>5</v>
      </c>
      <c r="AI12">
        <v>6</v>
      </c>
      <c r="AJ12">
        <v>7</v>
      </c>
      <c r="AK12">
        <v>8</v>
      </c>
      <c r="AL12">
        <v>9</v>
      </c>
      <c r="AM12">
        <v>10</v>
      </c>
      <c r="AN12">
        <v>11</v>
      </c>
      <c r="AO12">
        <v>12</v>
      </c>
      <c r="AP12">
        <v>13</v>
      </c>
      <c r="AQ12">
        <v>14</v>
      </c>
      <c r="AR12">
        <v>15</v>
      </c>
      <c r="AS12">
        <v>16</v>
      </c>
      <c r="AT12">
        <v>17</v>
      </c>
      <c r="AU12">
        <v>18</v>
      </c>
      <c r="AV12">
        <v>19</v>
      </c>
      <c r="AW12">
        <v>20</v>
      </c>
      <c r="AX12">
        <v>21</v>
      </c>
      <c r="AY12">
        <v>22</v>
      </c>
      <c r="AZ12">
        <v>23</v>
      </c>
      <c r="BA12">
        <v>24</v>
      </c>
      <c r="BB12">
        <v>25</v>
      </c>
      <c r="BC12">
        <v>26</v>
      </c>
      <c r="BD12">
        <v>27</v>
      </c>
      <c r="BE12">
        <v>28</v>
      </c>
      <c r="BF12">
        <v>29</v>
      </c>
      <c r="BG12">
        <v>30</v>
      </c>
      <c r="BH12">
        <v>31</v>
      </c>
      <c r="BI12">
        <v>32</v>
      </c>
      <c r="BJ12">
        <v>33</v>
      </c>
      <c r="BK12">
        <v>34</v>
      </c>
      <c r="BL12">
        <v>35</v>
      </c>
      <c r="BM12">
        <v>36</v>
      </c>
      <c r="BN12">
        <v>37</v>
      </c>
      <c r="BO12">
        <v>38</v>
      </c>
      <c r="BP12">
        <v>39</v>
      </c>
      <c r="BQ12">
        <v>40</v>
      </c>
      <c r="BR12">
        <v>41</v>
      </c>
      <c r="BS12">
        <v>42</v>
      </c>
      <c r="BT12">
        <v>43</v>
      </c>
      <c r="BU12">
        <v>44</v>
      </c>
      <c r="BV12">
        <v>45</v>
      </c>
      <c r="BW12">
        <v>46</v>
      </c>
      <c r="BX12">
        <v>47</v>
      </c>
      <c r="BY12">
        <v>48</v>
      </c>
      <c r="BZ12">
        <v>49</v>
      </c>
      <c r="CA12">
        <v>50</v>
      </c>
      <c r="CB12">
        <v>51</v>
      </c>
      <c r="CC12">
        <v>52</v>
      </c>
      <c r="CD12">
        <v>53</v>
      </c>
      <c r="CE12">
        <v>54</v>
      </c>
      <c r="CF12">
        <v>55</v>
      </c>
      <c r="CG12">
        <v>56</v>
      </c>
      <c r="CH12">
        <v>57</v>
      </c>
      <c r="CI12">
        <v>58</v>
      </c>
      <c r="CJ12">
        <v>59</v>
      </c>
      <c r="CK12">
        <v>60</v>
      </c>
      <c r="CL12">
        <v>61</v>
      </c>
      <c r="CM12">
        <v>62</v>
      </c>
      <c r="CN12">
        <v>63</v>
      </c>
      <c r="CO12">
        <v>64</v>
      </c>
      <c r="CP12">
        <v>65</v>
      </c>
      <c r="CQ12">
        <v>66</v>
      </c>
      <c r="CR12">
        <v>67</v>
      </c>
      <c r="CS12">
        <v>68</v>
      </c>
      <c r="CT12">
        <v>69</v>
      </c>
      <c r="CU12">
        <v>70</v>
      </c>
      <c r="CV12">
        <v>71</v>
      </c>
      <c r="CW12">
        <v>72</v>
      </c>
      <c r="CX12">
        <v>73</v>
      </c>
      <c r="CY12">
        <v>74</v>
      </c>
      <c r="CZ12">
        <v>75</v>
      </c>
      <c r="DA12">
        <v>76</v>
      </c>
      <c r="DB12">
        <v>77</v>
      </c>
      <c r="DC12">
        <v>78</v>
      </c>
      <c r="DD12">
        <v>79</v>
      </c>
      <c r="DE12">
        <v>80</v>
      </c>
      <c r="DF12">
        <v>81</v>
      </c>
      <c r="DG12">
        <v>82</v>
      </c>
      <c r="DH12">
        <v>83</v>
      </c>
      <c r="DI12">
        <v>84</v>
      </c>
      <c r="DJ12">
        <v>85</v>
      </c>
      <c r="DK12">
        <v>86</v>
      </c>
      <c r="DL12">
        <v>87</v>
      </c>
      <c r="DM12">
        <v>88</v>
      </c>
      <c r="DN12">
        <v>89</v>
      </c>
      <c r="DO12">
        <v>90</v>
      </c>
      <c r="DP12">
        <v>91</v>
      </c>
      <c r="DQ12">
        <v>92</v>
      </c>
      <c r="DR12">
        <v>93</v>
      </c>
      <c r="DS12">
        <v>94</v>
      </c>
      <c r="DT12">
        <v>95</v>
      </c>
      <c r="DU12">
        <v>96</v>
      </c>
      <c r="DV12">
        <v>97</v>
      </c>
      <c r="DW12">
        <v>98</v>
      </c>
      <c r="DX12">
        <v>99</v>
      </c>
      <c r="DY12">
        <v>100</v>
      </c>
      <c r="DZ12">
        <v>101</v>
      </c>
      <c r="EA12">
        <v>102</v>
      </c>
      <c r="EB12">
        <v>103</v>
      </c>
      <c r="EC12">
        <v>104</v>
      </c>
      <c r="ED12">
        <v>105</v>
      </c>
      <c r="EE12">
        <v>106</v>
      </c>
      <c r="EF12">
        <v>107</v>
      </c>
      <c r="EG12">
        <v>108</v>
      </c>
      <c r="EH12">
        <v>109</v>
      </c>
      <c r="EI12">
        <v>110</v>
      </c>
      <c r="EJ12">
        <v>111</v>
      </c>
      <c r="EK12">
        <v>112</v>
      </c>
      <c r="EL12">
        <v>113</v>
      </c>
      <c r="EM12">
        <v>114</v>
      </c>
      <c r="EN12">
        <v>115</v>
      </c>
      <c r="EO12">
        <v>116</v>
      </c>
      <c r="EP12">
        <v>117</v>
      </c>
      <c r="EQ12">
        <v>118</v>
      </c>
      <c r="ER12">
        <v>119</v>
      </c>
      <c r="ES12">
        <v>120</v>
      </c>
      <c r="ET12">
        <v>121</v>
      </c>
      <c r="EU12">
        <v>122</v>
      </c>
      <c r="EV12">
        <v>123</v>
      </c>
      <c r="EW12">
        <v>124</v>
      </c>
      <c r="EX12">
        <v>125</v>
      </c>
      <c r="EY12">
        <v>126</v>
      </c>
      <c r="EZ12">
        <v>127</v>
      </c>
      <c r="FA12">
        <v>128</v>
      </c>
      <c r="FB12">
        <v>129</v>
      </c>
      <c r="FC12">
        <v>130</v>
      </c>
      <c r="FD12">
        <v>131</v>
      </c>
      <c r="FE12">
        <v>132</v>
      </c>
      <c r="FF12">
        <v>133</v>
      </c>
      <c r="FG12">
        <v>134</v>
      </c>
      <c r="FH12">
        <v>135</v>
      </c>
      <c r="FI12">
        <v>136</v>
      </c>
      <c r="FJ12">
        <v>137</v>
      </c>
      <c r="FK12">
        <v>138</v>
      </c>
      <c r="FL12">
        <v>139</v>
      </c>
      <c r="FM12">
        <v>140</v>
      </c>
      <c r="FN12">
        <v>141</v>
      </c>
      <c r="FO12">
        <v>142</v>
      </c>
      <c r="FP12">
        <v>143</v>
      </c>
      <c r="FQ12">
        <v>144</v>
      </c>
      <c r="FR12">
        <v>145</v>
      </c>
      <c r="FS12">
        <v>146</v>
      </c>
      <c r="FT12">
        <v>147</v>
      </c>
      <c r="FU12">
        <v>148</v>
      </c>
      <c r="FV12">
        <v>149</v>
      </c>
      <c r="FW12">
        <v>150</v>
      </c>
      <c r="FX12">
        <v>151</v>
      </c>
      <c r="FY12">
        <v>152</v>
      </c>
      <c r="FZ12">
        <v>153</v>
      </c>
      <c r="GA12">
        <v>154</v>
      </c>
      <c r="GB12">
        <v>155</v>
      </c>
      <c r="GC12">
        <v>156</v>
      </c>
      <c r="GD12">
        <v>157</v>
      </c>
      <c r="GE12">
        <v>158</v>
      </c>
      <c r="GF12">
        <v>159</v>
      </c>
      <c r="GG12">
        <v>160</v>
      </c>
      <c r="GH12">
        <v>161</v>
      </c>
      <c r="GI12">
        <v>162</v>
      </c>
      <c r="GJ12">
        <v>163</v>
      </c>
      <c r="GK12">
        <v>164</v>
      </c>
      <c r="GL12">
        <v>165</v>
      </c>
      <c r="GM12">
        <v>166</v>
      </c>
      <c r="GN12">
        <v>167</v>
      </c>
      <c r="GO12">
        <v>168</v>
      </c>
      <c r="GP12">
        <v>169</v>
      </c>
      <c r="GQ12">
        <v>170</v>
      </c>
      <c r="GR12">
        <v>171</v>
      </c>
      <c r="GS12">
        <v>172</v>
      </c>
      <c r="GT12">
        <v>173</v>
      </c>
      <c r="GU12">
        <v>174</v>
      </c>
      <c r="GV12">
        <v>175</v>
      </c>
      <c r="GW12">
        <v>176</v>
      </c>
      <c r="GX12">
        <v>177</v>
      </c>
      <c r="GY12">
        <v>178</v>
      </c>
      <c r="GZ12">
        <v>179</v>
      </c>
      <c r="HA12">
        <v>180</v>
      </c>
      <c r="HB12">
        <v>181</v>
      </c>
      <c r="HC12">
        <v>182</v>
      </c>
      <c r="HD12">
        <v>183</v>
      </c>
      <c r="HE12">
        <v>184</v>
      </c>
      <c r="HF12">
        <v>185</v>
      </c>
      <c r="HG12">
        <v>186</v>
      </c>
      <c r="HH12">
        <v>187</v>
      </c>
      <c r="HI12">
        <v>188</v>
      </c>
      <c r="HJ12">
        <v>189</v>
      </c>
      <c r="HK12">
        <v>190</v>
      </c>
      <c r="HL12">
        <v>191</v>
      </c>
      <c r="HM12">
        <v>192</v>
      </c>
      <c r="HN12">
        <v>193</v>
      </c>
      <c r="HO12">
        <v>194</v>
      </c>
      <c r="HP12">
        <v>195</v>
      </c>
      <c r="HQ12">
        <v>196</v>
      </c>
      <c r="HR12">
        <v>197</v>
      </c>
      <c r="HS12">
        <v>198</v>
      </c>
      <c r="HT12">
        <v>199</v>
      </c>
      <c r="HU12">
        <v>200</v>
      </c>
      <c r="HV12">
        <v>201</v>
      </c>
      <c r="HW12">
        <v>202</v>
      </c>
      <c r="HX12">
        <v>203</v>
      </c>
      <c r="HY12">
        <v>204</v>
      </c>
      <c r="HZ12">
        <v>205</v>
      </c>
      <c r="IA12">
        <v>206</v>
      </c>
      <c r="IB12">
        <v>207</v>
      </c>
      <c r="IC12">
        <v>208</v>
      </c>
      <c r="ID12">
        <v>209</v>
      </c>
      <c r="IE12">
        <v>210</v>
      </c>
      <c r="IF12">
        <v>211</v>
      </c>
      <c r="IG12">
        <v>212</v>
      </c>
      <c r="IH12">
        <v>213</v>
      </c>
      <c r="II12">
        <v>214</v>
      </c>
      <c r="IJ12">
        <v>215</v>
      </c>
      <c r="IK12">
        <v>216</v>
      </c>
      <c r="IL12">
        <v>217</v>
      </c>
      <c r="IM12">
        <v>218</v>
      </c>
      <c r="IN12">
        <v>219</v>
      </c>
      <c r="IO12">
        <v>220</v>
      </c>
      <c r="IP12">
        <v>221</v>
      </c>
      <c r="IQ12">
        <v>222</v>
      </c>
      <c r="IR12">
        <v>223</v>
      </c>
      <c r="IS12">
        <v>224</v>
      </c>
      <c r="IT12">
        <v>225</v>
      </c>
      <c r="IU12">
        <v>226</v>
      </c>
      <c r="IV12">
        <v>227</v>
      </c>
      <c r="IW12">
        <v>228</v>
      </c>
      <c r="IX12">
        <v>229</v>
      </c>
      <c r="IY12">
        <v>230</v>
      </c>
      <c r="IZ12">
        <v>231</v>
      </c>
      <c r="JA12">
        <v>232</v>
      </c>
      <c r="JB12">
        <v>233</v>
      </c>
      <c r="JC12">
        <v>234</v>
      </c>
      <c r="JD12">
        <v>235</v>
      </c>
      <c r="JE12">
        <v>236</v>
      </c>
      <c r="JF12">
        <v>237</v>
      </c>
      <c r="JG12">
        <v>238</v>
      </c>
      <c r="JH12">
        <v>239</v>
      </c>
      <c r="JI12">
        <v>240</v>
      </c>
      <c r="JJ12">
        <v>241</v>
      </c>
      <c r="JK12">
        <v>242</v>
      </c>
      <c r="JL12">
        <v>243</v>
      </c>
      <c r="JM12">
        <v>244</v>
      </c>
      <c r="JN12">
        <v>245</v>
      </c>
      <c r="JO12">
        <v>246</v>
      </c>
      <c r="JP12">
        <v>247</v>
      </c>
      <c r="JQ12">
        <v>248</v>
      </c>
      <c r="JR12">
        <v>249</v>
      </c>
      <c r="JS12">
        <v>250</v>
      </c>
    </row>
    <row r="13" spans="1:280">
      <c r="A13" s="156">
        <v>132</v>
      </c>
      <c r="B13" s="157" t="s">
        <v>6179</v>
      </c>
      <c r="C13" s="157" t="s">
        <v>6212</v>
      </c>
      <c r="D13" s="157">
        <v>750</v>
      </c>
      <c r="E13" s="157">
        <v>799</v>
      </c>
      <c r="F13" s="360">
        <v>2.13</v>
      </c>
      <c r="Z13" t="s">
        <v>6170</v>
      </c>
      <c r="AA13">
        <v>12</v>
      </c>
      <c r="AB13">
        <v>12</v>
      </c>
      <c r="AG13" t="str">
        <v>Tri-Dek #8 MERV 8 Pads</v>
      </c>
      <c r="AH13" cm="1">
        <f t="array" ref="AH13:DD13">_xlfn.TOROW(_xlfn.UNIQUE(_xlfn._xlws.FILTER(Width[Level2],Width[Level1]=AG13,"")))</f>
        <v>4</v>
      </c>
      <c r="AI13">
        <v>5</v>
      </c>
      <c r="AJ13">
        <v>6</v>
      </c>
      <c r="AK13">
        <v>7</v>
      </c>
      <c r="AL13">
        <v>8</v>
      </c>
      <c r="AM13">
        <v>9</v>
      </c>
      <c r="AN13">
        <v>10</v>
      </c>
      <c r="AO13">
        <v>11</v>
      </c>
      <c r="AP13">
        <v>12</v>
      </c>
      <c r="AQ13">
        <v>13</v>
      </c>
      <c r="AR13">
        <v>14</v>
      </c>
      <c r="AS13">
        <v>15</v>
      </c>
      <c r="AT13">
        <v>16</v>
      </c>
      <c r="AU13">
        <v>17</v>
      </c>
      <c r="AV13">
        <v>18</v>
      </c>
      <c r="AW13">
        <v>19</v>
      </c>
      <c r="AX13">
        <v>20</v>
      </c>
      <c r="AY13">
        <v>21</v>
      </c>
      <c r="AZ13">
        <v>22</v>
      </c>
      <c r="BA13">
        <v>23</v>
      </c>
      <c r="BB13">
        <v>24</v>
      </c>
      <c r="BC13">
        <v>25</v>
      </c>
      <c r="BD13">
        <v>26</v>
      </c>
      <c r="BE13">
        <v>27</v>
      </c>
      <c r="BF13">
        <v>28</v>
      </c>
      <c r="BG13">
        <v>29</v>
      </c>
      <c r="BH13">
        <v>30</v>
      </c>
      <c r="BI13">
        <v>31</v>
      </c>
      <c r="BJ13">
        <v>32</v>
      </c>
      <c r="BK13">
        <v>33</v>
      </c>
      <c r="BL13">
        <v>34</v>
      </c>
      <c r="BM13">
        <v>35</v>
      </c>
      <c r="BN13">
        <v>36</v>
      </c>
      <c r="BO13">
        <v>37</v>
      </c>
      <c r="BP13">
        <v>38</v>
      </c>
      <c r="BQ13">
        <v>39</v>
      </c>
      <c r="BR13">
        <v>40</v>
      </c>
      <c r="BS13">
        <v>41</v>
      </c>
      <c r="BT13">
        <v>42</v>
      </c>
      <c r="BU13">
        <v>43</v>
      </c>
      <c r="BV13">
        <v>44</v>
      </c>
      <c r="BW13">
        <v>45</v>
      </c>
      <c r="BX13">
        <v>46</v>
      </c>
      <c r="BY13">
        <v>47</v>
      </c>
      <c r="BZ13">
        <v>48</v>
      </c>
      <c r="CA13">
        <v>49</v>
      </c>
      <c r="CB13">
        <v>50</v>
      </c>
      <c r="CC13">
        <v>51</v>
      </c>
      <c r="CD13">
        <v>52</v>
      </c>
      <c r="CE13">
        <v>53</v>
      </c>
      <c r="CF13">
        <v>54</v>
      </c>
      <c r="CG13">
        <v>55</v>
      </c>
      <c r="CH13">
        <v>56</v>
      </c>
      <c r="CI13">
        <v>57</v>
      </c>
      <c r="CJ13">
        <v>58</v>
      </c>
      <c r="CK13">
        <v>59</v>
      </c>
      <c r="CL13">
        <v>60</v>
      </c>
      <c r="CM13">
        <v>61</v>
      </c>
      <c r="CN13">
        <v>62</v>
      </c>
      <c r="CO13">
        <v>63</v>
      </c>
      <c r="CP13">
        <v>64</v>
      </c>
      <c r="CQ13">
        <v>65</v>
      </c>
      <c r="CR13">
        <v>66</v>
      </c>
      <c r="CS13">
        <v>67</v>
      </c>
      <c r="CT13">
        <v>68</v>
      </c>
      <c r="CU13">
        <v>69</v>
      </c>
      <c r="CV13">
        <v>70</v>
      </c>
      <c r="CW13">
        <v>71</v>
      </c>
      <c r="CX13">
        <v>72</v>
      </c>
      <c r="CY13">
        <v>73</v>
      </c>
      <c r="CZ13">
        <v>74</v>
      </c>
      <c r="DA13">
        <v>75</v>
      </c>
      <c r="DB13">
        <v>76</v>
      </c>
      <c r="DC13">
        <v>77</v>
      </c>
      <c r="DD13">
        <v>78</v>
      </c>
    </row>
    <row r="14" spans="1:280" ht="16">
      <c r="A14" s="156">
        <v>132</v>
      </c>
      <c r="B14" s="157" t="s">
        <v>6179</v>
      </c>
      <c r="C14" s="157" t="s">
        <v>6213</v>
      </c>
      <c r="D14" s="157">
        <v>800</v>
      </c>
      <c r="E14" s="157">
        <v>849</v>
      </c>
      <c r="F14" s="360">
        <v>2.2400000000000002</v>
      </c>
      <c r="I14" s="495" t="s">
        <v>6214</v>
      </c>
      <c r="J14" s="495"/>
      <c r="K14" s="495"/>
      <c r="L14" s="495"/>
      <c r="N14" s="496" t="s">
        <v>6215</v>
      </c>
      <c r="O14" s="496"/>
      <c r="P14" s="496"/>
      <c r="Q14" s="496"/>
      <c r="R14" s="496"/>
      <c r="Z14" t="s">
        <v>6170</v>
      </c>
      <c r="AA14">
        <v>13</v>
      </c>
      <c r="AB14">
        <v>13</v>
      </c>
      <c r="AG14" t="str">
        <v>Tri-Dek #3 2-Ply Sleeve Roll</v>
      </c>
      <c r="AH14" cm="1">
        <f t="array" ref="AH14:DZ14">_xlfn.TOROW(_xlfn.UNIQUE(_xlfn._xlws.FILTER(Width[Level2],Width[Level1]=AG14,"")))</f>
        <v>4</v>
      </c>
      <c r="AI14">
        <v>5</v>
      </c>
      <c r="AJ14">
        <v>6</v>
      </c>
      <c r="AK14">
        <v>7</v>
      </c>
      <c r="AL14">
        <v>8</v>
      </c>
      <c r="AM14">
        <v>9</v>
      </c>
      <c r="AN14">
        <v>10</v>
      </c>
      <c r="AO14">
        <v>11</v>
      </c>
      <c r="AP14">
        <v>12</v>
      </c>
      <c r="AQ14">
        <v>13</v>
      </c>
      <c r="AR14">
        <v>14</v>
      </c>
      <c r="AS14">
        <v>15</v>
      </c>
      <c r="AT14">
        <v>16</v>
      </c>
      <c r="AU14">
        <v>17</v>
      </c>
      <c r="AV14">
        <v>18</v>
      </c>
      <c r="AW14">
        <v>19</v>
      </c>
      <c r="AX14">
        <v>20</v>
      </c>
      <c r="AY14">
        <v>21</v>
      </c>
      <c r="AZ14">
        <v>22</v>
      </c>
      <c r="BA14">
        <v>23</v>
      </c>
      <c r="BB14">
        <v>24</v>
      </c>
      <c r="BC14">
        <v>25</v>
      </c>
      <c r="BD14">
        <v>26</v>
      </c>
      <c r="BE14">
        <v>27</v>
      </c>
      <c r="BF14">
        <v>28</v>
      </c>
      <c r="BG14">
        <v>29</v>
      </c>
      <c r="BH14">
        <v>30</v>
      </c>
      <c r="BI14">
        <v>31</v>
      </c>
      <c r="BJ14">
        <v>32</v>
      </c>
      <c r="BK14">
        <v>33</v>
      </c>
      <c r="BL14">
        <v>34</v>
      </c>
      <c r="BM14">
        <v>35</v>
      </c>
      <c r="BN14">
        <v>36</v>
      </c>
      <c r="BO14">
        <v>37</v>
      </c>
      <c r="BP14">
        <v>38</v>
      </c>
      <c r="BQ14">
        <v>39</v>
      </c>
      <c r="BR14">
        <v>40</v>
      </c>
      <c r="BS14">
        <v>41</v>
      </c>
      <c r="BT14">
        <v>42</v>
      </c>
      <c r="BU14">
        <v>43</v>
      </c>
      <c r="BV14">
        <v>44</v>
      </c>
      <c r="BW14">
        <v>45</v>
      </c>
      <c r="BX14">
        <v>46</v>
      </c>
      <c r="BY14">
        <v>47</v>
      </c>
      <c r="BZ14">
        <v>48</v>
      </c>
      <c r="CA14">
        <v>49</v>
      </c>
      <c r="CB14">
        <v>50</v>
      </c>
      <c r="CC14">
        <v>51</v>
      </c>
      <c r="CD14">
        <v>52</v>
      </c>
      <c r="CE14">
        <v>53</v>
      </c>
      <c r="CF14">
        <v>54</v>
      </c>
      <c r="CG14">
        <v>55</v>
      </c>
      <c r="CH14">
        <v>56</v>
      </c>
      <c r="CI14">
        <v>57</v>
      </c>
      <c r="CJ14">
        <v>58</v>
      </c>
      <c r="CK14">
        <v>59</v>
      </c>
      <c r="CL14">
        <v>60</v>
      </c>
      <c r="CM14">
        <v>61</v>
      </c>
      <c r="CN14">
        <v>62</v>
      </c>
      <c r="CO14">
        <v>63</v>
      </c>
      <c r="CP14">
        <v>64</v>
      </c>
      <c r="CQ14">
        <v>65</v>
      </c>
      <c r="CR14">
        <v>66</v>
      </c>
      <c r="CS14">
        <v>67</v>
      </c>
      <c r="CT14">
        <v>68</v>
      </c>
      <c r="CU14">
        <v>69</v>
      </c>
      <c r="CV14">
        <v>70</v>
      </c>
      <c r="CW14">
        <v>71</v>
      </c>
      <c r="CX14">
        <v>72</v>
      </c>
      <c r="CY14">
        <v>73</v>
      </c>
      <c r="CZ14">
        <v>74</v>
      </c>
      <c r="DA14">
        <v>75</v>
      </c>
      <c r="DB14">
        <v>76</v>
      </c>
      <c r="DC14">
        <v>77</v>
      </c>
      <c r="DD14">
        <v>78</v>
      </c>
      <c r="DE14">
        <v>79</v>
      </c>
      <c r="DF14">
        <v>80</v>
      </c>
      <c r="DG14">
        <v>81</v>
      </c>
      <c r="DH14">
        <v>82</v>
      </c>
      <c r="DI14">
        <v>83</v>
      </c>
      <c r="DJ14">
        <v>84</v>
      </c>
      <c r="DK14">
        <v>85</v>
      </c>
      <c r="DL14">
        <v>86</v>
      </c>
      <c r="DM14">
        <v>87</v>
      </c>
      <c r="DN14">
        <v>88</v>
      </c>
      <c r="DO14">
        <v>89</v>
      </c>
      <c r="DP14">
        <v>90</v>
      </c>
      <c r="DQ14">
        <v>91</v>
      </c>
      <c r="DR14">
        <v>92</v>
      </c>
      <c r="DS14">
        <v>93</v>
      </c>
      <c r="DT14">
        <v>94</v>
      </c>
      <c r="DU14">
        <v>95</v>
      </c>
      <c r="DV14">
        <v>96</v>
      </c>
      <c r="DW14">
        <v>97</v>
      </c>
      <c r="DX14">
        <v>98</v>
      </c>
      <c r="DY14">
        <v>99</v>
      </c>
      <c r="DZ14">
        <v>100</v>
      </c>
    </row>
    <row r="15" spans="1:280">
      <c r="A15" s="156">
        <v>132</v>
      </c>
      <c r="B15" s="157" t="s">
        <v>6179</v>
      </c>
      <c r="C15" s="157" t="s">
        <v>6216</v>
      </c>
      <c r="D15" s="157">
        <v>850</v>
      </c>
      <c r="E15" s="157">
        <v>899</v>
      </c>
      <c r="F15" s="360">
        <v>2.34</v>
      </c>
      <c r="I15" s="113" t="s">
        <v>6217</v>
      </c>
      <c r="J15" s="114" t="s">
        <v>6192</v>
      </c>
      <c r="K15" s="114" t="s">
        <v>60</v>
      </c>
      <c r="L15" s="114" t="s">
        <v>6218</v>
      </c>
      <c r="M15" s="16"/>
      <c r="N15" s="122" t="s">
        <v>140</v>
      </c>
      <c r="O15" s="117"/>
      <c r="P15" s="117"/>
      <c r="Q15" s="122" t="s">
        <v>6219</v>
      </c>
      <c r="R15" s="120" t="s">
        <v>6220</v>
      </c>
      <c r="U15" s="487" t="s">
        <v>63</v>
      </c>
      <c r="V15" s="488"/>
      <c r="W15" s="488"/>
      <c r="X15" s="489"/>
      <c r="Y15" s="98"/>
      <c r="Z15" t="s">
        <v>6170</v>
      </c>
      <c r="AA15">
        <v>14</v>
      </c>
      <c r="AB15">
        <v>14</v>
      </c>
      <c r="AG15">
        <v>0</v>
      </c>
    </row>
    <row r="16" spans="1:280">
      <c r="A16" s="156">
        <v>132</v>
      </c>
      <c r="B16" s="157" t="s">
        <v>6179</v>
      </c>
      <c r="C16" s="157" t="s">
        <v>6221</v>
      </c>
      <c r="D16" s="157">
        <v>900</v>
      </c>
      <c r="E16" s="157">
        <v>949</v>
      </c>
      <c r="F16" s="360">
        <v>2.44</v>
      </c>
      <c r="I16" s="115">
        <v>246</v>
      </c>
      <c r="J16" s="116" t="s">
        <v>6170</v>
      </c>
      <c r="K16" s="117">
        <f t="shared" ref="K16:K24" si="0">O3</f>
        <v>130</v>
      </c>
      <c r="L16" s="117">
        <v>100</v>
      </c>
      <c r="M16" s="101"/>
      <c r="N16" s="132" t="s">
        <v>25</v>
      </c>
      <c r="O16" s="117">
        <f>VLOOKUP('Pads Calc'!F7,'Pricing Logic Pads'!$J$15:$K$25,2,FALSE)</f>
        <v>130</v>
      </c>
      <c r="P16" s="117"/>
      <c r="Q16" s="117" t="s">
        <v>366</v>
      </c>
      <c r="R16" s="117" t="s">
        <v>90</v>
      </c>
      <c r="U16" s="487" t="s">
        <v>67</v>
      </c>
      <c r="V16" s="488"/>
      <c r="W16" s="488"/>
      <c r="X16" s="489"/>
      <c r="Y16" s="98"/>
      <c r="Z16" t="s">
        <v>6170</v>
      </c>
      <c r="AA16">
        <v>15</v>
      </c>
      <c r="AB16">
        <v>15</v>
      </c>
    </row>
    <row r="17" spans="1:33" ht="18" customHeight="1">
      <c r="A17" s="156">
        <v>132</v>
      </c>
      <c r="B17" s="157" t="s">
        <v>6179</v>
      </c>
      <c r="C17" s="157" t="s">
        <v>6222</v>
      </c>
      <c r="D17" s="157">
        <v>950</v>
      </c>
      <c r="E17" s="157">
        <v>999</v>
      </c>
      <c r="F17" s="360">
        <v>2.5499999999999998</v>
      </c>
      <c r="I17" s="115">
        <v>247</v>
      </c>
      <c r="J17" s="116" t="s">
        <v>6223</v>
      </c>
      <c r="K17" s="117">
        <f t="shared" si="0"/>
        <v>132</v>
      </c>
      <c r="L17" s="117">
        <v>40</v>
      </c>
      <c r="M17" s="101"/>
      <c r="N17" s="132" t="s">
        <v>154</v>
      </c>
      <c r="O17" s="117">
        <f>ROUND(N23*P23,2)</f>
        <v>480</v>
      </c>
      <c r="P17" s="117"/>
      <c r="Q17" s="152" t="str">
        <f>IF(O16=K16,"Antimicrobial",IF(O16=K22,"Antimicrobial",IF(O16=K23,"Antimicrobial","")))</f>
        <v>Antimicrobial</v>
      </c>
      <c r="R17" s="117" t="s">
        <v>38</v>
      </c>
      <c r="U17" s="94">
        <v>0</v>
      </c>
      <c r="V17" s="94">
        <v>0</v>
      </c>
      <c r="W17" s="94">
        <v>0</v>
      </c>
      <c r="X17" s="94">
        <v>0</v>
      </c>
      <c r="Y17" s="98"/>
      <c r="Z17" t="s">
        <v>6170</v>
      </c>
      <c r="AA17">
        <v>16</v>
      </c>
      <c r="AB17">
        <v>16</v>
      </c>
    </row>
    <row r="18" spans="1:33">
      <c r="A18" s="156">
        <v>132</v>
      </c>
      <c r="B18" s="157" t="s">
        <v>6179</v>
      </c>
      <c r="C18" s="157" t="s">
        <v>6224</v>
      </c>
      <c r="D18" s="157">
        <v>1000</v>
      </c>
      <c r="E18" s="157">
        <v>1499</v>
      </c>
      <c r="F18" s="360">
        <v>3.76</v>
      </c>
      <c r="I18" s="115">
        <v>248</v>
      </c>
      <c r="J18" s="116" t="s">
        <v>6225</v>
      </c>
      <c r="K18" s="117">
        <f t="shared" si="0"/>
        <v>134</v>
      </c>
      <c r="L18" s="117">
        <v>40</v>
      </c>
      <c r="M18" s="101"/>
      <c r="N18" s="117" t="s">
        <v>6226</v>
      </c>
      <c r="O18" s="117" t="str">
        <f>'Pads Calc'!F9</f>
        <v>Antimicrobial</v>
      </c>
      <c r="P18" s="117"/>
      <c r="Q18" s="117"/>
      <c r="R18" s="117"/>
      <c r="U18" s="94">
        <v>0.125</v>
      </c>
      <c r="V18" s="95">
        <v>0.125</v>
      </c>
      <c r="W18" s="94" t="s">
        <v>74</v>
      </c>
      <c r="X18" s="94">
        <v>125</v>
      </c>
      <c r="Y18" s="98"/>
      <c r="Z18" t="s">
        <v>6170</v>
      </c>
      <c r="AA18">
        <v>17</v>
      </c>
      <c r="AB18">
        <v>17</v>
      </c>
    </row>
    <row r="19" spans="1:33">
      <c r="A19" s="156">
        <v>132</v>
      </c>
      <c r="B19" s="157" t="s">
        <v>6179</v>
      </c>
      <c r="C19" t="s">
        <v>6227</v>
      </c>
      <c r="D19">
        <v>1500</v>
      </c>
      <c r="E19">
        <v>1999</v>
      </c>
      <c r="F19" s="360">
        <v>4.97</v>
      </c>
      <c r="I19" s="115">
        <v>254</v>
      </c>
      <c r="J19" s="116" t="s">
        <v>6228</v>
      </c>
      <c r="K19" s="117">
        <f t="shared" si="0"/>
        <v>152</v>
      </c>
      <c r="L19" s="117">
        <v>20</v>
      </c>
      <c r="M19" s="101"/>
      <c r="N19" s="117"/>
      <c r="O19" s="117"/>
      <c r="P19" s="117"/>
      <c r="Q19" s="117"/>
      <c r="R19" s="117"/>
      <c r="U19" s="94">
        <v>0.25</v>
      </c>
      <c r="V19" s="95">
        <v>0.25</v>
      </c>
      <c r="W19" s="94" t="s">
        <v>79</v>
      </c>
      <c r="X19" s="94">
        <v>25</v>
      </c>
      <c r="Y19" s="98"/>
      <c r="Z19" t="s">
        <v>6170</v>
      </c>
      <c r="AA19">
        <v>18</v>
      </c>
      <c r="AB19">
        <v>18</v>
      </c>
      <c r="AG19" s="335" t="s">
        <v>225</v>
      </c>
    </row>
    <row r="20" spans="1:33">
      <c r="A20" s="156">
        <v>132</v>
      </c>
      <c r="B20" s="157" t="s">
        <v>6179</v>
      </c>
      <c r="C20" t="s">
        <v>6229</v>
      </c>
      <c r="D20">
        <v>2000</v>
      </c>
      <c r="E20">
        <v>2499</v>
      </c>
      <c r="F20" s="360">
        <v>6.18</v>
      </c>
      <c r="I20" s="115">
        <v>250</v>
      </c>
      <c r="J20" s="116" t="s">
        <v>6230</v>
      </c>
      <c r="K20" s="117">
        <f t="shared" si="0"/>
        <v>136</v>
      </c>
      <c r="L20" s="117">
        <v>35</v>
      </c>
      <c r="M20" s="101"/>
      <c r="N20" s="117"/>
      <c r="O20" s="117"/>
      <c r="P20" s="117"/>
      <c r="Q20" s="117"/>
      <c r="R20" s="117"/>
      <c r="U20" s="94">
        <v>0.375</v>
      </c>
      <c r="V20" s="95">
        <v>0.375</v>
      </c>
      <c r="W20" s="94" t="s">
        <v>83</v>
      </c>
      <c r="X20" s="94">
        <v>375</v>
      </c>
      <c r="Y20" s="98"/>
      <c r="Z20" t="s">
        <v>6170</v>
      </c>
      <c r="AA20">
        <v>19</v>
      </c>
      <c r="AB20">
        <v>19</v>
      </c>
    </row>
    <row r="21" spans="1:33">
      <c r="A21" s="156">
        <v>132</v>
      </c>
      <c r="B21" s="157" t="s">
        <v>6179</v>
      </c>
      <c r="C21" t="s">
        <v>6231</v>
      </c>
      <c r="D21">
        <v>2500</v>
      </c>
      <c r="E21">
        <v>2999</v>
      </c>
      <c r="F21" s="360">
        <v>7.38</v>
      </c>
      <c r="I21" s="115">
        <v>256</v>
      </c>
      <c r="J21" s="116" t="s">
        <v>6232</v>
      </c>
      <c r="K21" s="117">
        <f t="shared" si="0"/>
        <v>176</v>
      </c>
      <c r="L21" s="117">
        <v>24</v>
      </c>
      <c r="M21" s="101"/>
      <c r="N21" s="122" t="s">
        <v>6233</v>
      </c>
      <c r="O21" s="122" t="s">
        <v>146</v>
      </c>
      <c r="P21" s="122" t="s">
        <v>229</v>
      </c>
      <c r="Q21" s="122" t="s">
        <v>146</v>
      </c>
      <c r="R21" s="117"/>
      <c r="U21" s="96">
        <v>0.5</v>
      </c>
      <c r="V21" s="97">
        <v>0.5</v>
      </c>
      <c r="W21" s="96" t="s">
        <v>80</v>
      </c>
      <c r="X21" s="96">
        <v>5</v>
      </c>
      <c r="Y21" s="99"/>
      <c r="Z21" t="s">
        <v>6170</v>
      </c>
      <c r="AA21">
        <v>20</v>
      </c>
      <c r="AB21">
        <v>20</v>
      </c>
    </row>
    <row r="22" spans="1:33" ht="14.25" customHeight="1">
      <c r="A22" s="156">
        <v>132</v>
      </c>
      <c r="B22" s="157" t="s">
        <v>6179</v>
      </c>
      <c r="C22" t="s">
        <v>6234</v>
      </c>
      <c r="D22">
        <v>3000</v>
      </c>
      <c r="E22">
        <v>3499</v>
      </c>
      <c r="F22" s="360">
        <v>8.59</v>
      </c>
      <c r="I22" s="115">
        <v>251</v>
      </c>
      <c r="J22" s="116" t="s">
        <v>6235</v>
      </c>
      <c r="K22" s="117">
        <f t="shared" si="0"/>
        <v>140</v>
      </c>
      <c r="L22" s="117">
        <v>100</v>
      </c>
      <c r="M22" s="101"/>
      <c r="N22" s="121">
        <f>'Pads Calc'!F12</f>
        <v>5</v>
      </c>
      <c r="O22" s="123">
        <f>'Pads Calc'!G12</f>
        <v>0</v>
      </c>
      <c r="P22" s="121">
        <f>'Pads Calc'!F13</f>
        <v>96</v>
      </c>
      <c r="Q22" s="123">
        <f>'Pads Calc'!G13</f>
        <v>0</v>
      </c>
      <c r="R22" s="117"/>
      <c r="U22" s="96">
        <v>0.625</v>
      </c>
      <c r="V22" s="97">
        <v>0.625</v>
      </c>
      <c r="W22" s="96" t="s">
        <v>89</v>
      </c>
      <c r="X22" s="96">
        <v>625</v>
      </c>
      <c r="Y22" s="99"/>
      <c r="Z22" t="s">
        <v>6170</v>
      </c>
      <c r="AA22">
        <v>21</v>
      </c>
      <c r="AB22">
        <v>21</v>
      </c>
    </row>
    <row r="23" spans="1:33" ht="14.25" customHeight="1">
      <c r="A23" s="156">
        <v>132</v>
      </c>
      <c r="B23" s="157" t="s">
        <v>6179</v>
      </c>
      <c r="C23" t="s">
        <v>6236</v>
      </c>
      <c r="D23">
        <v>3500</v>
      </c>
      <c r="E23">
        <v>3999</v>
      </c>
      <c r="F23" s="360">
        <v>9.8000000000000007</v>
      </c>
      <c r="I23" s="115">
        <v>252</v>
      </c>
      <c r="J23" s="116" t="s">
        <v>6237</v>
      </c>
      <c r="K23" s="117">
        <f t="shared" si="0"/>
        <v>143</v>
      </c>
      <c r="L23" s="117">
        <v>24</v>
      </c>
      <c r="M23" s="101"/>
      <c r="N23" s="123">
        <f>N22+O22</f>
        <v>5</v>
      </c>
      <c r="O23" s="117">
        <f>VLOOKUP(O22,$U$16:$X$24,3,FALSE)</f>
        <v>0</v>
      </c>
      <c r="P23" s="123">
        <f>P22+Q22</f>
        <v>96</v>
      </c>
      <c r="Q23" s="117">
        <f>VLOOKUP(Q22,$U$16:$X$24,3,FALSE)</f>
        <v>0</v>
      </c>
      <c r="R23" s="117"/>
      <c r="U23" s="96">
        <v>0.75</v>
      </c>
      <c r="V23" s="97">
        <v>0.75</v>
      </c>
      <c r="W23" s="96" t="s">
        <v>93</v>
      </c>
      <c r="X23" s="96">
        <v>75</v>
      </c>
      <c r="Y23" s="99"/>
      <c r="Z23" t="s">
        <v>6170</v>
      </c>
      <c r="AA23">
        <v>22</v>
      </c>
      <c r="AB23">
        <v>22</v>
      </c>
    </row>
    <row r="24" spans="1:33" ht="14.25" customHeight="1">
      <c r="A24" s="156">
        <v>132</v>
      </c>
      <c r="B24" s="157" t="s">
        <v>6179</v>
      </c>
      <c r="C24" t="s">
        <v>6238</v>
      </c>
      <c r="D24">
        <v>4000</v>
      </c>
      <c r="E24">
        <v>4499</v>
      </c>
      <c r="F24" s="360">
        <v>11.01</v>
      </c>
      <c r="I24" s="115">
        <v>255</v>
      </c>
      <c r="J24" s="116" t="s">
        <v>6239</v>
      </c>
      <c r="K24" s="117">
        <f t="shared" si="0"/>
        <v>170</v>
      </c>
      <c r="L24" s="117">
        <v>25</v>
      </c>
      <c r="M24" s="101"/>
      <c r="N24" s="117"/>
      <c r="O24" s="117"/>
      <c r="P24" s="117"/>
      <c r="Q24" s="117"/>
      <c r="R24" s="117"/>
      <c r="U24" s="96">
        <v>0.875</v>
      </c>
      <c r="V24" s="97">
        <v>0.875</v>
      </c>
      <c r="W24" s="96" t="s">
        <v>96</v>
      </c>
      <c r="X24" s="96">
        <v>875</v>
      </c>
      <c r="Y24" s="99"/>
      <c r="Z24" t="s">
        <v>6170</v>
      </c>
      <c r="AA24">
        <v>23</v>
      </c>
      <c r="AB24">
        <v>23</v>
      </c>
    </row>
    <row r="25" spans="1:33">
      <c r="A25" s="156">
        <v>132</v>
      </c>
      <c r="B25" s="157" t="s">
        <v>6179</v>
      </c>
      <c r="C25" t="s">
        <v>6240</v>
      </c>
      <c r="D25">
        <v>4500</v>
      </c>
      <c r="E25">
        <v>4999</v>
      </c>
      <c r="F25" s="360">
        <v>12.22</v>
      </c>
      <c r="I25" s="101"/>
      <c r="J25" s="116"/>
      <c r="K25" s="101"/>
      <c r="L25" s="101"/>
      <c r="M25" s="101"/>
      <c r="N25" s="122" t="s">
        <v>166</v>
      </c>
      <c r="O25" s="117" t="str">
        <f>CONCATENATE(O16,IF(N22&lt;10,CONCATENATE("0",N22),N22),IF(O23=0,"",O23),IF(P22&lt;10,CONCATENATE("0",P22),P22),IF(Q23=0,"",Q23),IF(O18="Standard","","AT"))</f>
        <v>1300596AT</v>
      </c>
      <c r="P25" s="122" t="s">
        <v>370</v>
      </c>
      <c r="Q25" s="117">
        <f>IF(P22&lt;26,VLOOKUP(O16,L40:M48,2,FALSE),IF(P22&lt;=50,K41,IF(P22&lt;=75,K42,IF(P22&lt;=100,K43,IF(P22&lt;=180,K44,IF(P22&lt;=250,K45,K46))))))</f>
        <v>8</v>
      </c>
      <c r="R25" s="117"/>
      <c r="Z25" t="s">
        <v>6170</v>
      </c>
      <c r="AA25">
        <v>24</v>
      </c>
      <c r="AB25">
        <v>24</v>
      </c>
    </row>
    <row r="26" spans="1:33">
      <c r="A26" s="156">
        <v>132</v>
      </c>
      <c r="B26" s="157" t="s">
        <v>6179</v>
      </c>
      <c r="C26" t="s">
        <v>6241</v>
      </c>
      <c r="D26">
        <v>5000</v>
      </c>
      <c r="E26">
        <v>5499</v>
      </c>
      <c r="F26" s="360">
        <v>13.43</v>
      </c>
      <c r="J26" s="116"/>
      <c r="N26" s="122" t="s">
        <v>27</v>
      </c>
      <c r="O26" s="124">
        <f>IF(O18=Q16,VLOOKUP(O16,K28:L36,2,FALSE),IF(O18=Q17,VLOOKUP(O16,K28:M36,3,FALSE),"ERROR"))</f>
        <v>2.06</v>
      </c>
      <c r="P26" s="122" t="s">
        <v>29</v>
      </c>
      <c r="Q26" s="124">
        <f>O26*Q25</f>
        <v>16.48</v>
      </c>
      <c r="R26" s="117"/>
      <c r="Z26" t="s">
        <v>6170</v>
      </c>
      <c r="AA26">
        <v>25</v>
      </c>
      <c r="AB26">
        <v>25</v>
      </c>
    </row>
    <row r="27" spans="1:33">
      <c r="A27" s="156">
        <v>132</v>
      </c>
      <c r="B27" s="157" t="s">
        <v>6179</v>
      </c>
      <c r="C27" t="s">
        <v>6242</v>
      </c>
      <c r="D27">
        <v>5500</v>
      </c>
      <c r="E27">
        <v>5999</v>
      </c>
      <c r="F27" s="360">
        <v>14.64</v>
      </c>
      <c r="K27" s="494" t="s">
        <v>6243</v>
      </c>
      <c r="L27" s="494"/>
      <c r="M27" s="110" t="s">
        <v>6177</v>
      </c>
      <c r="S27" s="16" t="s">
        <v>6244</v>
      </c>
      <c r="T27" s="119" t="s">
        <v>6245</v>
      </c>
      <c r="Z27" t="s">
        <v>6170</v>
      </c>
      <c r="AA27">
        <v>26</v>
      </c>
      <c r="AB27">
        <v>26</v>
      </c>
    </row>
    <row r="28" spans="1:33">
      <c r="A28" s="156">
        <v>132</v>
      </c>
      <c r="B28" s="157" t="s">
        <v>6179</v>
      </c>
      <c r="C28" t="s">
        <v>6246</v>
      </c>
      <c r="D28">
        <v>6000</v>
      </c>
      <c r="E28">
        <v>6499</v>
      </c>
      <c r="F28" s="360">
        <v>15.85</v>
      </c>
      <c r="K28" s="116">
        <v>130</v>
      </c>
      <c r="L28" s="118" cm="1">
        <f t="array" ref="L28">IFERROR(LOOKUP($O$17,1/(($O$17&gt;=min_130)*($O$17&lt;=max_130)),price_130),"Please contact Customer Service")</f>
        <v>1.79</v>
      </c>
      <c r="M28" s="118" cm="1">
        <f t="array" ref="M28">IFERROR(LOOKUP(O17,1/((O17&gt;=min_130)*(O17&lt;=max_130)),price_130_at),"Please contact Customer Service")</f>
        <v>2.06</v>
      </c>
      <c r="S28" t="e">
        <f>_xlfn.NUMBERVALUE(O25)</f>
        <v>#VALUE!</v>
      </c>
      <c r="Z28" t="s">
        <v>6170</v>
      </c>
      <c r="AA28">
        <v>27</v>
      </c>
      <c r="AB28">
        <v>27</v>
      </c>
    </row>
    <row r="29" spans="1:33">
      <c r="A29" s="156">
        <v>132</v>
      </c>
      <c r="B29" s="157" t="s">
        <v>6179</v>
      </c>
      <c r="C29" t="s">
        <v>6247</v>
      </c>
      <c r="D29">
        <v>6500</v>
      </c>
      <c r="E29">
        <v>6999</v>
      </c>
      <c r="F29" s="360">
        <v>17.059999999999999</v>
      </c>
      <c r="K29" s="116">
        <v>132</v>
      </c>
      <c r="L29" s="118" cm="1">
        <f t="array" ref="L29">IFERROR(LOOKUP($O$17,1/(($O$17&gt;=min_132)*($O$17&lt;=max_132)),price_132),"Please contact Customer Service")</f>
        <v>1.51</v>
      </c>
      <c r="M29" s="118" t="s">
        <v>64</v>
      </c>
      <c r="Z29" t="s">
        <v>6170</v>
      </c>
      <c r="AA29">
        <v>28</v>
      </c>
      <c r="AB29">
        <v>28</v>
      </c>
    </row>
    <row r="30" spans="1:33">
      <c r="A30" s="156">
        <v>132</v>
      </c>
      <c r="B30" s="157" t="s">
        <v>6179</v>
      </c>
      <c r="C30" t="s">
        <v>6248</v>
      </c>
      <c r="D30">
        <v>7000</v>
      </c>
      <c r="E30">
        <v>7499</v>
      </c>
      <c r="F30" s="360">
        <v>18.27</v>
      </c>
      <c r="K30" s="116">
        <v>134</v>
      </c>
      <c r="L30" s="118" cm="1">
        <f t="array" ref="L30">IFERROR(LOOKUP($O$17,1/(($O$17&gt;=min_134)*($O$17&lt;=max_134)),price_134),"Please contact Customer Service")</f>
        <v>1.83</v>
      </c>
      <c r="M30" s="118" t="s">
        <v>64</v>
      </c>
      <c r="P30" s="114" t="s">
        <v>6249</v>
      </c>
      <c r="Q30" s="16"/>
      <c r="Z30" t="s">
        <v>6170</v>
      </c>
      <c r="AA30">
        <v>29</v>
      </c>
      <c r="AB30">
        <v>29</v>
      </c>
    </row>
    <row r="31" spans="1:33">
      <c r="A31" s="156">
        <v>132</v>
      </c>
      <c r="B31" s="157" t="s">
        <v>6179</v>
      </c>
      <c r="C31" t="s">
        <v>6250</v>
      </c>
      <c r="D31">
        <v>7500</v>
      </c>
      <c r="E31">
        <v>7999</v>
      </c>
      <c r="F31" s="360">
        <v>19.47</v>
      </c>
      <c r="K31" s="116">
        <v>152</v>
      </c>
      <c r="L31" s="118" cm="1">
        <f t="array" ref="L31">IFERROR(LOOKUP($O$17,1/(($O$17&gt;=min_152)*($O$17&lt;=max_152)),price_152),"Please contact Customer Service")</f>
        <v>2.74</v>
      </c>
      <c r="M31" s="118" t="s">
        <v>64</v>
      </c>
      <c r="P31" s="116" cm="1">
        <f t="array" ref="P31:P97">_xlfn.TOCOL(_xlfn.ANCHORARRAY(_xlfn.XLOOKUP('Pads Calc'!F7,AG5:AG14,AH5:AH14)))</f>
        <v>4</v>
      </c>
      <c r="Q31">
        <v>4</v>
      </c>
      <c r="S31" s="497" t="s">
        <v>6251</v>
      </c>
      <c r="T31" s="497"/>
      <c r="U31" s="134"/>
      <c r="V31" s="134"/>
      <c r="W31" s="134"/>
      <c r="Z31" t="s">
        <v>6170</v>
      </c>
      <c r="AA31">
        <v>30</v>
      </c>
      <c r="AB31">
        <v>30</v>
      </c>
    </row>
    <row r="32" spans="1:33">
      <c r="A32" s="156">
        <v>132</v>
      </c>
      <c r="B32" s="157" t="s">
        <v>6179</v>
      </c>
      <c r="C32" t="s">
        <v>6252</v>
      </c>
      <c r="D32">
        <v>8000</v>
      </c>
      <c r="E32">
        <v>8499</v>
      </c>
      <c r="F32" s="360">
        <v>20.68</v>
      </c>
      <c r="K32" s="116">
        <v>136</v>
      </c>
      <c r="L32" s="118" cm="1">
        <f t="array" ref="L32">IFERROR(LOOKUP($O$17,1/(($O$17&gt;=min_136)*($O$17&lt;=max_136)),price_136),"Please contact Customer Service")</f>
        <v>2.61</v>
      </c>
      <c r="M32" s="118" t="s">
        <v>64</v>
      </c>
      <c r="P32" s="116">
        <v>5</v>
      </c>
      <c r="Q32">
        <v>5</v>
      </c>
      <c r="S32" s="136" t="s">
        <v>6253</v>
      </c>
      <c r="T32" s="137" t="s">
        <v>6254</v>
      </c>
      <c r="V32" s="138"/>
      <c r="Z32" t="s">
        <v>6170</v>
      </c>
      <c r="AA32">
        <v>31</v>
      </c>
      <c r="AB32">
        <v>31</v>
      </c>
    </row>
    <row r="33" spans="1:28">
      <c r="A33" s="156">
        <v>132</v>
      </c>
      <c r="B33" s="157" t="s">
        <v>6179</v>
      </c>
      <c r="C33" t="s">
        <v>6255</v>
      </c>
      <c r="D33">
        <v>8500</v>
      </c>
      <c r="E33">
        <v>8999</v>
      </c>
      <c r="F33" s="360">
        <v>21.89</v>
      </c>
      <c r="K33" s="116">
        <v>176</v>
      </c>
      <c r="L33" s="118" cm="1">
        <f t="array" ref="L33">IFERROR(LOOKUP($O$17,1/(($O$17&gt;=min_176)*($O$17&lt;=max_176)),price_176),"Please contact Customer Service")</f>
        <v>3.16</v>
      </c>
      <c r="M33" s="118" t="s">
        <v>64</v>
      </c>
      <c r="P33" s="116">
        <v>6</v>
      </c>
      <c r="Q33">
        <v>6</v>
      </c>
      <c r="S33" s="139">
        <v>1301224</v>
      </c>
      <c r="T33" s="140" t="s">
        <v>333</v>
      </c>
      <c r="V33" s="141"/>
      <c r="Z33" t="s">
        <v>6170</v>
      </c>
      <c r="AA33">
        <v>32</v>
      </c>
      <c r="AB33">
        <v>32</v>
      </c>
    </row>
    <row r="34" spans="1:28">
      <c r="A34" s="156">
        <v>132</v>
      </c>
      <c r="B34" s="157" t="s">
        <v>6179</v>
      </c>
      <c r="C34" t="s">
        <v>6256</v>
      </c>
      <c r="D34">
        <v>9000</v>
      </c>
      <c r="E34">
        <v>9499</v>
      </c>
      <c r="F34" s="360">
        <v>23.1</v>
      </c>
      <c r="K34" s="116">
        <v>140</v>
      </c>
      <c r="L34" s="118" cm="1">
        <f t="array" ref="L34">IFERROR(LOOKUP($O$17,1/(($O$17&gt;=min_140)*($O$17&lt;=max_140)),price_140),"Please contact Customer Service")</f>
        <v>6.71</v>
      </c>
      <c r="M34" s="118" cm="1">
        <f t="array" ref="M34">IFERROR(LOOKUP($O$17,1/(($O$17&gt;=min_140)*($O$17&lt;=max_140)),price_140_at),"Please contact Customer Service")</f>
        <v>7.72</v>
      </c>
      <c r="P34" s="116">
        <v>7</v>
      </c>
      <c r="Q34">
        <v>7</v>
      </c>
      <c r="S34" s="139">
        <v>1301520</v>
      </c>
      <c r="T34" s="140" t="s">
        <v>333</v>
      </c>
      <c r="V34" s="141"/>
      <c r="Z34" t="s">
        <v>6170</v>
      </c>
      <c r="AA34">
        <v>33</v>
      </c>
      <c r="AB34">
        <v>33</v>
      </c>
    </row>
    <row r="35" spans="1:28">
      <c r="A35" s="159">
        <v>132</v>
      </c>
      <c r="B35" s="160" t="s">
        <v>6179</v>
      </c>
      <c r="C35" s="90" t="s">
        <v>6257</v>
      </c>
      <c r="D35" s="90">
        <v>9500</v>
      </c>
      <c r="E35" s="90">
        <v>10000</v>
      </c>
      <c r="F35" s="360">
        <v>24.31</v>
      </c>
      <c r="K35" s="116">
        <v>143</v>
      </c>
      <c r="L35" s="118" cm="1">
        <f t="array" ref="L35">IFERROR(LOOKUP($O$17,1/(($O$17&gt;=min_143)*($O$17&lt;=max_143)),price_143),"Please contact Customer Service")</f>
        <v>7.42</v>
      </c>
      <c r="M35" s="118" cm="1">
        <f t="array" ref="M35">IFERROR(LOOKUP($O$17,1/(($O$17&gt;=min_143)*($O$17&lt;=max_143)),price_143_at),"Please contact Customer Service")</f>
        <v>8.5299999999999994</v>
      </c>
      <c r="P35" s="116">
        <v>8</v>
      </c>
      <c r="Q35">
        <v>8</v>
      </c>
      <c r="S35" s="139">
        <v>1301620</v>
      </c>
      <c r="T35" s="140" t="s">
        <v>333</v>
      </c>
      <c r="V35" s="141"/>
      <c r="Z35" t="s">
        <v>6170</v>
      </c>
      <c r="AA35">
        <v>34</v>
      </c>
      <c r="AB35">
        <v>34</v>
      </c>
    </row>
    <row r="36" spans="1:28">
      <c r="A36" s="156">
        <v>130</v>
      </c>
      <c r="B36" s="157" t="s">
        <v>6258</v>
      </c>
      <c r="C36" s="157" t="s">
        <v>6180</v>
      </c>
      <c r="D36" s="157">
        <v>16</v>
      </c>
      <c r="E36" s="157">
        <v>249</v>
      </c>
      <c r="F36" s="360">
        <v>1.21</v>
      </c>
      <c r="G36" s="89">
        <v>1.39</v>
      </c>
      <c r="K36" s="116">
        <v>170</v>
      </c>
      <c r="L36" s="118" cm="1">
        <f t="array" ref="L36">IFERROR(LOOKUP($O$17,1/(($O$17&gt;=min_170)*($O$17&lt;=max_170)),price_170),"Please contact Customer Service")</f>
        <v>3.35</v>
      </c>
      <c r="M36" s="118" t="s">
        <v>64</v>
      </c>
      <c r="P36" s="116">
        <v>9</v>
      </c>
      <c r="Q36">
        <v>9</v>
      </c>
      <c r="S36" s="139">
        <v>1301625</v>
      </c>
      <c r="T36" s="140" t="s">
        <v>333</v>
      </c>
      <c r="V36" s="141"/>
      <c r="Z36" t="s">
        <v>6170</v>
      </c>
      <c r="AA36">
        <v>35</v>
      </c>
      <c r="AB36">
        <v>35</v>
      </c>
    </row>
    <row r="37" spans="1:28">
      <c r="A37" s="156">
        <v>130</v>
      </c>
      <c r="B37" s="157" t="s">
        <v>6258</v>
      </c>
      <c r="C37" s="157" t="s">
        <v>6185</v>
      </c>
      <c r="D37" s="157">
        <v>250</v>
      </c>
      <c r="E37" s="157">
        <v>299</v>
      </c>
      <c r="F37" s="360">
        <v>1.33</v>
      </c>
      <c r="G37" s="89">
        <v>1.53</v>
      </c>
      <c r="K37" s="73"/>
      <c r="L37" s="72"/>
      <c r="M37" s="72"/>
      <c r="P37" s="116">
        <v>10</v>
      </c>
      <c r="Q37">
        <v>10</v>
      </c>
      <c r="S37" s="139">
        <v>1302020</v>
      </c>
      <c r="T37" s="140" t="s">
        <v>333</v>
      </c>
      <c r="V37" s="141"/>
      <c r="Z37" t="s">
        <v>6170</v>
      </c>
      <c r="AA37">
        <v>36</v>
      </c>
      <c r="AB37">
        <v>36</v>
      </c>
    </row>
    <row r="38" spans="1:28">
      <c r="A38" s="156">
        <v>130</v>
      </c>
      <c r="B38" s="157" t="s">
        <v>6258</v>
      </c>
      <c r="C38" s="157" t="s">
        <v>6187</v>
      </c>
      <c r="D38" s="157">
        <v>300</v>
      </c>
      <c r="E38" s="157">
        <v>349</v>
      </c>
      <c r="F38" s="360">
        <v>1.44</v>
      </c>
      <c r="G38" s="89">
        <v>1.66</v>
      </c>
      <c r="J38" s="495" t="s">
        <v>6259</v>
      </c>
      <c r="K38" s="495"/>
      <c r="L38" s="495"/>
      <c r="M38" s="495"/>
      <c r="P38" s="116">
        <v>11</v>
      </c>
      <c r="Q38">
        <v>11</v>
      </c>
      <c r="S38" s="139">
        <v>1302024</v>
      </c>
      <c r="T38" s="140" t="s">
        <v>333</v>
      </c>
      <c r="V38" s="141"/>
      <c r="Z38" t="s">
        <v>6170</v>
      </c>
      <c r="AA38">
        <v>37</v>
      </c>
      <c r="AB38">
        <v>37</v>
      </c>
    </row>
    <row r="39" spans="1:28">
      <c r="A39" s="156">
        <v>130</v>
      </c>
      <c r="B39" s="157" t="s">
        <v>6258</v>
      </c>
      <c r="C39" s="157" t="s">
        <v>6193</v>
      </c>
      <c r="D39" s="157">
        <v>350</v>
      </c>
      <c r="E39" s="157">
        <v>399</v>
      </c>
      <c r="F39" s="360">
        <v>1.56</v>
      </c>
      <c r="G39" s="89">
        <v>1.79</v>
      </c>
      <c r="J39" s="116"/>
      <c r="K39" s="116" t="s">
        <v>6260</v>
      </c>
      <c r="L39" s="116" t="s">
        <v>59</v>
      </c>
      <c r="M39" s="116" t="s">
        <v>6261</v>
      </c>
      <c r="P39" s="116">
        <v>12</v>
      </c>
      <c r="Q39">
        <v>12</v>
      </c>
      <c r="S39" s="139">
        <v>1302025</v>
      </c>
      <c r="T39" s="140" t="s">
        <v>333</v>
      </c>
      <c r="V39" s="141"/>
      <c r="Z39" t="s">
        <v>6170</v>
      </c>
      <c r="AA39">
        <v>38</v>
      </c>
      <c r="AB39">
        <v>38</v>
      </c>
    </row>
    <row r="40" spans="1:28">
      <c r="A40" s="156">
        <v>130</v>
      </c>
      <c r="B40" s="157" t="s">
        <v>6258</v>
      </c>
      <c r="C40" s="157" t="s">
        <v>6196</v>
      </c>
      <c r="D40" s="157">
        <v>400</v>
      </c>
      <c r="E40" s="157">
        <v>449</v>
      </c>
      <c r="F40" s="360">
        <v>1.68</v>
      </c>
      <c r="G40" s="89">
        <v>1.93</v>
      </c>
      <c r="J40" s="116" t="s">
        <v>213</v>
      </c>
      <c r="K40" s="116" t="s">
        <v>6262</v>
      </c>
      <c r="L40" s="117">
        <v>130</v>
      </c>
      <c r="M40" s="117">
        <v>100</v>
      </c>
      <c r="P40" s="116">
        <v>13</v>
      </c>
      <c r="Q40">
        <v>13</v>
      </c>
      <c r="S40" s="139">
        <v>1302424</v>
      </c>
      <c r="T40" s="140" t="s">
        <v>333</v>
      </c>
      <c r="V40" s="141"/>
      <c r="Z40" t="s">
        <v>6170</v>
      </c>
      <c r="AA40">
        <v>39</v>
      </c>
      <c r="AB40">
        <v>39</v>
      </c>
    </row>
    <row r="41" spans="1:28">
      <c r="A41" s="156">
        <v>130</v>
      </c>
      <c r="B41" s="157" t="s">
        <v>6258</v>
      </c>
      <c r="C41" s="157" t="s">
        <v>6199</v>
      </c>
      <c r="D41" s="157">
        <v>450</v>
      </c>
      <c r="E41" s="157">
        <v>499</v>
      </c>
      <c r="F41" s="360">
        <v>1.79</v>
      </c>
      <c r="G41" s="89">
        <v>2.06</v>
      </c>
      <c r="J41" s="116" t="s">
        <v>6263</v>
      </c>
      <c r="K41" s="133">
        <v>15</v>
      </c>
      <c r="L41" s="117">
        <v>132</v>
      </c>
      <c r="M41" s="117">
        <v>40</v>
      </c>
      <c r="P41" s="116">
        <v>14</v>
      </c>
      <c r="Q41">
        <v>14</v>
      </c>
      <c r="S41" s="139">
        <v>1302525</v>
      </c>
      <c r="T41" s="140" t="s">
        <v>333</v>
      </c>
      <c r="V41" s="141"/>
      <c r="Z41" t="s">
        <v>6170</v>
      </c>
      <c r="AA41">
        <v>40</v>
      </c>
      <c r="AB41">
        <v>40</v>
      </c>
    </row>
    <row r="42" spans="1:28">
      <c r="A42" s="156">
        <v>130</v>
      </c>
      <c r="B42" s="157" t="s">
        <v>6258</v>
      </c>
      <c r="C42" s="157" t="s">
        <v>6201</v>
      </c>
      <c r="D42" s="157">
        <v>500</v>
      </c>
      <c r="E42" s="157">
        <v>549</v>
      </c>
      <c r="F42" s="360">
        <v>1.91</v>
      </c>
      <c r="G42" s="89">
        <v>2.2000000000000002</v>
      </c>
      <c r="J42" s="116" t="s">
        <v>6264</v>
      </c>
      <c r="K42" s="133">
        <v>10</v>
      </c>
      <c r="L42" s="117">
        <v>134</v>
      </c>
      <c r="M42" s="117">
        <v>30</v>
      </c>
      <c r="P42" s="116">
        <v>15</v>
      </c>
      <c r="Q42">
        <v>15</v>
      </c>
      <c r="S42" s="139">
        <v>10022600</v>
      </c>
      <c r="T42" s="140" t="s">
        <v>333</v>
      </c>
      <c r="V42" s="141"/>
      <c r="Z42" t="s">
        <v>6170</v>
      </c>
      <c r="AA42">
        <v>41</v>
      </c>
      <c r="AB42">
        <v>41</v>
      </c>
    </row>
    <row r="43" spans="1:28">
      <c r="A43" s="156">
        <v>130</v>
      </c>
      <c r="B43" s="157" t="s">
        <v>6258</v>
      </c>
      <c r="C43" s="157" t="s">
        <v>6203</v>
      </c>
      <c r="D43" s="157">
        <v>550</v>
      </c>
      <c r="E43" s="157">
        <v>599</v>
      </c>
      <c r="F43" s="360">
        <v>2.0299999999999998</v>
      </c>
      <c r="G43" s="89">
        <v>2.33</v>
      </c>
      <c r="J43" s="116" t="s">
        <v>6265</v>
      </c>
      <c r="K43" s="133">
        <v>8</v>
      </c>
      <c r="L43" s="117">
        <v>152</v>
      </c>
      <c r="M43" s="117">
        <v>20</v>
      </c>
      <c r="P43" s="116">
        <v>16</v>
      </c>
      <c r="Q43">
        <v>16</v>
      </c>
      <c r="S43" s="139">
        <v>10026600</v>
      </c>
      <c r="T43" s="140" t="s">
        <v>333</v>
      </c>
      <c r="V43" s="141"/>
      <c r="Z43" t="s">
        <v>6170</v>
      </c>
      <c r="AA43">
        <v>42</v>
      </c>
      <c r="AB43">
        <v>42</v>
      </c>
    </row>
    <row r="44" spans="1:28">
      <c r="A44" s="156">
        <v>130</v>
      </c>
      <c r="B44" s="157" t="s">
        <v>6258</v>
      </c>
      <c r="C44" s="157" t="s">
        <v>6205</v>
      </c>
      <c r="D44" s="157">
        <v>600</v>
      </c>
      <c r="E44" s="157">
        <v>649</v>
      </c>
      <c r="F44" s="360">
        <v>2.15</v>
      </c>
      <c r="G44" s="89">
        <v>2.4700000000000002</v>
      </c>
      <c r="J44" s="116" t="s">
        <v>6266</v>
      </c>
      <c r="K44" s="133">
        <v>6</v>
      </c>
      <c r="L44" s="117">
        <v>136</v>
      </c>
      <c r="M44" s="117">
        <v>35</v>
      </c>
      <c r="P44" s="116">
        <v>17</v>
      </c>
      <c r="Q44">
        <v>17</v>
      </c>
      <c r="S44" s="139">
        <v>10050300</v>
      </c>
      <c r="T44" s="140" t="s">
        <v>333</v>
      </c>
      <c r="V44" s="141"/>
      <c r="Z44" t="s">
        <v>6170</v>
      </c>
      <c r="AA44">
        <v>43</v>
      </c>
      <c r="AB44">
        <v>43</v>
      </c>
    </row>
    <row r="45" spans="1:28">
      <c r="A45" s="156">
        <v>130</v>
      </c>
      <c r="B45" s="157" t="s">
        <v>6258</v>
      </c>
      <c r="C45" s="157" t="s">
        <v>6207</v>
      </c>
      <c r="D45" s="157">
        <v>650</v>
      </c>
      <c r="E45" s="157">
        <v>699</v>
      </c>
      <c r="F45" s="360">
        <v>2.2599999999999998</v>
      </c>
      <c r="G45" s="89">
        <v>2.6</v>
      </c>
      <c r="J45" s="116" t="s">
        <v>6267</v>
      </c>
      <c r="K45" s="133">
        <v>4</v>
      </c>
      <c r="L45" s="117">
        <v>176</v>
      </c>
      <c r="M45" s="117">
        <v>25</v>
      </c>
      <c r="P45" s="116">
        <v>18</v>
      </c>
      <c r="Q45">
        <v>18</v>
      </c>
      <c r="S45" s="139">
        <v>10060300</v>
      </c>
      <c r="T45" s="140" t="s">
        <v>333</v>
      </c>
      <c r="V45" s="141"/>
      <c r="Z45" t="s">
        <v>6170</v>
      </c>
      <c r="AA45">
        <v>44</v>
      </c>
      <c r="AB45">
        <v>44</v>
      </c>
    </row>
    <row r="46" spans="1:28">
      <c r="A46" s="156">
        <v>130</v>
      </c>
      <c r="B46" s="157" t="s">
        <v>6258</v>
      </c>
      <c r="C46" s="157" t="s">
        <v>6211</v>
      </c>
      <c r="D46" s="157">
        <v>700</v>
      </c>
      <c r="E46" s="157">
        <v>749</v>
      </c>
      <c r="F46" s="360">
        <v>2.38</v>
      </c>
      <c r="G46" s="89">
        <v>2.74</v>
      </c>
      <c r="J46" s="116" t="s">
        <v>6268</v>
      </c>
      <c r="K46" s="133">
        <v>1</v>
      </c>
      <c r="L46" s="117">
        <v>140</v>
      </c>
      <c r="M46" s="117">
        <v>100</v>
      </c>
      <c r="P46" s="116">
        <v>19</v>
      </c>
      <c r="Q46">
        <v>19</v>
      </c>
      <c r="S46" s="142">
        <v>1321224</v>
      </c>
      <c r="T46" s="140" t="s">
        <v>333</v>
      </c>
      <c r="V46" s="141"/>
      <c r="Z46" t="s">
        <v>6170</v>
      </c>
      <c r="AA46">
        <v>45</v>
      </c>
      <c r="AB46">
        <v>45</v>
      </c>
    </row>
    <row r="47" spans="1:28">
      <c r="A47" s="156">
        <v>130</v>
      </c>
      <c r="B47" s="157" t="s">
        <v>6258</v>
      </c>
      <c r="C47" s="157" t="s">
        <v>6212</v>
      </c>
      <c r="D47" s="157">
        <v>750</v>
      </c>
      <c r="E47" s="157">
        <v>799</v>
      </c>
      <c r="F47" s="360">
        <v>2.5</v>
      </c>
      <c r="G47" s="89">
        <v>2.88</v>
      </c>
      <c r="J47" s="116"/>
      <c r="K47" s="116"/>
      <c r="L47" s="117">
        <v>143</v>
      </c>
      <c r="M47" s="117">
        <v>25</v>
      </c>
      <c r="P47" s="116">
        <v>20</v>
      </c>
      <c r="Q47">
        <v>20</v>
      </c>
      <c r="S47" s="142">
        <v>1321520</v>
      </c>
      <c r="T47" s="140" t="s">
        <v>333</v>
      </c>
      <c r="V47" s="141"/>
      <c r="Z47" t="s">
        <v>6170</v>
      </c>
      <c r="AA47">
        <v>46</v>
      </c>
      <c r="AB47">
        <v>46</v>
      </c>
    </row>
    <row r="48" spans="1:28">
      <c r="A48" s="156">
        <v>130</v>
      </c>
      <c r="B48" s="157" t="s">
        <v>6258</v>
      </c>
      <c r="C48" s="157" t="s">
        <v>6213</v>
      </c>
      <c r="D48" s="157">
        <v>800</v>
      </c>
      <c r="E48" s="157">
        <v>849</v>
      </c>
      <c r="F48" s="360">
        <v>2.61</v>
      </c>
      <c r="G48" s="89">
        <v>3</v>
      </c>
      <c r="J48" s="116"/>
      <c r="K48" s="116"/>
      <c r="L48" s="117">
        <v>170</v>
      </c>
      <c r="M48" s="117">
        <v>25</v>
      </c>
      <c r="P48" s="116">
        <v>21</v>
      </c>
      <c r="Q48">
        <v>21</v>
      </c>
      <c r="S48" s="142">
        <v>1321620</v>
      </c>
      <c r="T48" s="140" t="s">
        <v>333</v>
      </c>
      <c r="V48" s="141"/>
      <c r="Z48" t="s">
        <v>6170</v>
      </c>
      <c r="AA48">
        <v>47</v>
      </c>
      <c r="AB48">
        <v>47</v>
      </c>
    </row>
    <row r="49" spans="1:28">
      <c r="A49" s="156">
        <v>130</v>
      </c>
      <c r="B49" s="157" t="s">
        <v>6258</v>
      </c>
      <c r="C49" s="157" t="s">
        <v>6216</v>
      </c>
      <c r="D49" s="157">
        <v>850</v>
      </c>
      <c r="E49" s="157">
        <v>899</v>
      </c>
      <c r="F49" s="360">
        <v>2.73</v>
      </c>
      <c r="G49" s="89">
        <v>3.14</v>
      </c>
      <c r="P49" s="116">
        <v>22</v>
      </c>
      <c r="Q49">
        <v>22</v>
      </c>
      <c r="S49" s="139">
        <v>1321625</v>
      </c>
      <c r="T49" s="140" t="s">
        <v>333</v>
      </c>
      <c r="V49" s="141"/>
      <c r="Z49" t="s">
        <v>6170</v>
      </c>
      <c r="AA49">
        <v>48</v>
      </c>
      <c r="AB49">
        <v>48</v>
      </c>
    </row>
    <row r="50" spans="1:28">
      <c r="A50" s="156">
        <v>130</v>
      </c>
      <c r="B50" s="157" t="s">
        <v>6258</v>
      </c>
      <c r="C50" s="157" t="s">
        <v>6221</v>
      </c>
      <c r="D50" s="157">
        <v>900</v>
      </c>
      <c r="E50" s="157">
        <v>949</v>
      </c>
      <c r="F50" s="360">
        <v>2.85</v>
      </c>
      <c r="G50" s="89">
        <v>3.28</v>
      </c>
      <c r="L50" s="72"/>
      <c r="M50" s="72"/>
      <c r="P50" s="116">
        <v>23</v>
      </c>
      <c r="Q50">
        <v>23</v>
      </c>
      <c r="S50" s="142">
        <v>1322020</v>
      </c>
      <c r="T50" s="140" t="s">
        <v>333</v>
      </c>
      <c r="V50" s="141"/>
      <c r="Z50" t="s">
        <v>6170</v>
      </c>
      <c r="AA50">
        <v>49</v>
      </c>
      <c r="AB50">
        <v>49</v>
      </c>
    </row>
    <row r="51" spans="1:28">
      <c r="A51" s="156">
        <v>130</v>
      </c>
      <c r="B51" s="157" t="s">
        <v>6258</v>
      </c>
      <c r="C51" s="157" t="s">
        <v>6222</v>
      </c>
      <c r="D51" s="157">
        <v>950</v>
      </c>
      <c r="E51" s="157">
        <v>999</v>
      </c>
      <c r="F51" s="360">
        <v>2.96</v>
      </c>
      <c r="G51" s="89">
        <v>3.4</v>
      </c>
      <c r="P51" s="116">
        <v>24</v>
      </c>
      <c r="Q51">
        <v>24</v>
      </c>
      <c r="S51" s="142">
        <v>1322024</v>
      </c>
      <c r="T51" s="140" t="s">
        <v>333</v>
      </c>
      <c r="V51" s="141"/>
      <c r="Z51" t="s">
        <v>6170</v>
      </c>
      <c r="AA51">
        <v>50</v>
      </c>
      <c r="AB51">
        <v>50</v>
      </c>
    </row>
    <row r="52" spans="1:28">
      <c r="A52" s="156">
        <v>130</v>
      </c>
      <c r="B52" s="157" t="s">
        <v>6258</v>
      </c>
      <c r="C52" s="157" t="s">
        <v>6224</v>
      </c>
      <c r="D52" s="157">
        <v>1000</v>
      </c>
      <c r="E52" s="157">
        <v>1499</v>
      </c>
      <c r="F52" s="360">
        <v>4.37</v>
      </c>
      <c r="G52" s="89">
        <v>5.03</v>
      </c>
      <c r="P52" s="116">
        <v>25</v>
      </c>
      <c r="Q52">
        <v>25</v>
      </c>
      <c r="S52" s="142">
        <v>1322025</v>
      </c>
      <c r="T52" s="140" t="s">
        <v>333</v>
      </c>
      <c r="V52" s="141"/>
      <c r="Z52" t="s">
        <v>6170</v>
      </c>
      <c r="AA52">
        <v>51</v>
      </c>
      <c r="AB52">
        <v>51</v>
      </c>
    </row>
    <row r="53" spans="1:28">
      <c r="A53" s="156">
        <v>130</v>
      </c>
      <c r="B53" s="157" t="s">
        <v>6258</v>
      </c>
      <c r="C53" s="157" t="s">
        <v>6227</v>
      </c>
      <c r="D53" s="157">
        <v>1500</v>
      </c>
      <c r="E53" s="157">
        <v>1999</v>
      </c>
      <c r="F53" s="360">
        <v>5.77</v>
      </c>
      <c r="G53" s="89">
        <v>6.64</v>
      </c>
      <c r="M53" s="101"/>
      <c r="P53" s="116">
        <v>26</v>
      </c>
      <c r="Q53">
        <v>26</v>
      </c>
      <c r="S53" s="142">
        <v>1322424</v>
      </c>
      <c r="T53" s="140" t="s">
        <v>333</v>
      </c>
      <c r="V53" s="141"/>
      <c r="Z53" t="s">
        <v>6170</v>
      </c>
      <c r="AA53">
        <v>52</v>
      </c>
      <c r="AB53">
        <v>52</v>
      </c>
    </row>
    <row r="54" spans="1:28">
      <c r="A54" s="156">
        <v>130</v>
      </c>
      <c r="B54" s="157" t="s">
        <v>6258</v>
      </c>
      <c r="C54" s="157" t="s">
        <v>6229</v>
      </c>
      <c r="D54" s="157">
        <v>2000</v>
      </c>
      <c r="E54" s="157">
        <v>2499</v>
      </c>
      <c r="F54" s="360">
        <v>7.18</v>
      </c>
      <c r="G54" s="89">
        <v>8.26</v>
      </c>
      <c r="M54" s="101"/>
      <c r="P54" s="116">
        <v>27</v>
      </c>
      <c r="Q54">
        <v>27</v>
      </c>
      <c r="S54" s="142">
        <v>1322525</v>
      </c>
      <c r="T54" s="140" t="s">
        <v>333</v>
      </c>
      <c r="V54" s="141"/>
      <c r="Z54" t="s">
        <v>6170</v>
      </c>
      <c r="AA54">
        <v>53</v>
      </c>
      <c r="AB54">
        <v>53</v>
      </c>
    </row>
    <row r="55" spans="1:28">
      <c r="A55" s="156">
        <v>130</v>
      </c>
      <c r="B55" s="157" t="s">
        <v>6258</v>
      </c>
      <c r="C55" s="157" t="s">
        <v>6231</v>
      </c>
      <c r="D55" s="157">
        <v>2500</v>
      </c>
      <c r="E55" s="157">
        <v>2999</v>
      </c>
      <c r="F55" s="360">
        <v>8.58</v>
      </c>
      <c r="G55" s="89">
        <v>9.8699999999999992</v>
      </c>
      <c r="M55" s="101"/>
      <c r="P55" s="116">
        <v>28</v>
      </c>
      <c r="Q55">
        <v>28</v>
      </c>
      <c r="S55" s="139">
        <v>10208135</v>
      </c>
      <c r="T55" s="140" t="s">
        <v>333</v>
      </c>
      <c r="V55" s="141"/>
      <c r="Z55" t="s">
        <v>6170</v>
      </c>
      <c r="AA55">
        <v>54</v>
      </c>
      <c r="AB55">
        <v>54</v>
      </c>
    </row>
    <row r="56" spans="1:28">
      <c r="A56" s="156">
        <v>130</v>
      </c>
      <c r="B56" s="157" t="s">
        <v>6258</v>
      </c>
      <c r="C56" s="157" t="s">
        <v>6234</v>
      </c>
      <c r="D56" s="157">
        <v>3000</v>
      </c>
      <c r="E56" s="157">
        <v>3499</v>
      </c>
      <c r="F56" s="360">
        <v>9.98</v>
      </c>
      <c r="G56" s="89">
        <v>11.48</v>
      </c>
      <c r="M56" s="101"/>
      <c r="P56" s="116">
        <v>29</v>
      </c>
      <c r="Q56">
        <v>29</v>
      </c>
      <c r="S56" s="139">
        <v>10210135</v>
      </c>
      <c r="T56" s="140" t="s">
        <v>333</v>
      </c>
      <c r="V56" s="141"/>
      <c r="Z56" t="s">
        <v>6170</v>
      </c>
      <c r="AA56">
        <v>55</v>
      </c>
      <c r="AB56">
        <v>55</v>
      </c>
    </row>
    <row r="57" spans="1:28">
      <c r="A57" s="156">
        <v>130</v>
      </c>
      <c r="B57" s="157" t="s">
        <v>6258</v>
      </c>
      <c r="C57" s="157" t="s">
        <v>6236</v>
      </c>
      <c r="D57" s="157">
        <v>3500</v>
      </c>
      <c r="E57" s="157">
        <v>3999</v>
      </c>
      <c r="F57" s="360">
        <v>11.39</v>
      </c>
      <c r="G57" s="89">
        <v>13.1</v>
      </c>
      <c r="M57" s="101"/>
      <c r="P57" s="116">
        <v>30</v>
      </c>
      <c r="Q57">
        <v>30</v>
      </c>
      <c r="S57" s="139">
        <v>10212135</v>
      </c>
      <c r="T57" s="140" t="s">
        <v>333</v>
      </c>
      <c r="V57" s="141"/>
      <c r="Z57" t="s">
        <v>6170</v>
      </c>
      <c r="AA57">
        <v>56</v>
      </c>
      <c r="AB57">
        <v>56</v>
      </c>
    </row>
    <row r="58" spans="1:28">
      <c r="A58" s="156">
        <v>130</v>
      </c>
      <c r="B58" s="157" t="s">
        <v>6258</v>
      </c>
      <c r="C58" s="157" t="s">
        <v>6238</v>
      </c>
      <c r="D58" s="157">
        <v>4000</v>
      </c>
      <c r="E58" s="157">
        <v>4499</v>
      </c>
      <c r="F58" s="360">
        <v>12.79</v>
      </c>
      <c r="G58" s="89">
        <v>14.71</v>
      </c>
      <c r="M58" s="101"/>
      <c r="P58" s="116">
        <v>31</v>
      </c>
      <c r="Q58">
        <v>31</v>
      </c>
      <c r="S58" s="139">
        <v>10214135</v>
      </c>
      <c r="T58" s="140" t="s">
        <v>333</v>
      </c>
      <c r="V58" s="141"/>
      <c r="Z58" t="s">
        <v>6170</v>
      </c>
      <c r="AA58">
        <v>57</v>
      </c>
      <c r="AB58">
        <v>57</v>
      </c>
    </row>
    <row r="59" spans="1:28">
      <c r="A59" s="156">
        <v>130</v>
      </c>
      <c r="B59" s="157" t="s">
        <v>6258</v>
      </c>
      <c r="C59" s="157" t="s">
        <v>6240</v>
      </c>
      <c r="D59" s="157">
        <v>4500</v>
      </c>
      <c r="E59" s="157">
        <v>4999</v>
      </c>
      <c r="F59" s="360">
        <v>14.2</v>
      </c>
      <c r="G59" s="89">
        <v>16.329999999999998</v>
      </c>
      <c r="M59" s="101"/>
      <c r="P59" s="116">
        <v>32</v>
      </c>
      <c r="Q59">
        <v>32</v>
      </c>
      <c r="S59" s="139">
        <v>10216135</v>
      </c>
      <c r="T59" s="140" t="s">
        <v>333</v>
      </c>
      <c r="V59" s="141"/>
      <c r="Z59" t="s">
        <v>6170</v>
      </c>
      <c r="AA59">
        <v>58</v>
      </c>
      <c r="AB59">
        <v>58</v>
      </c>
    </row>
    <row r="60" spans="1:28">
      <c r="A60" s="156">
        <v>130</v>
      </c>
      <c r="B60" s="157" t="s">
        <v>6258</v>
      </c>
      <c r="C60" s="157" t="s">
        <v>6241</v>
      </c>
      <c r="D60" s="157">
        <v>5000</v>
      </c>
      <c r="E60" s="157">
        <v>5499</v>
      </c>
      <c r="F60" s="360">
        <v>15.6</v>
      </c>
      <c r="G60" s="89">
        <v>17.940000000000001</v>
      </c>
      <c r="M60" s="101"/>
      <c r="P60" s="116">
        <v>33</v>
      </c>
      <c r="Q60">
        <v>33</v>
      </c>
      <c r="S60" s="139">
        <v>10220135</v>
      </c>
      <c r="T60" s="140" t="s">
        <v>333</v>
      </c>
      <c r="V60" s="141"/>
      <c r="Z60" t="s">
        <v>6170</v>
      </c>
      <c r="AA60">
        <v>59</v>
      </c>
      <c r="AB60">
        <v>59</v>
      </c>
    </row>
    <row r="61" spans="1:28">
      <c r="A61" s="156">
        <v>130</v>
      </c>
      <c r="B61" s="157" t="s">
        <v>6258</v>
      </c>
      <c r="C61" s="157" t="s">
        <v>6242</v>
      </c>
      <c r="D61" s="157">
        <v>5500</v>
      </c>
      <c r="E61" s="157">
        <v>5999</v>
      </c>
      <c r="F61" s="360">
        <v>17</v>
      </c>
      <c r="G61" s="89">
        <v>19.55</v>
      </c>
      <c r="M61" s="101"/>
      <c r="P61" s="116">
        <v>34</v>
      </c>
      <c r="Q61">
        <v>34</v>
      </c>
      <c r="S61" s="139">
        <v>10224135</v>
      </c>
      <c r="T61" s="140" t="s">
        <v>333</v>
      </c>
      <c r="V61" s="141"/>
      <c r="Z61" t="s">
        <v>6170</v>
      </c>
      <c r="AA61">
        <v>60</v>
      </c>
      <c r="AB61">
        <v>60</v>
      </c>
    </row>
    <row r="62" spans="1:28">
      <c r="A62" s="156">
        <v>130</v>
      </c>
      <c r="B62" s="157" t="s">
        <v>6258</v>
      </c>
      <c r="C62" s="157" t="s">
        <v>6246</v>
      </c>
      <c r="D62" s="157">
        <v>6000</v>
      </c>
      <c r="E62" s="157">
        <v>6499</v>
      </c>
      <c r="F62" s="360">
        <v>18.41</v>
      </c>
      <c r="G62" s="89">
        <v>21.17</v>
      </c>
      <c r="K62" s="101"/>
      <c r="L62" s="101"/>
      <c r="M62" s="101"/>
      <c r="P62" s="116">
        <v>35</v>
      </c>
      <c r="Q62">
        <v>35</v>
      </c>
      <c r="S62" s="139">
        <v>10225135</v>
      </c>
      <c r="T62" s="140" t="s">
        <v>333</v>
      </c>
      <c r="V62" s="141"/>
      <c r="Z62" t="s">
        <v>6170</v>
      </c>
      <c r="AA62">
        <v>61</v>
      </c>
      <c r="AB62">
        <v>61</v>
      </c>
    </row>
    <row r="63" spans="1:28">
      <c r="A63" s="156">
        <v>130</v>
      </c>
      <c r="B63" s="157" t="s">
        <v>6258</v>
      </c>
      <c r="C63" s="157" t="s">
        <v>6247</v>
      </c>
      <c r="D63" s="157">
        <v>6500</v>
      </c>
      <c r="E63" s="157">
        <v>6999</v>
      </c>
      <c r="F63" s="360">
        <v>19.809999999999999</v>
      </c>
      <c r="G63" s="89">
        <v>22.78</v>
      </c>
      <c r="P63" s="116">
        <v>36</v>
      </c>
      <c r="Q63">
        <v>36</v>
      </c>
      <c r="S63" s="139">
        <v>10240135</v>
      </c>
      <c r="T63" s="140" t="s">
        <v>333</v>
      </c>
      <c r="V63" s="141"/>
      <c r="Z63" t="s">
        <v>6170</v>
      </c>
      <c r="AA63">
        <v>62</v>
      </c>
      <c r="AB63">
        <v>62</v>
      </c>
    </row>
    <row r="64" spans="1:28">
      <c r="A64" s="156">
        <v>130</v>
      </c>
      <c r="B64" s="157" t="s">
        <v>6258</v>
      </c>
      <c r="C64" s="157" t="s">
        <v>6248</v>
      </c>
      <c r="D64" s="157">
        <v>7000</v>
      </c>
      <c r="E64" s="157">
        <v>7499</v>
      </c>
      <c r="F64" s="360">
        <v>21.22</v>
      </c>
      <c r="G64" s="89">
        <v>24.4</v>
      </c>
      <c r="L64" s="72"/>
      <c r="M64" s="72"/>
      <c r="P64" s="116">
        <v>37</v>
      </c>
      <c r="Q64">
        <v>37</v>
      </c>
      <c r="S64" s="139">
        <v>10250135</v>
      </c>
      <c r="T64" s="140" t="s">
        <v>333</v>
      </c>
      <c r="V64" s="141"/>
      <c r="Z64" t="s">
        <v>6170</v>
      </c>
      <c r="AA64">
        <v>63</v>
      </c>
      <c r="AB64">
        <v>63</v>
      </c>
    </row>
    <row r="65" spans="1:28">
      <c r="A65" s="156">
        <v>130</v>
      </c>
      <c r="B65" s="157" t="s">
        <v>6258</v>
      </c>
      <c r="C65" s="157" t="s">
        <v>6250</v>
      </c>
      <c r="D65" s="157">
        <v>7500</v>
      </c>
      <c r="E65" s="157">
        <v>7999</v>
      </c>
      <c r="F65" s="360">
        <v>22.62</v>
      </c>
      <c r="G65" s="89">
        <v>26.01</v>
      </c>
      <c r="P65" s="116">
        <v>38</v>
      </c>
      <c r="Q65">
        <v>38</v>
      </c>
      <c r="S65" s="139">
        <v>10260135</v>
      </c>
      <c r="T65" s="140" t="s">
        <v>333</v>
      </c>
      <c r="V65" s="141"/>
      <c r="Z65" t="s">
        <v>6170</v>
      </c>
      <c r="AA65">
        <v>64</v>
      </c>
      <c r="AB65">
        <v>64</v>
      </c>
    </row>
    <row r="66" spans="1:28">
      <c r="A66" s="156">
        <v>130</v>
      </c>
      <c r="B66" s="157" t="s">
        <v>6258</v>
      </c>
      <c r="C66" s="157" t="s">
        <v>6252</v>
      </c>
      <c r="D66" s="157">
        <v>8000</v>
      </c>
      <c r="E66" s="157">
        <v>8499</v>
      </c>
      <c r="F66" s="360">
        <v>24.02</v>
      </c>
      <c r="G66" s="89">
        <v>27.62</v>
      </c>
      <c r="P66" s="116">
        <v>39</v>
      </c>
      <c r="Q66">
        <v>39</v>
      </c>
      <c r="S66" s="142">
        <v>1341224</v>
      </c>
      <c r="T66" s="140" t="s">
        <v>333</v>
      </c>
      <c r="Z66" t="s">
        <v>6170</v>
      </c>
      <c r="AA66">
        <v>65</v>
      </c>
      <c r="AB66">
        <v>65</v>
      </c>
    </row>
    <row r="67" spans="1:28">
      <c r="A67" s="156">
        <v>130</v>
      </c>
      <c r="B67" s="157" t="s">
        <v>6258</v>
      </c>
      <c r="C67" s="157" t="s">
        <v>6255</v>
      </c>
      <c r="D67" s="157">
        <v>8500</v>
      </c>
      <c r="E67" s="157">
        <v>8999</v>
      </c>
      <c r="F67" s="360">
        <v>25.43</v>
      </c>
      <c r="G67" s="89">
        <v>29.24</v>
      </c>
      <c r="P67" s="116">
        <v>40</v>
      </c>
      <c r="Q67">
        <v>40</v>
      </c>
      <c r="S67" s="142">
        <v>1341520</v>
      </c>
      <c r="T67" s="140" t="s">
        <v>333</v>
      </c>
      <c r="Z67" t="s">
        <v>6170</v>
      </c>
      <c r="AA67">
        <v>66</v>
      </c>
      <c r="AB67">
        <v>66</v>
      </c>
    </row>
    <row r="68" spans="1:28">
      <c r="A68" s="156">
        <v>130</v>
      </c>
      <c r="B68" s="157" t="s">
        <v>6258</v>
      </c>
      <c r="C68" s="157" t="s">
        <v>6256</v>
      </c>
      <c r="D68" s="157">
        <v>9000</v>
      </c>
      <c r="E68" s="157">
        <v>9499</v>
      </c>
      <c r="F68" s="360">
        <v>26.83</v>
      </c>
      <c r="G68" s="89">
        <v>30.85</v>
      </c>
      <c r="P68" s="116">
        <v>41</v>
      </c>
      <c r="Q68">
        <v>41</v>
      </c>
      <c r="S68" s="142">
        <v>1341620</v>
      </c>
      <c r="T68" s="140" t="s">
        <v>333</v>
      </c>
      <c r="V68" s="134"/>
      <c r="Z68" t="s">
        <v>6170</v>
      </c>
      <c r="AA68">
        <v>67</v>
      </c>
      <c r="AB68">
        <v>67</v>
      </c>
    </row>
    <row r="69" spans="1:28">
      <c r="A69" s="159">
        <v>130</v>
      </c>
      <c r="B69" s="160" t="s">
        <v>6258</v>
      </c>
      <c r="C69" s="160" t="s">
        <v>6257</v>
      </c>
      <c r="D69" s="160">
        <v>9500</v>
      </c>
      <c r="E69" s="160">
        <v>10000</v>
      </c>
      <c r="F69" s="360">
        <v>28.24</v>
      </c>
      <c r="G69" s="89">
        <v>32.479999999999997</v>
      </c>
      <c r="P69" s="116">
        <v>42</v>
      </c>
      <c r="Q69">
        <v>42</v>
      </c>
      <c r="S69" s="142">
        <v>1341625</v>
      </c>
      <c r="T69" s="140" t="s">
        <v>333</v>
      </c>
      <c r="V69" s="138"/>
      <c r="Z69" t="s">
        <v>6170</v>
      </c>
      <c r="AA69">
        <v>68</v>
      </c>
      <c r="AB69">
        <v>68</v>
      </c>
    </row>
    <row r="70" spans="1:28">
      <c r="A70" s="156">
        <v>134</v>
      </c>
      <c r="B70" s="157" t="s">
        <v>6269</v>
      </c>
      <c r="C70" s="157" t="s">
        <v>6180</v>
      </c>
      <c r="D70" s="157">
        <v>16</v>
      </c>
      <c r="E70" s="157">
        <v>249</v>
      </c>
      <c r="F70" s="360">
        <v>1.25</v>
      </c>
      <c r="P70" s="116">
        <v>43</v>
      </c>
      <c r="Q70">
        <v>43</v>
      </c>
      <c r="S70" s="142">
        <v>1342020</v>
      </c>
      <c r="T70" s="140" t="s">
        <v>333</v>
      </c>
      <c r="V70" s="141"/>
      <c r="Z70" t="s">
        <v>6170</v>
      </c>
      <c r="AA70">
        <v>69</v>
      </c>
      <c r="AB70">
        <v>69</v>
      </c>
    </row>
    <row r="71" spans="1:28">
      <c r="A71" s="156">
        <v>134</v>
      </c>
      <c r="B71" s="157" t="s">
        <v>6269</v>
      </c>
      <c r="C71" s="157" t="s">
        <v>6185</v>
      </c>
      <c r="D71" s="157">
        <v>250</v>
      </c>
      <c r="E71" s="157">
        <v>299</v>
      </c>
      <c r="F71" s="360">
        <v>1.37</v>
      </c>
      <c r="P71" s="116">
        <v>44</v>
      </c>
      <c r="Q71">
        <v>44</v>
      </c>
      <c r="S71" s="142">
        <v>1342024</v>
      </c>
      <c r="T71" s="140" t="s">
        <v>333</v>
      </c>
      <c r="V71" s="141"/>
      <c r="Z71" t="s">
        <v>6170</v>
      </c>
      <c r="AA71">
        <v>70</v>
      </c>
      <c r="AB71">
        <v>70</v>
      </c>
    </row>
    <row r="72" spans="1:28">
      <c r="A72" s="156">
        <v>134</v>
      </c>
      <c r="B72" s="157" t="s">
        <v>6269</v>
      </c>
      <c r="C72" s="157" t="s">
        <v>6187</v>
      </c>
      <c r="D72" s="157">
        <v>300</v>
      </c>
      <c r="E72" s="157">
        <v>349</v>
      </c>
      <c r="F72" s="360">
        <v>1.48</v>
      </c>
      <c r="P72" s="116">
        <v>45</v>
      </c>
      <c r="Q72">
        <v>45</v>
      </c>
      <c r="S72" s="142">
        <v>1342025</v>
      </c>
      <c r="T72" s="140" t="s">
        <v>333</v>
      </c>
      <c r="V72" s="141"/>
      <c r="Z72" t="s">
        <v>6223</v>
      </c>
      <c r="AA72">
        <v>4</v>
      </c>
      <c r="AB72">
        <v>71</v>
      </c>
    </row>
    <row r="73" spans="1:28">
      <c r="A73" s="156">
        <v>134</v>
      </c>
      <c r="B73" s="157" t="s">
        <v>6269</v>
      </c>
      <c r="C73" s="157" t="s">
        <v>6193</v>
      </c>
      <c r="D73" s="157">
        <v>350</v>
      </c>
      <c r="E73" s="157">
        <v>399</v>
      </c>
      <c r="F73" s="360">
        <v>1.6</v>
      </c>
      <c r="P73" s="116">
        <v>46</v>
      </c>
      <c r="Q73">
        <v>46</v>
      </c>
      <c r="S73" s="142">
        <v>1342424</v>
      </c>
      <c r="T73" s="140" t="s">
        <v>333</v>
      </c>
      <c r="V73" s="141"/>
      <c r="Z73" t="s">
        <v>6223</v>
      </c>
      <c r="AA73">
        <v>5</v>
      </c>
      <c r="AB73">
        <v>72</v>
      </c>
    </row>
    <row r="74" spans="1:28">
      <c r="A74" s="156">
        <v>134</v>
      </c>
      <c r="B74" s="157" t="s">
        <v>6269</v>
      </c>
      <c r="C74" s="157" t="s">
        <v>6196</v>
      </c>
      <c r="D74" s="157">
        <v>400</v>
      </c>
      <c r="E74" s="157">
        <v>449</v>
      </c>
      <c r="F74" s="360">
        <v>1.72</v>
      </c>
      <c r="P74" s="116">
        <v>47</v>
      </c>
      <c r="Q74">
        <v>47</v>
      </c>
      <c r="S74" s="142">
        <v>1342525</v>
      </c>
      <c r="T74" s="140" t="s">
        <v>333</v>
      </c>
      <c r="V74" s="141"/>
      <c r="Z74" t="s">
        <v>6223</v>
      </c>
      <c r="AA74">
        <v>6</v>
      </c>
      <c r="AB74">
        <v>73</v>
      </c>
    </row>
    <row r="75" spans="1:28">
      <c r="A75" s="156">
        <v>134</v>
      </c>
      <c r="B75" s="157" t="s">
        <v>6269</v>
      </c>
      <c r="C75" s="157" t="s">
        <v>6199</v>
      </c>
      <c r="D75" s="157">
        <v>450</v>
      </c>
      <c r="E75" s="157">
        <v>499</v>
      </c>
      <c r="F75" s="360">
        <v>1.83</v>
      </c>
      <c r="P75" s="116">
        <v>48</v>
      </c>
      <c r="Q75">
        <v>48</v>
      </c>
      <c r="S75" s="142">
        <v>1041690</v>
      </c>
      <c r="T75" s="140" t="s">
        <v>333</v>
      </c>
      <c r="V75" s="141"/>
      <c r="Z75" t="s">
        <v>6223</v>
      </c>
      <c r="AA75">
        <v>7</v>
      </c>
      <c r="AB75">
        <v>74</v>
      </c>
    </row>
    <row r="76" spans="1:28">
      <c r="A76" s="156">
        <v>134</v>
      </c>
      <c r="B76" s="157" t="s">
        <v>6269</v>
      </c>
      <c r="C76" s="157" t="s">
        <v>6201</v>
      </c>
      <c r="D76" s="157">
        <v>500</v>
      </c>
      <c r="E76" s="157">
        <v>549</v>
      </c>
      <c r="F76" s="360">
        <v>1.95</v>
      </c>
      <c r="P76" s="116">
        <v>49</v>
      </c>
      <c r="Q76">
        <v>49</v>
      </c>
      <c r="S76" s="142">
        <v>1042090</v>
      </c>
      <c r="T76" s="140" t="s">
        <v>333</v>
      </c>
      <c r="V76" s="141"/>
      <c r="Z76" t="s">
        <v>6223</v>
      </c>
      <c r="AA76">
        <v>8</v>
      </c>
      <c r="AB76">
        <v>75</v>
      </c>
    </row>
    <row r="77" spans="1:28">
      <c r="A77" s="156">
        <v>134</v>
      </c>
      <c r="B77" s="157" t="s">
        <v>6269</v>
      </c>
      <c r="C77" s="157" t="s">
        <v>6203</v>
      </c>
      <c r="D77" s="157">
        <v>550</v>
      </c>
      <c r="E77" s="157">
        <v>599</v>
      </c>
      <c r="F77" s="360">
        <v>2.0699999999999998</v>
      </c>
      <c r="P77" s="116">
        <v>50</v>
      </c>
      <c r="Q77">
        <v>50</v>
      </c>
      <c r="S77" s="142">
        <v>1042490</v>
      </c>
      <c r="T77" s="140" t="s">
        <v>333</v>
      </c>
      <c r="V77" s="141"/>
      <c r="Z77" t="s">
        <v>6223</v>
      </c>
      <c r="AA77">
        <v>9</v>
      </c>
      <c r="AB77">
        <v>76</v>
      </c>
    </row>
    <row r="78" spans="1:28">
      <c r="A78" s="156">
        <v>134</v>
      </c>
      <c r="B78" s="157" t="s">
        <v>6269</v>
      </c>
      <c r="C78" s="157" t="s">
        <v>6205</v>
      </c>
      <c r="D78" s="157">
        <v>600</v>
      </c>
      <c r="E78" s="157">
        <v>649</v>
      </c>
      <c r="F78" s="360">
        <v>2.1800000000000002</v>
      </c>
      <c r="P78" s="116">
        <v>51</v>
      </c>
      <c r="Q78">
        <v>51</v>
      </c>
      <c r="S78" s="142">
        <v>1042590</v>
      </c>
      <c r="T78" s="140" t="s">
        <v>333</v>
      </c>
      <c r="V78" s="141"/>
      <c r="Z78" t="s">
        <v>6223</v>
      </c>
      <c r="AA78">
        <v>10</v>
      </c>
      <c r="AB78">
        <v>77</v>
      </c>
    </row>
    <row r="79" spans="1:28">
      <c r="A79" s="156">
        <v>134</v>
      </c>
      <c r="B79" s="157" t="s">
        <v>6269</v>
      </c>
      <c r="C79" s="157" t="s">
        <v>6207</v>
      </c>
      <c r="D79" s="157">
        <v>650</v>
      </c>
      <c r="E79" s="157">
        <v>699</v>
      </c>
      <c r="F79" s="360">
        <v>2.2999999999999998</v>
      </c>
      <c r="P79" s="116">
        <v>52</v>
      </c>
      <c r="Q79">
        <v>52</v>
      </c>
      <c r="S79" s="142">
        <v>1044090</v>
      </c>
      <c r="T79" s="140" t="s">
        <v>333</v>
      </c>
      <c r="V79" s="141"/>
      <c r="Z79" t="s">
        <v>6223</v>
      </c>
      <c r="AA79">
        <v>11</v>
      </c>
      <c r="AB79">
        <v>78</v>
      </c>
    </row>
    <row r="80" spans="1:28">
      <c r="A80" s="156">
        <v>134</v>
      </c>
      <c r="B80" s="157" t="s">
        <v>6269</v>
      </c>
      <c r="C80" s="157" t="s">
        <v>6211</v>
      </c>
      <c r="D80" s="157">
        <v>700</v>
      </c>
      <c r="E80" s="157">
        <v>749</v>
      </c>
      <c r="F80" s="360">
        <v>2.42</v>
      </c>
      <c r="P80" s="116">
        <v>53</v>
      </c>
      <c r="Q80">
        <v>53</v>
      </c>
      <c r="S80" s="142">
        <v>1044890</v>
      </c>
      <c r="T80" s="140" t="s">
        <v>333</v>
      </c>
      <c r="V80" s="141"/>
      <c r="Z80" t="s">
        <v>6223</v>
      </c>
      <c r="AA80">
        <v>12</v>
      </c>
      <c r="AB80">
        <v>79</v>
      </c>
    </row>
    <row r="81" spans="1:28">
      <c r="A81" s="156">
        <v>134</v>
      </c>
      <c r="B81" s="157" t="s">
        <v>6269</v>
      </c>
      <c r="C81" s="157" t="s">
        <v>6212</v>
      </c>
      <c r="D81" s="157">
        <v>750</v>
      </c>
      <c r="E81" s="157">
        <v>799</v>
      </c>
      <c r="F81" s="360">
        <v>2.54</v>
      </c>
      <c r="P81" s="116">
        <v>54</v>
      </c>
      <c r="Q81">
        <v>54</v>
      </c>
      <c r="S81" s="142">
        <v>1045090</v>
      </c>
      <c r="T81" s="140" t="s">
        <v>333</v>
      </c>
      <c r="V81" s="141"/>
      <c r="Z81" t="s">
        <v>6223</v>
      </c>
      <c r="AA81">
        <v>13</v>
      </c>
      <c r="AB81">
        <v>80</v>
      </c>
    </row>
    <row r="82" spans="1:28">
      <c r="A82" s="156">
        <v>134</v>
      </c>
      <c r="B82" s="157" t="s">
        <v>6269</v>
      </c>
      <c r="C82" s="157" t="s">
        <v>6213</v>
      </c>
      <c r="D82" s="157">
        <v>800</v>
      </c>
      <c r="E82" s="157">
        <v>849</v>
      </c>
      <c r="F82" s="360">
        <v>2.65</v>
      </c>
      <c r="P82" s="116">
        <v>55</v>
      </c>
      <c r="Q82">
        <v>55</v>
      </c>
      <c r="S82" s="142">
        <v>1046090</v>
      </c>
      <c r="T82" s="140" t="s">
        <v>333</v>
      </c>
      <c r="V82" s="141"/>
      <c r="Z82" t="s">
        <v>6223</v>
      </c>
      <c r="AA82">
        <v>14</v>
      </c>
      <c r="AB82">
        <v>81</v>
      </c>
    </row>
    <row r="83" spans="1:28">
      <c r="A83" s="156">
        <v>134</v>
      </c>
      <c r="B83" s="157" t="s">
        <v>6269</v>
      </c>
      <c r="C83" s="157" t="s">
        <v>6216</v>
      </c>
      <c r="D83" s="157">
        <v>850</v>
      </c>
      <c r="E83" s="157">
        <v>899</v>
      </c>
      <c r="F83" s="360">
        <v>2.77</v>
      </c>
      <c r="P83" s="116">
        <v>56</v>
      </c>
      <c r="Q83">
        <v>56</v>
      </c>
      <c r="S83" s="142">
        <v>1047290</v>
      </c>
      <c r="T83" s="140" t="s">
        <v>333</v>
      </c>
      <c r="V83" s="141"/>
      <c r="Z83" t="s">
        <v>6223</v>
      </c>
      <c r="AA83">
        <v>15</v>
      </c>
      <c r="AB83">
        <v>82</v>
      </c>
    </row>
    <row r="84" spans="1:28">
      <c r="A84" s="156">
        <v>134</v>
      </c>
      <c r="B84" s="157" t="s">
        <v>6269</v>
      </c>
      <c r="C84" s="157" t="s">
        <v>6221</v>
      </c>
      <c r="D84" s="157">
        <v>900</v>
      </c>
      <c r="E84" s="157">
        <v>949</v>
      </c>
      <c r="F84" s="360">
        <v>2.89</v>
      </c>
      <c r="P84" s="116">
        <v>57</v>
      </c>
      <c r="Q84">
        <v>57</v>
      </c>
      <c r="S84" s="142">
        <v>1521224</v>
      </c>
      <c r="T84" s="140" t="s">
        <v>333</v>
      </c>
      <c r="V84" s="141"/>
      <c r="Z84" t="s">
        <v>6223</v>
      </c>
      <c r="AA84">
        <v>16</v>
      </c>
      <c r="AB84">
        <v>83</v>
      </c>
    </row>
    <row r="85" spans="1:28">
      <c r="A85" s="156">
        <v>134</v>
      </c>
      <c r="B85" s="157" t="s">
        <v>6269</v>
      </c>
      <c r="C85" s="157" t="s">
        <v>6222</v>
      </c>
      <c r="D85" s="157">
        <v>950</v>
      </c>
      <c r="E85" s="157">
        <v>999</v>
      </c>
      <c r="F85" s="360">
        <v>3</v>
      </c>
      <c r="P85" s="116">
        <v>58</v>
      </c>
      <c r="Q85">
        <v>58</v>
      </c>
      <c r="S85" s="142">
        <v>1521520</v>
      </c>
      <c r="T85" s="140" t="s">
        <v>333</v>
      </c>
      <c r="V85" s="141"/>
      <c r="Z85" t="s">
        <v>6223</v>
      </c>
      <c r="AA85">
        <v>17</v>
      </c>
      <c r="AB85">
        <v>84</v>
      </c>
    </row>
    <row r="86" spans="1:28">
      <c r="A86" s="156">
        <v>134</v>
      </c>
      <c r="B86" s="157" t="s">
        <v>6269</v>
      </c>
      <c r="C86" s="157" t="s">
        <v>6224</v>
      </c>
      <c r="D86" s="157">
        <v>1000</v>
      </c>
      <c r="E86" s="157">
        <v>1499</v>
      </c>
      <c r="F86" s="360">
        <v>4.45</v>
      </c>
      <c r="P86" s="116">
        <v>59</v>
      </c>
      <c r="Q86">
        <v>59</v>
      </c>
      <c r="S86" s="142">
        <v>1521620</v>
      </c>
      <c r="T86" s="140" t="s">
        <v>333</v>
      </c>
      <c r="V86" s="141"/>
      <c r="Z86" t="s">
        <v>6223</v>
      </c>
      <c r="AA86">
        <v>18</v>
      </c>
      <c r="AB86">
        <v>85</v>
      </c>
    </row>
    <row r="87" spans="1:28">
      <c r="A87" s="156">
        <v>134</v>
      </c>
      <c r="B87" s="157" t="s">
        <v>6269</v>
      </c>
      <c r="C87" s="157" t="s">
        <v>6227</v>
      </c>
      <c r="D87" s="157">
        <v>1500</v>
      </c>
      <c r="E87" s="157">
        <v>1999</v>
      </c>
      <c r="F87" s="360">
        <v>5.89</v>
      </c>
      <c r="P87" s="116">
        <v>60</v>
      </c>
      <c r="Q87">
        <v>60</v>
      </c>
      <c r="S87" s="142">
        <v>1521625</v>
      </c>
      <c r="T87" s="140" t="s">
        <v>333</v>
      </c>
      <c r="V87" s="141"/>
      <c r="Z87" t="s">
        <v>6223</v>
      </c>
      <c r="AA87">
        <v>19</v>
      </c>
      <c r="AB87">
        <v>86</v>
      </c>
    </row>
    <row r="88" spans="1:28">
      <c r="A88" s="156">
        <v>134</v>
      </c>
      <c r="B88" s="157" t="s">
        <v>6269</v>
      </c>
      <c r="C88" s="157" t="s">
        <v>6229</v>
      </c>
      <c r="D88" s="157">
        <v>2000</v>
      </c>
      <c r="E88" s="157">
        <v>2499</v>
      </c>
      <c r="F88" s="360">
        <v>7.33</v>
      </c>
      <c r="P88" s="116">
        <v>61</v>
      </c>
      <c r="Q88">
        <v>61</v>
      </c>
      <c r="S88" s="142">
        <v>1522020</v>
      </c>
      <c r="T88" s="140" t="s">
        <v>333</v>
      </c>
      <c r="V88" s="141"/>
      <c r="Z88" t="s">
        <v>6223</v>
      </c>
      <c r="AA88">
        <v>20</v>
      </c>
      <c r="AB88">
        <v>87</v>
      </c>
    </row>
    <row r="89" spans="1:28">
      <c r="A89" s="156">
        <v>134</v>
      </c>
      <c r="B89" s="157" t="s">
        <v>6269</v>
      </c>
      <c r="C89" s="157" t="s">
        <v>6231</v>
      </c>
      <c r="D89" s="157">
        <v>2500</v>
      </c>
      <c r="E89" s="157">
        <v>2999</v>
      </c>
      <c r="F89" s="360">
        <v>8.7799999999999994</v>
      </c>
      <c r="P89" s="116">
        <v>62</v>
      </c>
      <c r="Q89">
        <v>62</v>
      </c>
      <c r="S89" s="142">
        <v>1522024</v>
      </c>
      <c r="T89" s="140" t="s">
        <v>333</v>
      </c>
      <c r="V89" s="141"/>
      <c r="Z89" t="s">
        <v>6223</v>
      </c>
      <c r="AA89">
        <v>21</v>
      </c>
      <c r="AB89">
        <v>88</v>
      </c>
    </row>
    <row r="90" spans="1:28">
      <c r="A90" s="156">
        <v>134</v>
      </c>
      <c r="B90" s="157" t="s">
        <v>6269</v>
      </c>
      <c r="C90" s="157" t="s">
        <v>6234</v>
      </c>
      <c r="D90" s="157">
        <v>3000</v>
      </c>
      <c r="E90" s="157">
        <v>3499</v>
      </c>
      <c r="F90" s="360">
        <v>10.220000000000001</v>
      </c>
      <c r="P90" s="116">
        <v>63</v>
      </c>
      <c r="Q90">
        <v>63</v>
      </c>
      <c r="S90" s="142">
        <v>1522025</v>
      </c>
      <c r="T90" s="140" t="s">
        <v>333</v>
      </c>
      <c r="V90" s="141"/>
      <c r="Z90" t="s">
        <v>6223</v>
      </c>
      <c r="AA90">
        <v>22</v>
      </c>
      <c r="AB90">
        <v>89</v>
      </c>
    </row>
    <row r="91" spans="1:28">
      <c r="A91" s="156">
        <v>134</v>
      </c>
      <c r="B91" s="157" t="s">
        <v>6269</v>
      </c>
      <c r="C91" s="157" t="s">
        <v>6236</v>
      </c>
      <c r="D91" s="157">
        <v>3500</v>
      </c>
      <c r="E91" s="157">
        <v>3999</v>
      </c>
      <c r="F91" s="360">
        <v>11.66</v>
      </c>
      <c r="P91" s="116">
        <v>64</v>
      </c>
      <c r="Q91">
        <v>64</v>
      </c>
      <c r="S91" s="142">
        <v>1522424</v>
      </c>
      <c r="T91" s="140" t="s">
        <v>333</v>
      </c>
      <c r="V91" s="141"/>
      <c r="Z91" t="s">
        <v>6223</v>
      </c>
      <c r="AA91">
        <v>23</v>
      </c>
      <c r="AB91">
        <v>90</v>
      </c>
    </row>
    <row r="92" spans="1:28">
      <c r="A92" s="156">
        <v>134</v>
      </c>
      <c r="B92" s="157" t="s">
        <v>6269</v>
      </c>
      <c r="C92" s="157" t="s">
        <v>6238</v>
      </c>
      <c r="D92" s="157">
        <v>4000</v>
      </c>
      <c r="E92" s="157">
        <v>4499</v>
      </c>
      <c r="F92" s="360">
        <v>13.1</v>
      </c>
      <c r="P92" s="116">
        <v>65</v>
      </c>
      <c r="Q92">
        <v>65</v>
      </c>
      <c r="S92" s="142">
        <v>1522525</v>
      </c>
      <c r="T92" s="140" t="s">
        <v>333</v>
      </c>
      <c r="V92" s="141"/>
      <c r="Z92" t="s">
        <v>6223</v>
      </c>
      <c r="AA92">
        <v>24</v>
      </c>
      <c r="AB92">
        <v>91</v>
      </c>
    </row>
    <row r="93" spans="1:28">
      <c r="A93" s="156">
        <v>134</v>
      </c>
      <c r="B93" s="157" t="s">
        <v>6269</v>
      </c>
      <c r="C93" s="157" t="s">
        <v>6240</v>
      </c>
      <c r="D93" s="157">
        <v>4500</v>
      </c>
      <c r="E93" s="157">
        <v>4999</v>
      </c>
      <c r="F93" s="360">
        <v>14.55</v>
      </c>
      <c r="P93" s="116">
        <v>66</v>
      </c>
      <c r="Q93">
        <v>66</v>
      </c>
      <c r="S93" s="142">
        <v>1262060</v>
      </c>
      <c r="T93" s="140" t="s">
        <v>333</v>
      </c>
      <c r="V93" s="141"/>
      <c r="Z93" t="s">
        <v>6223</v>
      </c>
      <c r="AA93">
        <v>25</v>
      </c>
      <c r="AB93">
        <v>92</v>
      </c>
    </row>
    <row r="94" spans="1:28">
      <c r="A94" s="156">
        <v>134</v>
      </c>
      <c r="B94" s="157" t="s">
        <v>6269</v>
      </c>
      <c r="C94" s="157" t="s">
        <v>6241</v>
      </c>
      <c r="D94" s="157">
        <v>5000</v>
      </c>
      <c r="E94" s="157">
        <v>5499</v>
      </c>
      <c r="F94" s="360">
        <v>15.99</v>
      </c>
      <c r="P94" s="116">
        <v>67</v>
      </c>
      <c r="Q94">
        <v>67</v>
      </c>
      <c r="S94" s="142">
        <v>1262460</v>
      </c>
      <c r="T94" s="140" t="s">
        <v>333</v>
      </c>
      <c r="V94" s="141"/>
      <c r="Z94" t="s">
        <v>6223</v>
      </c>
      <c r="AA94">
        <v>26</v>
      </c>
      <c r="AB94">
        <v>93</v>
      </c>
    </row>
    <row r="95" spans="1:28">
      <c r="A95" s="156">
        <v>134</v>
      </c>
      <c r="B95" s="157" t="s">
        <v>6269</v>
      </c>
      <c r="C95" s="157" t="s">
        <v>6242</v>
      </c>
      <c r="D95" s="157">
        <v>5500</v>
      </c>
      <c r="E95" s="157">
        <v>5999</v>
      </c>
      <c r="F95" s="360">
        <v>17.43</v>
      </c>
      <c r="P95" s="116">
        <v>68</v>
      </c>
      <c r="Q95">
        <v>68</v>
      </c>
      <c r="S95" s="142">
        <v>1262560</v>
      </c>
      <c r="T95" s="140" t="s">
        <v>333</v>
      </c>
      <c r="V95" s="141"/>
      <c r="Z95" t="s">
        <v>6223</v>
      </c>
      <c r="AA95">
        <v>27</v>
      </c>
      <c r="AB95">
        <v>94</v>
      </c>
    </row>
    <row r="96" spans="1:28">
      <c r="A96" s="156">
        <v>134</v>
      </c>
      <c r="B96" s="157" t="s">
        <v>6269</v>
      </c>
      <c r="C96" s="157" t="s">
        <v>6246</v>
      </c>
      <c r="D96" s="157">
        <v>6000</v>
      </c>
      <c r="E96" s="157">
        <v>6499</v>
      </c>
      <c r="F96" s="360">
        <v>18.88</v>
      </c>
      <c r="P96" s="116">
        <v>69</v>
      </c>
      <c r="Q96">
        <v>69</v>
      </c>
      <c r="S96" s="142">
        <v>1264860</v>
      </c>
      <c r="T96" s="140" t="s">
        <v>333</v>
      </c>
      <c r="V96" s="141"/>
      <c r="Z96" t="s">
        <v>6223</v>
      </c>
      <c r="AA96">
        <v>28</v>
      </c>
      <c r="AB96">
        <v>95</v>
      </c>
    </row>
    <row r="97" spans="1:28">
      <c r="A97" s="156">
        <v>134</v>
      </c>
      <c r="B97" s="157" t="s">
        <v>6269</v>
      </c>
      <c r="C97" s="157" t="s">
        <v>6247</v>
      </c>
      <c r="D97" s="157">
        <v>6500</v>
      </c>
      <c r="E97" s="157">
        <v>6999</v>
      </c>
      <c r="F97" s="360">
        <v>20.32</v>
      </c>
      <c r="P97" s="116">
        <v>70</v>
      </c>
      <c r="Q97">
        <v>70</v>
      </c>
      <c r="S97" s="142">
        <v>1265060</v>
      </c>
      <c r="T97" s="140" t="s">
        <v>333</v>
      </c>
      <c r="V97" s="141"/>
      <c r="Z97" t="s">
        <v>6223</v>
      </c>
      <c r="AA97">
        <v>29</v>
      </c>
      <c r="AB97">
        <v>96</v>
      </c>
    </row>
    <row r="98" spans="1:28">
      <c r="A98" s="156">
        <v>134</v>
      </c>
      <c r="B98" s="157" t="s">
        <v>6269</v>
      </c>
      <c r="C98" s="157" t="s">
        <v>6248</v>
      </c>
      <c r="D98" s="157">
        <v>7000</v>
      </c>
      <c r="E98" s="157">
        <v>7499</v>
      </c>
      <c r="F98" s="360">
        <v>21.76</v>
      </c>
      <c r="Q98">
        <v>71</v>
      </c>
      <c r="S98" s="142">
        <v>1266060</v>
      </c>
      <c r="T98" s="140" t="s">
        <v>333</v>
      </c>
      <c r="V98" s="141"/>
      <c r="Z98" t="s">
        <v>6223</v>
      </c>
      <c r="AA98">
        <v>30</v>
      </c>
      <c r="AB98">
        <v>97</v>
      </c>
    </row>
    <row r="99" spans="1:28">
      <c r="A99" s="156">
        <v>134</v>
      </c>
      <c r="B99" s="157" t="s">
        <v>6269</v>
      </c>
      <c r="C99" s="157" t="s">
        <v>6250</v>
      </c>
      <c r="D99" s="157">
        <v>7500</v>
      </c>
      <c r="E99" s="157">
        <v>7999</v>
      </c>
      <c r="F99" s="360">
        <v>23.21</v>
      </c>
      <c r="Q99">
        <v>72</v>
      </c>
      <c r="S99" s="142">
        <v>1361224</v>
      </c>
      <c r="T99" s="140" t="s">
        <v>333</v>
      </c>
      <c r="V99" s="141"/>
      <c r="Z99" t="s">
        <v>6223</v>
      </c>
      <c r="AA99">
        <v>31</v>
      </c>
      <c r="AB99">
        <v>98</v>
      </c>
    </row>
    <row r="100" spans="1:28">
      <c r="A100" s="156">
        <v>134</v>
      </c>
      <c r="B100" s="157" t="s">
        <v>6269</v>
      </c>
      <c r="C100" s="157" t="s">
        <v>6252</v>
      </c>
      <c r="D100" s="157">
        <v>8000</v>
      </c>
      <c r="E100" s="157">
        <v>8499</v>
      </c>
      <c r="F100" s="360">
        <v>24.65</v>
      </c>
      <c r="Q100">
        <v>73</v>
      </c>
      <c r="S100" s="142">
        <v>1361360</v>
      </c>
      <c r="T100" s="140" t="s">
        <v>333</v>
      </c>
      <c r="V100" s="141"/>
      <c r="Z100" t="s">
        <v>6223</v>
      </c>
      <c r="AA100">
        <v>32</v>
      </c>
      <c r="AB100">
        <v>99</v>
      </c>
    </row>
    <row r="101" spans="1:28">
      <c r="A101" s="156">
        <v>134</v>
      </c>
      <c r="B101" s="157" t="s">
        <v>6269</v>
      </c>
      <c r="C101" s="157" t="s">
        <v>6255</v>
      </c>
      <c r="D101" s="157">
        <v>8500</v>
      </c>
      <c r="E101" s="157">
        <v>8999</v>
      </c>
      <c r="F101" s="360">
        <v>26.09</v>
      </c>
      <c r="Q101">
        <v>74</v>
      </c>
      <c r="S101" s="142">
        <v>1361620</v>
      </c>
      <c r="T101" s="140" t="s">
        <v>333</v>
      </c>
      <c r="V101" s="141"/>
      <c r="Z101" t="s">
        <v>6223</v>
      </c>
      <c r="AA101">
        <v>33</v>
      </c>
      <c r="AB101">
        <v>100</v>
      </c>
    </row>
    <row r="102" spans="1:28">
      <c r="A102" s="156">
        <v>134</v>
      </c>
      <c r="B102" s="157" t="s">
        <v>6269</v>
      </c>
      <c r="C102" s="157" t="s">
        <v>6256</v>
      </c>
      <c r="D102" s="157">
        <v>9000</v>
      </c>
      <c r="E102" s="157">
        <v>9499</v>
      </c>
      <c r="F102" s="360">
        <v>27.53</v>
      </c>
      <c r="Q102">
        <v>75</v>
      </c>
      <c r="S102" s="142">
        <v>1361625</v>
      </c>
      <c r="T102" s="140" t="s">
        <v>333</v>
      </c>
      <c r="V102" s="141"/>
      <c r="Z102" t="s">
        <v>6223</v>
      </c>
      <c r="AA102">
        <v>34</v>
      </c>
      <c r="AB102">
        <v>101</v>
      </c>
    </row>
    <row r="103" spans="1:28">
      <c r="A103" s="159">
        <v>134</v>
      </c>
      <c r="B103" s="160" t="s">
        <v>6269</v>
      </c>
      <c r="C103" s="160" t="s">
        <v>6257</v>
      </c>
      <c r="D103" s="160">
        <v>9500</v>
      </c>
      <c r="E103" s="160">
        <v>10000</v>
      </c>
      <c r="F103" s="360">
        <v>28.98</v>
      </c>
      <c r="Q103">
        <v>76</v>
      </c>
      <c r="S103" s="142">
        <v>1362020</v>
      </c>
      <c r="T103" s="140" t="s">
        <v>333</v>
      </c>
      <c r="V103" s="141"/>
      <c r="Z103" t="s">
        <v>6223</v>
      </c>
      <c r="AA103">
        <v>35</v>
      </c>
      <c r="AB103">
        <v>102</v>
      </c>
    </row>
    <row r="104" spans="1:28">
      <c r="A104" s="156">
        <v>136</v>
      </c>
      <c r="B104" s="157" t="s">
        <v>6270</v>
      </c>
      <c r="C104" s="157" t="s">
        <v>6180</v>
      </c>
      <c r="D104" s="157">
        <v>16</v>
      </c>
      <c r="E104" s="157">
        <v>249</v>
      </c>
      <c r="F104" s="360">
        <v>1.77</v>
      </c>
      <c r="Q104">
        <v>77</v>
      </c>
      <c r="S104" s="142">
        <v>1362024</v>
      </c>
      <c r="T104" s="140" t="s">
        <v>333</v>
      </c>
      <c r="V104" s="141"/>
      <c r="Z104" t="s">
        <v>6223</v>
      </c>
      <c r="AA104">
        <v>36</v>
      </c>
      <c r="AB104">
        <v>103</v>
      </c>
    </row>
    <row r="105" spans="1:28">
      <c r="A105" s="156">
        <v>136</v>
      </c>
      <c r="B105" s="157" t="s">
        <v>6270</v>
      </c>
      <c r="C105" s="157" t="s">
        <v>6185</v>
      </c>
      <c r="D105" s="157">
        <v>250</v>
      </c>
      <c r="E105" s="157">
        <v>299</v>
      </c>
      <c r="F105" s="360">
        <v>1.94</v>
      </c>
      <c r="Q105">
        <v>78</v>
      </c>
      <c r="S105" s="142">
        <v>1362025</v>
      </c>
      <c r="T105" s="140" t="s">
        <v>333</v>
      </c>
      <c r="V105" s="141"/>
      <c r="Z105" t="s">
        <v>6223</v>
      </c>
      <c r="AA105">
        <v>37</v>
      </c>
      <c r="AB105">
        <v>104</v>
      </c>
    </row>
    <row r="106" spans="1:28">
      <c r="A106" s="156">
        <v>136</v>
      </c>
      <c r="B106" s="157" t="s">
        <v>6270</v>
      </c>
      <c r="C106" s="157" t="s">
        <v>6187</v>
      </c>
      <c r="D106" s="157">
        <v>300</v>
      </c>
      <c r="E106" s="157">
        <v>349</v>
      </c>
      <c r="F106" s="360">
        <v>2.11</v>
      </c>
      <c r="Q106">
        <v>79</v>
      </c>
      <c r="S106" s="142">
        <v>1362424</v>
      </c>
      <c r="T106" s="140" t="s">
        <v>333</v>
      </c>
      <c r="V106" s="141"/>
      <c r="Z106" t="s">
        <v>6223</v>
      </c>
      <c r="AA106">
        <v>38</v>
      </c>
      <c r="AB106">
        <v>105</v>
      </c>
    </row>
    <row r="107" spans="1:28">
      <c r="A107" s="156">
        <v>136</v>
      </c>
      <c r="B107" s="157" t="s">
        <v>6270</v>
      </c>
      <c r="C107" s="157" t="s">
        <v>6193</v>
      </c>
      <c r="D107" s="157">
        <v>350</v>
      </c>
      <c r="E107" s="157">
        <v>399</v>
      </c>
      <c r="F107" s="360">
        <v>2.2799999999999998</v>
      </c>
      <c r="Q107">
        <v>80</v>
      </c>
      <c r="S107" s="142">
        <v>1362525</v>
      </c>
      <c r="T107" s="140" t="s">
        <v>333</v>
      </c>
      <c r="V107" s="141"/>
      <c r="Z107" t="s">
        <v>6223</v>
      </c>
      <c r="AA107">
        <v>39</v>
      </c>
      <c r="AB107">
        <v>106</v>
      </c>
    </row>
    <row r="108" spans="1:28">
      <c r="A108" s="156">
        <v>136</v>
      </c>
      <c r="B108" s="157" t="s">
        <v>6270</v>
      </c>
      <c r="C108" s="157" t="s">
        <v>6196</v>
      </c>
      <c r="D108" s="157">
        <v>400</v>
      </c>
      <c r="E108" s="157">
        <v>449</v>
      </c>
      <c r="F108" s="360">
        <v>2.44</v>
      </c>
      <c r="Q108">
        <v>81</v>
      </c>
      <c r="S108" s="139">
        <v>10622100</v>
      </c>
      <c r="T108" s="140" t="s">
        <v>333</v>
      </c>
      <c r="V108" s="141"/>
      <c r="Z108" t="s">
        <v>6223</v>
      </c>
      <c r="AA108">
        <v>40</v>
      </c>
      <c r="AB108">
        <v>107</v>
      </c>
    </row>
    <row r="109" spans="1:28">
      <c r="A109" s="156">
        <v>136</v>
      </c>
      <c r="B109" s="157" t="s">
        <v>6270</v>
      </c>
      <c r="C109" s="157" t="s">
        <v>6199</v>
      </c>
      <c r="D109" s="157">
        <v>450</v>
      </c>
      <c r="E109" s="157">
        <v>499</v>
      </c>
      <c r="F109" s="360">
        <v>2.61</v>
      </c>
      <c r="Q109">
        <v>82</v>
      </c>
      <c r="S109" s="139">
        <v>10626100</v>
      </c>
      <c r="T109" s="140" t="s">
        <v>333</v>
      </c>
      <c r="V109" s="141"/>
      <c r="Z109" t="s">
        <v>6223</v>
      </c>
      <c r="AA109">
        <v>41</v>
      </c>
      <c r="AB109">
        <v>108</v>
      </c>
    </row>
    <row r="110" spans="1:28">
      <c r="A110" s="156">
        <v>136</v>
      </c>
      <c r="B110" s="157" t="s">
        <v>6270</v>
      </c>
      <c r="C110" s="157" t="s">
        <v>6201</v>
      </c>
      <c r="D110" s="157">
        <v>500</v>
      </c>
      <c r="E110" s="157">
        <v>549</v>
      </c>
      <c r="F110" s="360">
        <v>2.78</v>
      </c>
      <c r="Q110">
        <v>83</v>
      </c>
      <c r="S110" s="139">
        <v>1064060</v>
      </c>
      <c r="T110" s="140" t="s">
        <v>333</v>
      </c>
      <c r="V110" s="141"/>
      <c r="Z110" t="s">
        <v>6223</v>
      </c>
      <c r="AA110">
        <v>42</v>
      </c>
      <c r="AB110">
        <v>109</v>
      </c>
    </row>
    <row r="111" spans="1:28">
      <c r="A111" s="156">
        <v>136</v>
      </c>
      <c r="B111" s="157" t="s">
        <v>6270</v>
      </c>
      <c r="C111" s="157" t="s">
        <v>6203</v>
      </c>
      <c r="D111" s="157">
        <v>550</v>
      </c>
      <c r="E111" s="157">
        <v>599</v>
      </c>
      <c r="F111" s="360">
        <v>2.95</v>
      </c>
      <c r="Q111">
        <v>84</v>
      </c>
      <c r="S111" s="139">
        <v>1065060</v>
      </c>
      <c r="T111" s="140" t="s">
        <v>333</v>
      </c>
      <c r="V111" s="141"/>
      <c r="Z111" t="s">
        <v>6223</v>
      </c>
      <c r="AA111">
        <v>43</v>
      </c>
      <c r="AB111">
        <v>110</v>
      </c>
    </row>
    <row r="112" spans="1:28">
      <c r="A112" s="156">
        <v>136</v>
      </c>
      <c r="B112" s="157" t="s">
        <v>6270</v>
      </c>
      <c r="C112" s="157" t="s">
        <v>6205</v>
      </c>
      <c r="D112" s="157">
        <v>600</v>
      </c>
      <c r="E112" s="157">
        <v>649</v>
      </c>
      <c r="F112" s="360">
        <v>3.12</v>
      </c>
      <c r="Q112">
        <v>85</v>
      </c>
      <c r="S112" s="139">
        <v>1066060</v>
      </c>
      <c r="T112" s="140" t="s">
        <v>333</v>
      </c>
      <c r="V112" s="141"/>
      <c r="Z112" t="s">
        <v>6223</v>
      </c>
      <c r="AA112">
        <v>44</v>
      </c>
      <c r="AB112">
        <v>111</v>
      </c>
    </row>
    <row r="113" spans="1:28">
      <c r="A113" s="156">
        <v>136</v>
      </c>
      <c r="B113" s="157" t="s">
        <v>6270</v>
      </c>
      <c r="C113" s="157" t="s">
        <v>6207</v>
      </c>
      <c r="D113" s="157">
        <v>650</v>
      </c>
      <c r="E113" s="157">
        <v>699</v>
      </c>
      <c r="F113" s="360">
        <v>3.29</v>
      </c>
      <c r="Q113">
        <v>86</v>
      </c>
      <c r="S113" s="142">
        <v>1761224</v>
      </c>
      <c r="T113" s="140" t="s">
        <v>333</v>
      </c>
      <c r="V113" s="141"/>
      <c r="Z113" t="s">
        <v>6223</v>
      </c>
      <c r="AA113">
        <v>45</v>
      </c>
      <c r="AB113">
        <v>112</v>
      </c>
    </row>
    <row r="114" spans="1:28">
      <c r="A114" s="156">
        <v>136</v>
      </c>
      <c r="B114" s="157" t="s">
        <v>6270</v>
      </c>
      <c r="C114" s="157" t="s">
        <v>6211</v>
      </c>
      <c r="D114" s="157">
        <v>700</v>
      </c>
      <c r="E114" s="157">
        <v>749</v>
      </c>
      <c r="F114" s="360">
        <v>3.46</v>
      </c>
      <c r="Q114">
        <v>87</v>
      </c>
      <c r="S114" s="142">
        <v>1761620</v>
      </c>
      <c r="T114" s="140" t="s">
        <v>333</v>
      </c>
      <c r="V114" s="141"/>
      <c r="Z114" t="s">
        <v>6223</v>
      </c>
      <c r="AA114">
        <v>46</v>
      </c>
      <c r="AB114">
        <v>113</v>
      </c>
    </row>
    <row r="115" spans="1:28">
      <c r="A115" s="156">
        <v>136</v>
      </c>
      <c r="B115" s="157" t="s">
        <v>6270</v>
      </c>
      <c r="C115" s="157" t="s">
        <v>6212</v>
      </c>
      <c r="D115" s="157">
        <v>750</v>
      </c>
      <c r="E115" s="157">
        <v>799</v>
      </c>
      <c r="F115" s="360">
        <v>3.63</v>
      </c>
      <c r="Q115">
        <v>88</v>
      </c>
      <c r="S115" s="142">
        <v>1761625</v>
      </c>
      <c r="T115" s="140" t="s">
        <v>333</v>
      </c>
      <c r="V115" s="141"/>
      <c r="Z115" t="s">
        <v>6223</v>
      </c>
      <c r="AA115">
        <v>47</v>
      </c>
      <c r="AB115">
        <v>114</v>
      </c>
    </row>
    <row r="116" spans="1:28">
      <c r="A116" s="156">
        <v>136</v>
      </c>
      <c r="B116" s="157" t="s">
        <v>6270</v>
      </c>
      <c r="C116" s="157" t="s">
        <v>6213</v>
      </c>
      <c r="D116" s="157">
        <v>800</v>
      </c>
      <c r="E116" s="157">
        <v>849</v>
      </c>
      <c r="F116" s="360">
        <v>3.8</v>
      </c>
      <c r="Q116">
        <v>89</v>
      </c>
      <c r="S116" s="142">
        <v>1762020</v>
      </c>
      <c r="T116" s="140" t="s">
        <v>333</v>
      </c>
      <c r="V116" s="141"/>
      <c r="Z116" t="s">
        <v>6223</v>
      </c>
      <c r="AA116">
        <v>48</v>
      </c>
      <c r="AB116">
        <v>115</v>
      </c>
    </row>
    <row r="117" spans="1:28">
      <c r="A117" s="156">
        <v>136</v>
      </c>
      <c r="B117" s="157" t="s">
        <v>6270</v>
      </c>
      <c r="C117" s="157" t="s">
        <v>6216</v>
      </c>
      <c r="D117" s="157">
        <v>850</v>
      </c>
      <c r="E117" s="157">
        <v>899</v>
      </c>
      <c r="F117" s="360">
        <v>3.97</v>
      </c>
      <c r="Q117">
        <v>90</v>
      </c>
      <c r="S117" s="142">
        <v>1762024</v>
      </c>
      <c r="T117" s="140" t="s">
        <v>333</v>
      </c>
      <c r="V117" s="141"/>
      <c r="Z117" t="s">
        <v>6223</v>
      </c>
      <c r="AA117">
        <v>49</v>
      </c>
      <c r="AB117">
        <v>116</v>
      </c>
    </row>
    <row r="118" spans="1:28">
      <c r="A118" s="156">
        <v>136</v>
      </c>
      <c r="B118" s="157" t="s">
        <v>6270</v>
      </c>
      <c r="C118" s="157" t="s">
        <v>6221</v>
      </c>
      <c r="D118" s="157">
        <v>900</v>
      </c>
      <c r="E118" s="157">
        <v>949</v>
      </c>
      <c r="F118" s="360">
        <v>4.13</v>
      </c>
      <c r="Q118">
        <v>91</v>
      </c>
      <c r="S118" s="142">
        <v>1762025</v>
      </c>
      <c r="T118" s="140" t="s">
        <v>333</v>
      </c>
      <c r="V118" s="141"/>
      <c r="Z118" t="s">
        <v>6223</v>
      </c>
      <c r="AA118">
        <v>50</v>
      </c>
      <c r="AB118">
        <v>117</v>
      </c>
    </row>
    <row r="119" spans="1:28">
      <c r="A119" s="156">
        <v>136</v>
      </c>
      <c r="B119" s="157" t="s">
        <v>6270</v>
      </c>
      <c r="C119" s="157" t="s">
        <v>6222</v>
      </c>
      <c r="D119" s="157">
        <v>950</v>
      </c>
      <c r="E119" s="157">
        <v>999</v>
      </c>
      <c r="F119" s="360">
        <v>4.3</v>
      </c>
      <c r="Q119">
        <v>92</v>
      </c>
      <c r="S119" s="142">
        <v>1762424</v>
      </c>
      <c r="T119" s="140" t="s">
        <v>333</v>
      </c>
      <c r="V119" s="141"/>
      <c r="Z119" t="s">
        <v>6223</v>
      </c>
      <c r="AA119">
        <v>51</v>
      </c>
      <c r="AB119">
        <v>118</v>
      </c>
    </row>
    <row r="120" spans="1:28">
      <c r="A120" s="156">
        <v>136</v>
      </c>
      <c r="B120" s="157" t="s">
        <v>6270</v>
      </c>
      <c r="C120" s="157" t="s">
        <v>6224</v>
      </c>
      <c r="D120" s="157">
        <v>1000</v>
      </c>
      <c r="E120" s="157">
        <v>1499</v>
      </c>
      <c r="F120" s="360">
        <v>6.97</v>
      </c>
      <c r="Q120">
        <v>93</v>
      </c>
      <c r="S120" s="142">
        <v>1762525</v>
      </c>
      <c r="T120" s="140" t="s">
        <v>333</v>
      </c>
      <c r="V120" s="141"/>
      <c r="Z120" t="s">
        <v>6223</v>
      </c>
      <c r="AA120">
        <v>52</v>
      </c>
      <c r="AB120">
        <v>119</v>
      </c>
    </row>
    <row r="121" spans="1:28">
      <c r="A121" s="156">
        <v>136</v>
      </c>
      <c r="B121" s="157" t="s">
        <v>6270</v>
      </c>
      <c r="C121" s="157" t="s">
        <v>6227</v>
      </c>
      <c r="D121" s="157">
        <v>1500</v>
      </c>
      <c r="E121" s="157">
        <v>1999</v>
      </c>
      <c r="F121" s="360">
        <v>9.6300000000000008</v>
      </c>
      <c r="Q121">
        <v>94</v>
      </c>
      <c r="S121" s="139">
        <v>11322100</v>
      </c>
      <c r="T121" s="140" t="s">
        <v>333</v>
      </c>
      <c r="V121" s="141"/>
      <c r="Z121" t="s">
        <v>6223</v>
      </c>
      <c r="AA121">
        <v>53</v>
      </c>
      <c r="AB121">
        <v>120</v>
      </c>
    </row>
    <row r="122" spans="1:28">
      <c r="A122" s="156">
        <v>136</v>
      </c>
      <c r="B122" s="157" t="s">
        <v>6270</v>
      </c>
      <c r="C122" s="157" t="s">
        <v>6229</v>
      </c>
      <c r="D122" s="157">
        <v>2000</v>
      </c>
      <c r="E122" s="157">
        <v>2499</v>
      </c>
      <c r="F122" s="360">
        <v>12.3</v>
      </c>
      <c r="Q122">
        <v>95</v>
      </c>
      <c r="S122" s="139">
        <v>11326100</v>
      </c>
      <c r="T122" s="140" t="s">
        <v>333</v>
      </c>
      <c r="V122" s="141"/>
      <c r="Z122" t="s">
        <v>6223</v>
      </c>
      <c r="AA122">
        <v>54</v>
      </c>
      <c r="AB122">
        <v>121</v>
      </c>
    </row>
    <row r="123" spans="1:28">
      <c r="A123" s="156">
        <v>136</v>
      </c>
      <c r="B123" s="157" t="s">
        <v>6270</v>
      </c>
      <c r="C123" s="157" t="s">
        <v>6231</v>
      </c>
      <c r="D123" s="157">
        <v>2500</v>
      </c>
      <c r="E123" s="157">
        <v>2999</v>
      </c>
      <c r="F123" s="360">
        <v>14.96</v>
      </c>
      <c r="Q123">
        <v>96</v>
      </c>
      <c r="S123" s="139">
        <v>1134060</v>
      </c>
      <c r="T123" s="140" t="s">
        <v>333</v>
      </c>
      <c r="V123" s="141"/>
      <c r="Z123" t="s">
        <v>6223</v>
      </c>
      <c r="AA123">
        <v>55</v>
      </c>
      <c r="AB123">
        <v>122</v>
      </c>
    </row>
    <row r="124" spans="1:28">
      <c r="A124" s="156">
        <v>136</v>
      </c>
      <c r="B124" s="157" t="s">
        <v>6270</v>
      </c>
      <c r="C124" s="157" t="s">
        <v>6234</v>
      </c>
      <c r="D124" s="157">
        <v>3000</v>
      </c>
      <c r="E124" s="157">
        <v>3499</v>
      </c>
      <c r="F124" s="360">
        <v>17.63</v>
      </c>
      <c r="Q124">
        <v>97</v>
      </c>
      <c r="S124" s="139">
        <v>1135060</v>
      </c>
      <c r="T124" s="140" t="s">
        <v>333</v>
      </c>
      <c r="V124" s="141"/>
      <c r="Z124" t="s">
        <v>6223</v>
      </c>
      <c r="AA124">
        <v>56</v>
      </c>
      <c r="AB124">
        <v>123</v>
      </c>
    </row>
    <row r="125" spans="1:28">
      <c r="A125" s="156">
        <v>136</v>
      </c>
      <c r="B125" s="157" t="s">
        <v>6270</v>
      </c>
      <c r="C125" s="157" t="s">
        <v>6236</v>
      </c>
      <c r="D125" s="157">
        <v>3500</v>
      </c>
      <c r="E125" s="157">
        <v>3999</v>
      </c>
      <c r="F125" s="360">
        <v>20.29</v>
      </c>
      <c r="Q125">
        <v>98</v>
      </c>
      <c r="S125" s="139">
        <v>1136060</v>
      </c>
      <c r="T125" s="140" t="s">
        <v>333</v>
      </c>
      <c r="V125" s="141"/>
      <c r="Z125" t="s">
        <v>6223</v>
      </c>
      <c r="AA125">
        <v>57</v>
      </c>
      <c r="AB125">
        <v>124</v>
      </c>
    </row>
    <row r="126" spans="1:28">
      <c r="A126" s="156">
        <v>136</v>
      </c>
      <c r="B126" s="157" t="s">
        <v>6270</v>
      </c>
      <c r="C126" s="157" t="s">
        <v>6238</v>
      </c>
      <c r="D126" s="157">
        <v>4000</v>
      </c>
      <c r="E126" s="157">
        <v>4499</v>
      </c>
      <c r="F126" s="360">
        <v>22.96</v>
      </c>
      <c r="Q126">
        <v>99</v>
      </c>
      <c r="S126" s="139">
        <v>1137260</v>
      </c>
      <c r="T126" s="140" t="s">
        <v>333</v>
      </c>
      <c r="V126" s="141"/>
      <c r="Z126" t="s">
        <v>6223</v>
      </c>
      <c r="AA126">
        <v>58</v>
      </c>
      <c r="AB126">
        <v>125</v>
      </c>
    </row>
    <row r="127" spans="1:28">
      <c r="A127" s="156">
        <v>136</v>
      </c>
      <c r="B127" s="157" t="s">
        <v>6270</v>
      </c>
      <c r="C127" s="157" t="s">
        <v>6240</v>
      </c>
      <c r="D127" s="157">
        <v>4500</v>
      </c>
      <c r="E127" s="157">
        <v>4999</v>
      </c>
      <c r="F127" s="360">
        <v>25.62</v>
      </c>
      <c r="Q127">
        <v>100</v>
      </c>
      <c r="S127" s="142">
        <v>1401224</v>
      </c>
      <c r="T127" s="140" t="s">
        <v>333</v>
      </c>
      <c r="V127" s="141"/>
      <c r="Z127" t="s">
        <v>6223</v>
      </c>
      <c r="AA127">
        <v>59</v>
      </c>
      <c r="AB127">
        <v>126</v>
      </c>
    </row>
    <row r="128" spans="1:28">
      <c r="A128" s="156">
        <v>136</v>
      </c>
      <c r="B128" s="157" t="s">
        <v>6270</v>
      </c>
      <c r="C128" s="157" t="s">
        <v>6241</v>
      </c>
      <c r="D128" s="157">
        <v>5000</v>
      </c>
      <c r="E128" s="157">
        <v>5499</v>
      </c>
      <c r="F128" s="360">
        <v>28.29</v>
      </c>
      <c r="Q128">
        <v>101</v>
      </c>
      <c r="S128" s="142">
        <v>1401620</v>
      </c>
      <c r="T128" s="140" t="s">
        <v>333</v>
      </c>
      <c r="V128" s="141"/>
      <c r="Z128" t="s">
        <v>6223</v>
      </c>
      <c r="AA128">
        <v>60</v>
      </c>
      <c r="AB128">
        <v>127</v>
      </c>
    </row>
    <row r="129" spans="1:28">
      <c r="A129" s="156">
        <v>136</v>
      </c>
      <c r="B129" s="157" t="s">
        <v>6270</v>
      </c>
      <c r="C129" s="157" t="s">
        <v>6242</v>
      </c>
      <c r="D129" s="157">
        <v>5500</v>
      </c>
      <c r="E129" s="157">
        <v>5999</v>
      </c>
      <c r="F129" s="360">
        <v>30.95</v>
      </c>
      <c r="Q129">
        <v>102</v>
      </c>
      <c r="S129" s="142">
        <v>1401625</v>
      </c>
      <c r="T129" s="140" t="s">
        <v>333</v>
      </c>
      <c r="V129" s="141"/>
      <c r="Z129" t="s">
        <v>6223</v>
      </c>
      <c r="AA129">
        <v>61</v>
      </c>
      <c r="AB129">
        <v>128</v>
      </c>
    </row>
    <row r="130" spans="1:28">
      <c r="A130" s="156">
        <v>136</v>
      </c>
      <c r="B130" s="157" t="s">
        <v>6270</v>
      </c>
      <c r="C130" s="157" t="s">
        <v>6246</v>
      </c>
      <c r="D130" s="157">
        <v>6000</v>
      </c>
      <c r="E130" s="157">
        <v>6499</v>
      </c>
      <c r="F130" s="360">
        <v>33.619999999999997</v>
      </c>
      <c r="Q130">
        <v>103</v>
      </c>
      <c r="S130" s="142">
        <v>1402020</v>
      </c>
      <c r="T130" s="140" t="s">
        <v>333</v>
      </c>
      <c r="V130" s="141"/>
      <c r="Z130" t="s">
        <v>6223</v>
      </c>
      <c r="AA130">
        <v>62</v>
      </c>
      <c r="AB130">
        <v>129</v>
      </c>
    </row>
    <row r="131" spans="1:28">
      <c r="A131" s="156">
        <v>136</v>
      </c>
      <c r="B131" s="157" t="s">
        <v>6270</v>
      </c>
      <c r="C131" s="157" t="s">
        <v>6247</v>
      </c>
      <c r="D131" s="157">
        <v>6500</v>
      </c>
      <c r="E131" s="157">
        <v>6999</v>
      </c>
      <c r="F131" s="360">
        <v>36.28</v>
      </c>
      <c r="Q131">
        <v>104</v>
      </c>
      <c r="S131" s="142">
        <v>1402024</v>
      </c>
      <c r="T131" s="140" t="s">
        <v>333</v>
      </c>
      <c r="V131" s="141"/>
      <c r="Z131" t="s">
        <v>6223</v>
      </c>
      <c r="AA131">
        <v>63</v>
      </c>
      <c r="AB131">
        <v>130</v>
      </c>
    </row>
    <row r="132" spans="1:28">
      <c r="A132" s="156">
        <v>136</v>
      </c>
      <c r="B132" s="157" t="s">
        <v>6270</v>
      </c>
      <c r="C132" s="157" t="s">
        <v>6248</v>
      </c>
      <c r="D132" s="157">
        <v>7000</v>
      </c>
      <c r="E132" s="157">
        <v>7499</v>
      </c>
      <c r="F132" s="360">
        <v>38.950000000000003</v>
      </c>
      <c r="Q132">
        <v>105</v>
      </c>
      <c r="S132" s="142">
        <v>1402025</v>
      </c>
      <c r="T132" s="140" t="s">
        <v>333</v>
      </c>
      <c r="V132" s="141"/>
      <c r="Z132" t="s">
        <v>6223</v>
      </c>
      <c r="AA132">
        <v>64</v>
      </c>
      <c r="AB132">
        <v>131</v>
      </c>
    </row>
    <row r="133" spans="1:28">
      <c r="A133" s="156">
        <v>136</v>
      </c>
      <c r="B133" s="157" t="s">
        <v>6270</v>
      </c>
      <c r="C133" s="157" t="s">
        <v>6250</v>
      </c>
      <c r="D133" s="157">
        <v>7500</v>
      </c>
      <c r="E133" s="157">
        <v>7999</v>
      </c>
      <c r="F133" s="360">
        <v>41.61</v>
      </c>
      <c r="Q133">
        <v>106</v>
      </c>
      <c r="S133" s="142">
        <v>1402424</v>
      </c>
      <c r="T133" s="140" t="s">
        <v>333</v>
      </c>
      <c r="V133" s="141"/>
      <c r="Z133" t="s">
        <v>6223</v>
      </c>
      <c r="AA133">
        <v>65</v>
      </c>
      <c r="AB133">
        <v>132</v>
      </c>
    </row>
    <row r="134" spans="1:28">
      <c r="A134" s="156">
        <v>136</v>
      </c>
      <c r="B134" s="157" t="s">
        <v>6270</v>
      </c>
      <c r="C134" s="157" t="s">
        <v>6252</v>
      </c>
      <c r="D134" s="157">
        <v>8000</v>
      </c>
      <c r="E134" s="157">
        <v>8499</v>
      </c>
      <c r="F134" s="360">
        <v>44.28</v>
      </c>
      <c r="Q134">
        <v>107</v>
      </c>
      <c r="S134" s="142">
        <v>1402525</v>
      </c>
      <c r="T134" s="140" t="s">
        <v>333</v>
      </c>
      <c r="V134" s="141"/>
      <c r="Z134" t="s">
        <v>6223</v>
      </c>
      <c r="AA134">
        <v>66</v>
      </c>
      <c r="AB134">
        <v>133</v>
      </c>
    </row>
    <row r="135" spans="1:28">
      <c r="A135" s="156">
        <v>136</v>
      </c>
      <c r="B135" s="157" t="s">
        <v>6270</v>
      </c>
      <c r="C135" s="157" t="s">
        <v>6255</v>
      </c>
      <c r="D135" s="157">
        <v>8500</v>
      </c>
      <c r="E135" s="157">
        <v>8999</v>
      </c>
      <c r="F135" s="360">
        <v>46.94</v>
      </c>
      <c r="Q135">
        <v>108</v>
      </c>
      <c r="S135" s="139">
        <v>11020100</v>
      </c>
      <c r="T135" s="140" t="s">
        <v>333</v>
      </c>
      <c r="V135" s="141"/>
      <c r="Z135" t="s">
        <v>6223</v>
      </c>
      <c r="AA135">
        <v>67</v>
      </c>
      <c r="AB135">
        <v>134</v>
      </c>
    </row>
    <row r="136" spans="1:28">
      <c r="A136" s="156">
        <v>136</v>
      </c>
      <c r="B136" s="157" t="s">
        <v>6270</v>
      </c>
      <c r="C136" s="157" t="s">
        <v>6256</v>
      </c>
      <c r="D136" s="157">
        <v>9000</v>
      </c>
      <c r="E136" s="157">
        <v>9499</v>
      </c>
      <c r="F136" s="360">
        <v>49.61</v>
      </c>
      <c r="Q136">
        <v>109</v>
      </c>
      <c r="S136" s="139">
        <v>11025100</v>
      </c>
      <c r="T136" s="140" t="s">
        <v>333</v>
      </c>
      <c r="V136" s="141"/>
      <c r="Z136" t="s">
        <v>6223</v>
      </c>
      <c r="AA136">
        <v>68</v>
      </c>
      <c r="AB136">
        <v>135</v>
      </c>
    </row>
    <row r="137" spans="1:28">
      <c r="A137" s="159">
        <v>136</v>
      </c>
      <c r="B137" s="160" t="s">
        <v>6270</v>
      </c>
      <c r="C137" s="160" t="s">
        <v>6257</v>
      </c>
      <c r="D137" s="160">
        <v>9500</v>
      </c>
      <c r="E137" s="160">
        <v>10000</v>
      </c>
      <c r="F137" s="360">
        <v>52.27</v>
      </c>
      <c r="Q137">
        <v>110</v>
      </c>
      <c r="S137" s="139">
        <v>1104060</v>
      </c>
      <c r="T137" s="140" t="s">
        <v>333</v>
      </c>
      <c r="V137" s="141"/>
      <c r="Z137" t="s">
        <v>6223</v>
      </c>
      <c r="AA137">
        <v>69</v>
      </c>
      <c r="AB137">
        <v>136</v>
      </c>
    </row>
    <row r="138" spans="1:28">
      <c r="A138" s="156">
        <v>152</v>
      </c>
      <c r="B138" s="157" t="s">
        <v>6271</v>
      </c>
      <c r="C138" s="157" t="s">
        <v>6180</v>
      </c>
      <c r="D138" s="157">
        <v>16</v>
      </c>
      <c r="E138" s="157">
        <v>249</v>
      </c>
      <c r="F138" s="360">
        <v>1.83</v>
      </c>
      <c r="Q138">
        <v>111</v>
      </c>
      <c r="S138" s="139">
        <v>1105060</v>
      </c>
      <c r="T138" s="140" t="s">
        <v>333</v>
      </c>
      <c r="V138" s="141"/>
      <c r="Z138" t="s">
        <v>6223</v>
      </c>
      <c r="AA138">
        <v>70</v>
      </c>
      <c r="AB138">
        <v>137</v>
      </c>
    </row>
    <row r="139" spans="1:28">
      <c r="A139" s="156">
        <v>152</v>
      </c>
      <c r="B139" s="157" t="s">
        <v>6271</v>
      </c>
      <c r="C139" s="157" t="s">
        <v>6185</v>
      </c>
      <c r="D139" s="157">
        <v>250</v>
      </c>
      <c r="E139" s="157">
        <v>299</v>
      </c>
      <c r="F139" s="360">
        <v>2.02</v>
      </c>
      <c r="Q139">
        <v>112</v>
      </c>
      <c r="S139" s="139">
        <v>1106060</v>
      </c>
      <c r="T139" s="140" t="s">
        <v>333</v>
      </c>
      <c r="V139" s="141"/>
      <c r="Z139" t="s">
        <v>6223</v>
      </c>
      <c r="AA139">
        <v>71</v>
      </c>
      <c r="AB139">
        <v>138</v>
      </c>
    </row>
    <row r="140" spans="1:28">
      <c r="A140" s="156">
        <v>152</v>
      </c>
      <c r="B140" s="157" t="s">
        <v>6271</v>
      </c>
      <c r="C140" s="157" t="s">
        <v>6187</v>
      </c>
      <c r="D140" s="157">
        <v>300</v>
      </c>
      <c r="E140" s="157">
        <v>349</v>
      </c>
      <c r="F140" s="360">
        <v>2.2000000000000002</v>
      </c>
      <c r="Q140">
        <v>113</v>
      </c>
      <c r="S140" s="142">
        <v>1431224</v>
      </c>
      <c r="T140" s="140" t="s">
        <v>333</v>
      </c>
      <c r="V140" s="141"/>
      <c r="Z140" t="s">
        <v>6223</v>
      </c>
      <c r="AA140">
        <v>72</v>
      </c>
      <c r="AB140">
        <v>139</v>
      </c>
    </row>
    <row r="141" spans="1:28">
      <c r="A141" s="156">
        <v>152</v>
      </c>
      <c r="B141" s="157" t="s">
        <v>6271</v>
      </c>
      <c r="C141" s="157" t="s">
        <v>6193</v>
      </c>
      <c r="D141" s="157">
        <v>350</v>
      </c>
      <c r="E141" s="157">
        <v>399</v>
      </c>
      <c r="F141" s="360">
        <v>2.38</v>
      </c>
      <c r="Q141">
        <v>114</v>
      </c>
      <c r="S141" s="142">
        <v>1431620</v>
      </c>
      <c r="T141" s="140" t="s">
        <v>333</v>
      </c>
      <c r="V141" s="141"/>
      <c r="Z141" t="s">
        <v>6223</v>
      </c>
      <c r="AA141">
        <v>73</v>
      </c>
      <c r="AB141">
        <v>140</v>
      </c>
    </row>
    <row r="142" spans="1:28">
      <c r="A142" s="156">
        <v>152</v>
      </c>
      <c r="B142" s="157" t="s">
        <v>6271</v>
      </c>
      <c r="C142" s="157" t="s">
        <v>6196</v>
      </c>
      <c r="D142" s="157">
        <v>400</v>
      </c>
      <c r="E142" s="157">
        <v>449</v>
      </c>
      <c r="F142" s="360">
        <v>2.56</v>
      </c>
      <c r="Q142">
        <v>115</v>
      </c>
      <c r="S142" s="142">
        <v>1431625</v>
      </c>
      <c r="T142" s="140" t="s">
        <v>333</v>
      </c>
      <c r="V142" s="141"/>
      <c r="Z142" t="s">
        <v>6223</v>
      </c>
      <c r="AA142">
        <v>74</v>
      </c>
      <c r="AB142">
        <v>141</v>
      </c>
    </row>
    <row r="143" spans="1:28">
      <c r="A143" s="156">
        <v>152</v>
      </c>
      <c r="B143" s="157" t="s">
        <v>6271</v>
      </c>
      <c r="C143" s="157" t="s">
        <v>6199</v>
      </c>
      <c r="D143" s="157">
        <v>450</v>
      </c>
      <c r="E143" s="157">
        <v>499</v>
      </c>
      <c r="F143" s="360">
        <v>2.74</v>
      </c>
      <c r="Q143">
        <v>116</v>
      </c>
      <c r="S143" s="142">
        <v>1432020</v>
      </c>
      <c r="T143" s="140" t="s">
        <v>333</v>
      </c>
      <c r="V143" s="141"/>
      <c r="Z143" t="s">
        <v>6223</v>
      </c>
      <c r="AA143">
        <v>75</v>
      </c>
      <c r="AB143">
        <v>142</v>
      </c>
    </row>
    <row r="144" spans="1:28">
      <c r="A144" s="156">
        <v>152</v>
      </c>
      <c r="B144" s="157" t="s">
        <v>6271</v>
      </c>
      <c r="C144" s="157" t="s">
        <v>6201</v>
      </c>
      <c r="D144" s="157">
        <v>500</v>
      </c>
      <c r="E144" s="157">
        <v>549</v>
      </c>
      <c r="F144" s="360">
        <v>2.93</v>
      </c>
      <c r="Q144">
        <v>117</v>
      </c>
      <c r="S144" s="142">
        <v>1432024</v>
      </c>
      <c r="T144" s="140" t="s">
        <v>333</v>
      </c>
      <c r="V144" s="141"/>
      <c r="Z144" t="s">
        <v>6223</v>
      </c>
      <c r="AA144">
        <v>76</v>
      </c>
      <c r="AB144">
        <v>143</v>
      </c>
    </row>
    <row r="145" spans="1:28">
      <c r="A145" s="156">
        <v>152</v>
      </c>
      <c r="B145" s="157" t="s">
        <v>6271</v>
      </c>
      <c r="C145" s="157" t="s">
        <v>6203</v>
      </c>
      <c r="D145" s="157">
        <v>550</v>
      </c>
      <c r="E145" s="157">
        <v>599</v>
      </c>
      <c r="F145" s="360">
        <v>3.11</v>
      </c>
      <c r="Q145">
        <v>118</v>
      </c>
      <c r="S145" s="142">
        <v>1432025</v>
      </c>
      <c r="T145" s="140" t="s">
        <v>333</v>
      </c>
      <c r="V145" s="141"/>
      <c r="Z145" t="s">
        <v>6223</v>
      </c>
      <c r="AA145">
        <v>77</v>
      </c>
      <c r="AB145">
        <v>144</v>
      </c>
    </row>
    <row r="146" spans="1:28">
      <c r="A146" s="156">
        <v>152</v>
      </c>
      <c r="B146" s="157" t="s">
        <v>6271</v>
      </c>
      <c r="C146" s="157" t="s">
        <v>6205</v>
      </c>
      <c r="D146" s="157">
        <v>600</v>
      </c>
      <c r="E146" s="157">
        <v>649</v>
      </c>
      <c r="F146" s="360">
        <v>3.29</v>
      </c>
      <c r="Q146">
        <v>119</v>
      </c>
      <c r="S146" s="142">
        <v>1432424</v>
      </c>
      <c r="T146" s="140" t="s">
        <v>333</v>
      </c>
      <c r="V146" s="141"/>
      <c r="Z146" t="s">
        <v>6223</v>
      </c>
      <c r="AA146">
        <v>78</v>
      </c>
      <c r="AB146">
        <v>145</v>
      </c>
    </row>
    <row r="147" spans="1:28">
      <c r="A147" s="156">
        <v>152</v>
      </c>
      <c r="B147" s="157" t="s">
        <v>6271</v>
      </c>
      <c r="C147" s="157" t="s">
        <v>6207</v>
      </c>
      <c r="D147" s="157">
        <v>650</v>
      </c>
      <c r="E147" s="157">
        <v>699</v>
      </c>
      <c r="F147" s="360">
        <v>3.47</v>
      </c>
      <c r="Q147">
        <v>120</v>
      </c>
      <c r="S147" s="142">
        <v>1432525</v>
      </c>
      <c r="T147" s="140" t="s">
        <v>333</v>
      </c>
      <c r="V147" s="141"/>
      <c r="Z147" t="s">
        <v>6223</v>
      </c>
      <c r="AA147">
        <v>79</v>
      </c>
      <c r="AB147">
        <v>146</v>
      </c>
    </row>
    <row r="148" spans="1:28">
      <c r="A148" s="156">
        <v>152</v>
      </c>
      <c r="B148" s="157" t="s">
        <v>6271</v>
      </c>
      <c r="C148" s="157" t="s">
        <v>6211</v>
      </c>
      <c r="D148" s="157">
        <v>700</v>
      </c>
      <c r="E148" s="157">
        <v>749</v>
      </c>
      <c r="F148" s="360">
        <v>3.65</v>
      </c>
      <c r="Q148">
        <v>121</v>
      </c>
      <c r="S148" s="139">
        <v>11120100</v>
      </c>
      <c r="T148" s="140" t="s">
        <v>333</v>
      </c>
      <c r="V148" s="141"/>
      <c r="Z148" t="s">
        <v>6223</v>
      </c>
      <c r="AA148">
        <v>80</v>
      </c>
      <c r="AB148">
        <v>147</v>
      </c>
    </row>
    <row r="149" spans="1:28">
      <c r="A149" s="156">
        <v>152</v>
      </c>
      <c r="B149" s="157" t="s">
        <v>6271</v>
      </c>
      <c r="C149" s="157" t="s">
        <v>6212</v>
      </c>
      <c r="D149" s="157">
        <v>750</v>
      </c>
      <c r="E149" s="157">
        <v>799</v>
      </c>
      <c r="F149" s="360">
        <v>3.84</v>
      </c>
      <c r="Q149">
        <v>122</v>
      </c>
      <c r="S149" s="139">
        <v>11125100</v>
      </c>
      <c r="T149" s="140" t="s">
        <v>333</v>
      </c>
      <c r="V149" s="141"/>
      <c r="Z149" t="s">
        <v>6223</v>
      </c>
      <c r="AA149">
        <v>81</v>
      </c>
      <c r="AB149">
        <v>148</v>
      </c>
    </row>
    <row r="150" spans="1:28">
      <c r="A150" s="156">
        <v>152</v>
      </c>
      <c r="B150" s="157" t="s">
        <v>6271</v>
      </c>
      <c r="C150" s="157" t="s">
        <v>6213</v>
      </c>
      <c r="D150" s="157">
        <v>800</v>
      </c>
      <c r="E150" s="157">
        <v>849</v>
      </c>
      <c r="F150" s="360">
        <v>4.0199999999999996</v>
      </c>
      <c r="Q150">
        <v>123</v>
      </c>
      <c r="S150" s="142">
        <v>1114060</v>
      </c>
      <c r="T150" s="140" t="s">
        <v>333</v>
      </c>
      <c r="V150" s="141"/>
      <c r="Z150" t="s">
        <v>6223</v>
      </c>
      <c r="AA150">
        <v>82</v>
      </c>
      <c r="AB150">
        <v>149</v>
      </c>
    </row>
    <row r="151" spans="1:28">
      <c r="A151" s="156">
        <v>152</v>
      </c>
      <c r="B151" s="157" t="s">
        <v>6271</v>
      </c>
      <c r="C151" s="157" t="s">
        <v>6216</v>
      </c>
      <c r="D151" s="157">
        <v>850</v>
      </c>
      <c r="E151" s="157">
        <v>899</v>
      </c>
      <c r="F151" s="360">
        <v>4.2</v>
      </c>
      <c r="Q151">
        <v>124</v>
      </c>
      <c r="S151" s="142">
        <v>1115060</v>
      </c>
      <c r="T151" s="140" t="s">
        <v>333</v>
      </c>
      <c r="V151" s="141"/>
      <c r="Z151" t="s">
        <v>6223</v>
      </c>
      <c r="AA151">
        <v>83</v>
      </c>
      <c r="AB151">
        <v>150</v>
      </c>
    </row>
    <row r="152" spans="1:28">
      <c r="A152" s="156">
        <v>152</v>
      </c>
      <c r="B152" s="157" t="s">
        <v>6271</v>
      </c>
      <c r="C152" s="157" t="s">
        <v>6221</v>
      </c>
      <c r="D152" s="157">
        <v>900</v>
      </c>
      <c r="E152" s="157">
        <v>949</v>
      </c>
      <c r="F152" s="360">
        <v>4.38</v>
      </c>
      <c r="Q152">
        <v>125</v>
      </c>
      <c r="S152" s="142">
        <v>1116060</v>
      </c>
      <c r="T152" s="140" t="s">
        <v>333</v>
      </c>
      <c r="V152" s="141"/>
      <c r="Z152" t="s">
        <v>6223</v>
      </c>
      <c r="AA152">
        <v>84</v>
      </c>
      <c r="AB152">
        <v>151</v>
      </c>
    </row>
    <row r="153" spans="1:28">
      <c r="A153" s="156">
        <v>152</v>
      </c>
      <c r="B153" s="157" t="s">
        <v>6271</v>
      </c>
      <c r="C153" s="157" t="s">
        <v>6222</v>
      </c>
      <c r="D153" s="157">
        <v>950</v>
      </c>
      <c r="E153" s="157">
        <v>999</v>
      </c>
      <c r="F153" s="360">
        <v>4.5599999999999996</v>
      </c>
      <c r="Q153">
        <v>126</v>
      </c>
      <c r="S153" s="143" t="s">
        <v>6272</v>
      </c>
      <c r="T153" s="140" t="s">
        <v>333</v>
      </c>
      <c r="V153" s="141"/>
      <c r="Z153" t="s">
        <v>6225</v>
      </c>
      <c r="AA153">
        <v>4</v>
      </c>
      <c r="AB153">
        <v>152</v>
      </c>
    </row>
    <row r="154" spans="1:28">
      <c r="A154" s="156">
        <v>152</v>
      </c>
      <c r="B154" s="157" t="s">
        <v>6271</v>
      </c>
      <c r="C154" s="157" t="s">
        <v>6224</v>
      </c>
      <c r="D154" s="157">
        <v>1000</v>
      </c>
      <c r="E154" s="157">
        <v>1499</v>
      </c>
      <c r="F154" s="360">
        <v>6.72</v>
      </c>
      <c r="Q154">
        <v>127</v>
      </c>
      <c r="S154" s="143" t="s">
        <v>6273</v>
      </c>
      <c r="T154" s="140" t="s">
        <v>333</v>
      </c>
      <c r="V154" s="141"/>
      <c r="Z154" t="s">
        <v>6225</v>
      </c>
      <c r="AA154">
        <v>5</v>
      </c>
      <c r="AB154">
        <v>153</v>
      </c>
    </row>
    <row r="155" spans="1:28">
      <c r="A155" s="156">
        <v>152</v>
      </c>
      <c r="B155" s="157" t="s">
        <v>6271</v>
      </c>
      <c r="C155" s="157" t="s">
        <v>6227</v>
      </c>
      <c r="D155" s="157">
        <v>1500</v>
      </c>
      <c r="E155" s="157">
        <v>1999</v>
      </c>
      <c r="F155" s="360">
        <v>8.8800000000000008</v>
      </c>
      <c r="Q155">
        <v>128</v>
      </c>
      <c r="S155" s="143" t="s">
        <v>6274</v>
      </c>
      <c r="T155" s="140" t="s">
        <v>333</v>
      </c>
      <c r="V155" s="141"/>
      <c r="Z155" t="s">
        <v>6225</v>
      </c>
      <c r="AA155">
        <v>6</v>
      </c>
      <c r="AB155">
        <v>154</v>
      </c>
    </row>
    <row r="156" spans="1:28">
      <c r="A156" s="156">
        <v>152</v>
      </c>
      <c r="B156" s="157" t="s">
        <v>6271</v>
      </c>
      <c r="C156" s="157" t="s">
        <v>6229</v>
      </c>
      <c r="D156" s="157">
        <v>2000</v>
      </c>
      <c r="E156" s="157">
        <v>2499</v>
      </c>
      <c r="F156" s="360">
        <v>11.04</v>
      </c>
      <c r="Q156">
        <v>129</v>
      </c>
      <c r="S156" s="143" t="s">
        <v>6275</v>
      </c>
      <c r="T156" s="140" t="s">
        <v>333</v>
      </c>
      <c r="V156" s="141"/>
      <c r="Z156" t="s">
        <v>6225</v>
      </c>
      <c r="AA156">
        <v>7</v>
      </c>
      <c r="AB156">
        <v>155</v>
      </c>
    </row>
    <row r="157" spans="1:28">
      <c r="A157" s="156">
        <v>152</v>
      </c>
      <c r="B157" s="157" t="s">
        <v>6271</v>
      </c>
      <c r="C157" s="157" t="s">
        <v>6231</v>
      </c>
      <c r="D157" s="157">
        <v>2500</v>
      </c>
      <c r="E157" s="157">
        <v>2999</v>
      </c>
      <c r="F157" s="360">
        <v>13.2</v>
      </c>
      <c r="Q157">
        <v>130</v>
      </c>
      <c r="S157" s="143" t="s">
        <v>6276</v>
      </c>
      <c r="T157" s="140" t="s">
        <v>333</v>
      </c>
      <c r="V157" s="141"/>
      <c r="Z157" t="s">
        <v>6225</v>
      </c>
      <c r="AA157">
        <v>8</v>
      </c>
      <c r="AB157">
        <v>156</v>
      </c>
    </row>
    <row r="158" spans="1:28">
      <c r="A158" s="156">
        <v>152</v>
      </c>
      <c r="B158" s="157" t="s">
        <v>6271</v>
      </c>
      <c r="C158" s="157" t="s">
        <v>6234</v>
      </c>
      <c r="D158" s="157">
        <v>3000</v>
      </c>
      <c r="E158" s="157">
        <v>3499</v>
      </c>
      <c r="F158" s="360">
        <v>15.35</v>
      </c>
      <c r="Q158">
        <v>131</v>
      </c>
      <c r="S158" s="143" t="s">
        <v>6277</v>
      </c>
      <c r="T158" s="140" t="s">
        <v>333</v>
      </c>
      <c r="V158" s="141"/>
      <c r="Z158" t="s">
        <v>6225</v>
      </c>
      <c r="AA158">
        <v>9</v>
      </c>
      <c r="AB158">
        <v>157</v>
      </c>
    </row>
    <row r="159" spans="1:28">
      <c r="A159" s="156">
        <v>152</v>
      </c>
      <c r="B159" s="157" t="s">
        <v>6271</v>
      </c>
      <c r="C159" s="157" t="s">
        <v>6236</v>
      </c>
      <c r="D159" s="157">
        <v>3500</v>
      </c>
      <c r="E159" s="157">
        <v>3999</v>
      </c>
      <c r="F159" s="360">
        <v>17.510000000000002</v>
      </c>
      <c r="Q159">
        <v>132</v>
      </c>
      <c r="S159" s="143" t="s">
        <v>6278</v>
      </c>
      <c r="T159" s="140" t="s">
        <v>333</v>
      </c>
      <c r="V159" s="141"/>
      <c r="Z159" t="s">
        <v>6225</v>
      </c>
      <c r="AA159">
        <v>10</v>
      </c>
      <c r="AB159">
        <v>158</v>
      </c>
    </row>
    <row r="160" spans="1:28">
      <c r="A160" s="156">
        <v>152</v>
      </c>
      <c r="B160" s="157" t="s">
        <v>6271</v>
      </c>
      <c r="C160" s="157" t="s">
        <v>6238</v>
      </c>
      <c r="D160" s="157">
        <v>4000</v>
      </c>
      <c r="E160" s="157">
        <v>4499</v>
      </c>
      <c r="F160" s="360">
        <v>19.670000000000002</v>
      </c>
      <c r="Q160">
        <v>133</v>
      </c>
      <c r="S160" s="143" t="s">
        <v>6279</v>
      </c>
      <c r="T160" s="140" t="s">
        <v>333</v>
      </c>
      <c r="V160" s="141"/>
      <c r="Z160" t="s">
        <v>6225</v>
      </c>
      <c r="AA160">
        <v>11</v>
      </c>
      <c r="AB160">
        <v>159</v>
      </c>
    </row>
    <row r="161" spans="1:28">
      <c r="A161" s="156">
        <v>152</v>
      </c>
      <c r="B161" s="157" t="s">
        <v>6271</v>
      </c>
      <c r="C161" s="157" t="s">
        <v>6240</v>
      </c>
      <c r="D161" s="157">
        <v>4500</v>
      </c>
      <c r="E161" s="157">
        <v>4999</v>
      </c>
      <c r="F161" s="360">
        <v>21.83</v>
      </c>
      <c r="Q161">
        <v>134</v>
      </c>
      <c r="S161" s="143" t="s">
        <v>6280</v>
      </c>
      <c r="T161" s="140" t="s">
        <v>333</v>
      </c>
      <c r="V161" s="141"/>
      <c r="Z161" t="s">
        <v>6225</v>
      </c>
      <c r="AA161">
        <v>12</v>
      </c>
      <c r="AB161">
        <v>160</v>
      </c>
    </row>
    <row r="162" spans="1:28">
      <c r="A162" s="156">
        <v>152</v>
      </c>
      <c r="B162" s="157" t="s">
        <v>6271</v>
      </c>
      <c r="C162" s="157" t="s">
        <v>6241</v>
      </c>
      <c r="D162" s="157">
        <v>5000</v>
      </c>
      <c r="E162" s="157">
        <v>5499</v>
      </c>
      <c r="F162" s="360">
        <v>23.99</v>
      </c>
      <c r="Q162">
        <v>135</v>
      </c>
      <c r="S162" s="139">
        <v>1701224</v>
      </c>
      <c r="T162" s="140" t="s">
        <v>333</v>
      </c>
      <c r="V162" s="141"/>
      <c r="Z162" t="s">
        <v>6225</v>
      </c>
      <c r="AA162">
        <v>13</v>
      </c>
      <c r="AB162">
        <v>161</v>
      </c>
    </row>
    <row r="163" spans="1:28">
      <c r="A163" s="156">
        <v>152</v>
      </c>
      <c r="B163" s="157" t="s">
        <v>6271</v>
      </c>
      <c r="C163" s="157" t="s">
        <v>6242</v>
      </c>
      <c r="D163" s="157">
        <v>5500</v>
      </c>
      <c r="E163" s="157">
        <v>5999</v>
      </c>
      <c r="F163" s="360">
        <v>26.14</v>
      </c>
      <c r="Q163">
        <v>136</v>
      </c>
      <c r="S163" s="139">
        <v>1701520</v>
      </c>
      <c r="T163" s="140" t="s">
        <v>333</v>
      </c>
      <c r="V163" s="141"/>
      <c r="Z163" t="s">
        <v>6225</v>
      </c>
      <c r="AA163">
        <v>14</v>
      </c>
      <c r="AB163">
        <v>162</v>
      </c>
    </row>
    <row r="164" spans="1:28">
      <c r="A164" s="156">
        <v>152</v>
      </c>
      <c r="B164" s="157" t="s">
        <v>6271</v>
      </c>
      <c r="C164" s="157" t="s">
        <v>6246</v>
      </c>
      <c r="D164" s="157">
        <v>6000</v>
      </c>
      <c r="E164" s="157">
        <v>6499</v>
      </c>
      <c r="F164" s="360">
        <v>28.3</v>
      </c>
      <c r="Q164">
        <v>137</v>
      </c>
      <c r="S164" s="139">
        <v>1701620</v>
      </c>
      <c r="T164" s="140" t="s">
        <v>333</v>
      </c>
      <c r="V164" s="141"/>
      <c r="Z164" t="s">
        <v>6225</v>
      </c>
      <c r="AA164">
        <v>15</v>
      </c>
      <c r="AB164">
        <v>163</v>
      </c>
    </row>
    <row r="165" spans="1:28">
      <c r="A165" s="156">
        <v>152</v>
      </c>
      <c r="B165" s="157" t="s">
        <v>6271</v>
      </c>
      <c r="C165" s="157" t="s">
        <v>6247</v>
      </c>
      <c r="D165" s="157">
        <v>6500</v>
      </c>
      <c r="E165" s="157">
        <v>6999</v>
      </c>
      <c r="F165" s="360">
        <v>30.46</v>
      </c>
      <c r="Q165">
        <v>138</v>
      </c>
      <c r="S165" s="139">
        <v>1701625</v>
      </c>
      <c r="T165" s="140" t="s">
        <v>333</v>
      </c>
      <c r="V165" s="141"/>
      <c r="Z165" t="s">
        <v>6225</v>
      </c>
      <c r="AA165">
        <v>16</v>
      </c>
      <c r="AB165">
        <v>164</v>
      </c>
    </row>
    <row r="166" spans="1:28">
      <c r="A166" s="156">
        <v>152</v>
      </c>
      <c r="B166" s="157" t="s">
        <v>6271</v>
      </c>
      <c r="C166" s="157" t="s">
        <v>6248</v>
      </c>
      <c r="D166" s="157">
        <v>7000</v>
      </c>
      <c r="E166" s="157">
        <v>7499</v>
      </c>
      <c r="F166" s="360">
        <v>32.619999999999997</v>
      </c>
      <c r="Q166">
        <v>139</v>
      </c>
      <c r="S166" s="139">
        <v>1702020</v>
      </c>
      <c r="T166" s="140" t="s">
        <v>333</v>
      </c>
      <c r="V166" s="141"/>
      <c r="Z166" t="s">
        <v>6225</v>
      </c>
      <c r="AA166">
        <v>17</v>
      </c>
      <c r="AB166">
        <v>165</v>
      </c>
    </row>
    <row r="167" spans="1:28">
      <c r="A167" s="156">
        <v>152</v>
      </c>
      <c r="B167" s="157" t="s">
        <v>6271</v>
      </c>
      <c r="C167" s="157" t="s">
        <v>6250</v>
      </c>
      <c r="D167" s="157">
        <v>7500</v>
      </c>
      <c r="E167" s="157">
        <v>7999</v>
      </c>
      <c r="F167" s="360">
        <v>34.78</v>
      </c>
      <c r="Q167">
        <v>140</v>
      </c>
      <c r="S167" s="139">
        <v>1702024</v>
      </c>
      <c r="T167" s="140" t="s">
        <v>333</v>
      </c>
      <c r="V167" s="141"/>
      <c r="Z167" t="s">
        <v>6225</v>
      </c>
      <c r="AA167">
        <v>18</v>
      </c>
      <c r="AB167">
        <v>166</v>
      </c>
    </row>
    <row r="168" spans="1:28">
      <c r="A168" s="156">
        <v>152</v>
      </c>
      <c r="B168" s="157" t="s">
        <v>6271</v>
      </c>
      <c r="C168" s="157" t="s">
        <v>6252</v>
      </c>
      <c r="D168" s="157">
        <v>8000</v>
      </c>
      <c r="E168" s="157">
        <v>8499</v>
      </c>
      <c r="F168" s="360">
        <v>36.93</v>
      </c>
      <c r="Q168">
        <v>141</v>
      </c>
      <c r="S168" s="139">
        <v>1702025</v>
      </c>
      <c r="T168" s="140" t="s">
        <v>333</v>
      </c>
      <c r="V168" s="141"/>
      <c r="Z168" t="s">
        <v>6225</v>
      </c>
      <c r="AA168">
        <v>19</v>
      </c>
      <c r="AB168">
        <v>167</v>
      </c>
    </row>
    <row r="169" spans="1:28">
      <c r="A169" s="156">
        <v>152</v>
      </c>
      <c r="B169" s="157" t="s">
        <v>6271</v>
      </c>
      <c r="C169" s="157" t="s">
        <v>6255</v>
      </c>
      <c r="D169" s="157">
        <v>8500</v>
      </c>
      <c r="E169" s="157">
        <v>8999</v>
      </c>
      <c r="F169" s="360">
        <v>39.090000000000003</v>
      </c>
      <c r="Q169">
        <v>142</v>
      </c>
      <c r="S169" s="139">
        <v>1702424</v>
      </c>
      <c r="T169" s="140" t="s">
        <v>333</v>
      </c>
      <c r="V169" s="141"/>
      <c r="Z169" t="s">
        <v>6225</v>
      </c>
      <c r="AA169">
        <v>20</v>
      </c>
      <c r="AB169">
        <v>168</v>
      </c>
    </row>
    <row r="170" spans="1:28">
      <c r="A170" s="156">
        <v>152</v>
      </c>
      <c r="B170" s="157" t="s">
        <v>6271</v>
      </c>
      <c r="C170" s="157" t="s">
        <v>6256</v>
      </c>
      <c r="D170" s="157">
        <v>9000</v>
      </c>
      <c r="E170" s="157">
        <v>9499</v>
      </c>
      <c r="F170" s="360">
        <v>41.25</v>
      </c>
      <c r="Q170">
        <v>143</v>
      </c>
      <c r="S170" s="142" t="s">
        <v>6281</v>
      </c>
      <c r="T170" s="140" t="s">
        <v>333</v>
      </c>
      <c r="V170" s="141"/>
      <c r="Z170" t="s">
        <v>6225</v>
      </c>
      <c r="AA170">
        <v>21</v>
      </c>
      <c r="AB170">
        <v>169</v>
      </c>
    </row>
    <row r="171" spans="1:28">
      <c r="A171" s="159">
        <v>152</v>
      </c>
      <c r="B171" s="160" t="s">
        <v>6271</v>
      </c>
      <c r="C171" s="160" t="s">
        <v>6257</v>
      </c>
      <c r="D171" s="160">
        <v>9500</v>
      </c>
      <c r="E171" s="160">
        <v>10000</v>
      </c>
      <c r="F171" s="360">
        <v>43.41</v>
      </c>
      <c r="Q171">
        <v>144</v>
      </c>
      <c r="S171" s="142" t="s">
        <v>6282</v>
      </c>
      <c r="T171" s="140" t="s">
        <v>333</v>
      </c>
      <c r="V171" s="141"/>
      <c r="Z171" t="s">
        <v>6225</v>
      </c>
      <c r="AA171">
        <v>22</v>
      </c>
      <c r="AB171">
        <v>170</v>
      </c>
    </row>
    <row r="172" spans="1:28">
      <c r="A172" s="156">
        <v>176</v>
      </c>
      <c r="B172" s="157" t="s">
        <v>6283</v>
      </c>
      <c r="C172" s="157" t="s">
        <v>6180</v>
      </c>
      <c r="D172" s="157">
        <v>16</v>
      </c>
      <c r="E172" s="157">
        <v>249</v>
      </c>
      <c r="F172" s="360">
        <v>2.12</v>
      </c>
      <c r="Q172">
        <v>145</v>
      </c>
      <c r="S172" s="142" t="s">
        <v>6284</v>
      </c>
      <c r="T172" s="140" t="s">
        <v>333</v>
      </c>
      <c r="V172" s="141"/>
      <c r="Z172" t="s">
        <v>6225</v>
      </c>
      <c r="AA172">
        <v>23</v>
      </c>
      <c r="AB172">
        <v>171</v>
      </c>
    </row>
    <row r="173" spans="1:28">
      <c r="A173" s="156">
        <v>176</v>
      </c>
      <c r="B173" s="157" t="s">
        <v>6283</v>
      </c>
      <c r="C173" s="157" t="s">
        <v>6185</v>
      </c>
      <c r="D173" s="157">
        <v>250</v>
      </c>
      <c r="E173" s="157">
        <v>299</v>
      </c>
      <c r="F173" s="360">
        <v>2.33</v>
      </c>
      <c r="Q173">
        <v>146</v>
      </c>
      <c r="S173" s="142">
        <v>1145100</v>
      </c>
      <c r="T173" s="140" t="s">
        <v>333</v>
      </c>
      <c r="V173" s="141"/>
      <c r="Z173" t="s">
        <v>6225</v>
      </c>
      <c r="AA173">
        <v>24</v>
      </c>
      <c r="AB173">
        <v>172</v>
      </c>
    </row>
    <row r="174" spans="1:28">
      <c r="A174" s="156">
        <v>176</v>
      </c>
      <c r="B174" s="157" t="s">
        <v>6283</v>
      </c>
      <c r="C174" s="157" t="s">
        <v>6187</v>
      </c>
      <c r="D174" s="157">
        <v>300</v>
      </c>
      <c r="E174" s="157">
        <v>349</v>
      </c>
      <c r="F174" s="360">
        <v>2.54</v>
      </c>
      <c r="Q174">
        <v>147</v>
      </c>
      <c r="S174" s="142" t="s">
        <v>6285</v>
      </c>
      <c r="T174" s="140" t="s">
        <v>333</v>
      </c>
      <c r="V174" s="141"/>
      <c r="Z174" t="s">
        <v>6225</v>
      </c>
      <c r="AA174">
        <v>25</v>
      </c>
      <c r="AB174">
        <v>173</v>
      </c>
    </row>
    <row r="175" spans="1:28">
      <c r="A175" s="156">
        <v>176</v>
      </c>
      <c r="B175" s="157" t="s">
        <v>6283</v>
      </c>
      <c r="C175" s="157" t="s">
        <v>6193</v>
      </c>
      <c r="D175" s="157">
        <v>350</v>
      </c>
      <c r="E175" s="157">
        <v>399</v>
      </c>
      <c r="F175" s="360">
        <v>2.74</v>
      </c>
      <c r="Q175">
        <v>148</v>
      </c>
      <c r="S175" s="142" t="s">
        <v>6286</v>
      </c>
      <c r="T175" s="140" t="s">
        <v>333</v>
      </c>
      <c r="V175" s="141"/>
      <c r="Z175" t="s">
        <v>6225</v>
      </c>
      <c r="AA175">
        <v>26</v>
      </c>
      <c r="AB175">
        <v>174</v>
      </c>
    </row>
    <row r="176" spans="1:28">
      <c r="A176" s="156">
        <v>176</v>
      </c>
      <c r="B176" s="157" t="s">
        <v>6283</v>
      </c>
      <c r="C176" s="157" t="s">
        <v>6196</v>
      </c>
      <c r="D176" s="157">
        <v>400</v>
      </c>
      <c r="E176" s="157">
        <v>449</v>
      </c>
      <c r="F176" s="360">
        <v>2.95</v>
      </c>
      <c r="Q176">
        <v>149</v>
      </c>
      <c r="S176" s="142" t="s">
        <v>6287</v>
      </c>
      <c r="T176" s="140" t="s">
        <v>333</v>
      </c>
      <c r="V176" s="141"/>
      <c r="Z176" t="s">
        <v>6225</v>
      </c>
      <c r="AA176">
        <v>27</v>
      </c>
      <c r="AB176">
        <v>175</v>
      </c>
    </row>
    <row r="177" spans="1:28">
      <c r="A177" s="156">
        <v>176</v>
      </c>
      <c r="B177" s="157" t="s">
        <v>6283</v>
      </c>
      <c r="C177" s="157" t="s">
        <v>6199</v>
      </c>
      <c r="D177" s="157">
        <v>450</v>
      </c>
      <c r="E177" s="157">
        <v>499</v>
      </c>
      <c r="F177" s="360">
        <v>3.16</v>
      </c>
      <c r="Q177">
        <v>150</v>
      </c>
      <c r="S177" s="142">
        <v>1146100</v>
      </c>
      <c r="T177" s="140" t="s">
        <v>333</v>
      </c>
      <c r="V177" s="141"/>
      <c r="Z177" t="s">
        <v>6225</v>
      </c>
      <c r="AA177">
        <v>28</v>
      </c>
      <c r="AB177">
        <v>176</v>
      </c>
    </row>
    <row r="178" spans="1:28">
      <c r="A178" s="156">
        <v>176</v>
      </c>
      <c r="B178" s="157" t="s">
        <v>6283</v>
      </c>
      <c r="C178" s="157" t="s">
        <v>6201</v>
      </c>
      <c r="D178" s="157">
        <v>500</v>
      </c>
      <c r="E178" s="157">
        <v>549</v>
      </c>
      <c r="F178" s="360">
        <v>3.37</v>
      </c>
      <c r="Q178">
        <v>151</v>
      </c>
      <c r="S178" s="142" t="s">
        <v>6288</v>
      </c>
      <c r="T178" s="140" t="s">
        <v>333</v>
      </c>
      <c r="V178" s="141"/>
      <c r="Z178" t="s">
        <v>6225</v>
      </c>
      <c r="AA178">
        <v>29</v>
      </c>
      <c r="AB178">
        <v>177</v>
      </c>
    </row>
    <row r="179" spans="1:28">
      <c r="A179" s="156">
        <v>176</v>
      </c>
      <c r="B179" s="157" t="s">
        <v>6283</v>
      </c>
      <c r="C179" s="157" t="s">
        <v>6203</v>
      </c>
      <c r="D179" s="157">
        <v>550</v>
      </c>
      <c r="E179" s="157">
        <v>599</v>
      </c>
      <c r="F179" s="360">
        <v>3.58</v>
      </c>
      <c r="Q179">
        <v>152</v>
      </c>
      <c r="S179" s="142" t="s">
        <v>6289</v>
      </c>
      <c r="T179" s="140" t="s">
        <v>333</v>
      </c>
      <c r="V179" s="141"/>
      <c r="Z179" t="s">
        <v>6225</v>
      </c>
      <c r="AA179">
        <v>30</v>
      </c>
      <c r="AB179">
        <v>178</v>
      </c>
    </row>
    <row r="180" spans="1:28">
      <c r="A180" s="156">
        <v>176</v>
      </c>
      <c r="B180" s="157" t="s">
        <v>6283</v>
      </c>
      <c r="C180" s="157" t="s">
        <v>6205</v>
      </c>
      <c r="D180" s="157">
        <v>600</v>
      </c>
      <c r="E180" s="157">
        <v>649</v>
      </c>
      <c r="F180" s="360">
        <v>3.78</v>
      </c>
      <c r="Q180">
        <v>153</v>
      </c>
      <c r="S180" s="142" t="s">
        <v>6290</v>
      </c>
      <c r="T180" s="140" t="s">
        <v>333</v>
      </c>
      <c r="V180" s="141"/>
      <c r="Z180" t="s">
        <v>6225</v>
      </c>
      <c r="AA180">
        <v>31</v>
      </c>
      <c r="AB180">
        <v>179</v>
      </c>
    </row>
    <row r="181" spans="1:28">
      <c r="A181" s="156">
        <v>176</v>
      </c>
      <c r="B181" s="157" t="s">
        <v>6283</v>
      </c>
      <c r="C181" s="157" t="s">
        <v>6207</v>
      </c>
      <c r="D181" s="157">
        <v>650</v>
      </c>
      <c r="E181" s="157">
        <v>699</v>
      </c>
      <c r="F181" s="360">
        <v>3.99</v>
      </c>
      <c r="Q181">
        <v>154</v>
      </c>
      <c r="S181" s="142">
        <v>1147100</v>
      </c>
      <c r="T181" s="140" t="s">
        <v>333</v>
      </c>
      <c r="V181" s="141"/>
      <c r="Z181" t="s">
        <v>6225</v>
      </c>
      <c r="AA181">
        <v>32</v>
      </c>
      <c r="AB181">
        <v>180</v>
      </c>
    </row>
    <row r="182" spans="1:28">
      <c r="A182" s="156">
        <v>176</v>
      </c>
      <c r="B182" s="157" t="s">
        <v>6283</v>
      </c>
      <c r="C182" s="157" t="s">
        <v>6211</v>
      </c>
      <c r="D182" s="157">
        <v>700</v>
      </c>
      <c r="E182" s="157">
        <v>749</v>
      </c>
      <c r="F182" s="360">
        <v>4.2</v>
      </c>
      <c r="Q182">
        <v>155</v>
      </c>
      <c r="S182" s="142" t="s">
        <v>6291</v>
      </c>
      <c r="T182" s="140" t="s">
        <v>333</v>
      </c>
      <c r="V182" s="141"/>
      <c r="Z182" t="s">
        <v>6225</v>
      </c>
      <c r="AA182">
        <v>33</v>
      </c>
      <c r="AB182">
        <v>181</v>
      </c>
    </row>
    <row r="183" spans="1:28">
      <c r="A183" s="156">
        <v>176</v>
      </c>
      <c r="B183" s="157" t="s">
        <v>6283</v>
      </c>
      <c r="C183" s="157" t="s">
        <v>6212</v>
      </c>
      <c r="D183" s="157">
        <v>750</v>
      </c>
      <c r="E183" s="157">
        <v>799</v>
      </c>
      <c r="F183" s="360">
        <v>4.41</v>
      </c>
      <c r="Q183">
        <v>156</v>
      </c>
      <c r="S183" s="142" t="s">
        <v>6292</v>
      </c>
      <c r="T183" s="140" t="s">
        <v>333</v>
      </c>
      <c r="V183" s="141"/>
      <c r="Z183" t="s">
        <v>6225</v>
      </c>
      <c r="AA183">
        <v>34</v>
      </c>
      <c r="AB183">
        <v>182</v>
      </c>
    </row>
    <row r="184" spans="1:28">
      <c r="A184" s="156">
        <v>176</v>
      </c>
      <c r="B184" s="157" t="s">
        <v>6283</v>
      </c>
      <c r="C184" s="157" t="s">
        <v>6213</v>
      </c>
      <c r="D184" s="157">
        <v>800</v>
      </c>
      <c r="E184" s="157">
        <v>849</v>
      </c>
      <c r="F184" s="360">
        <v>4.62</v>
      </c>
      <c r="Q184">
        <v>157</v>
      </c>
      <c r="S184" s="142" t="s">
        <v>6293</v>
      </c>
      <c r="T184" s="140" t="s">
        <v>333</v>
      </c>
      <c r="V184" s="141"/>
      <c r="Z184" t="s">
        <v>6225</v>
      </c>
      <c r="AA184">
        <v>35</v>
      </c>
      <c r="AB184">
        <v>183</v>
      </c>
    </row>
    <row r="185" spans="1:28">
      <c r="A185" s="156">
        <v>176</v>
      </c>
      <c r="B185" s="157" t="s">
        <v>6283</v>
      </c>
      <c r="C185" s="157" t="s">
        <v>6216</v>
      </c>
      <c r="D185" s="157">
        <v>850</v>
      </c>
      <c r="E185" s="157">
        <v>899</v>
      </c>
      <c r="F185" s="360">
        <v>4.82</v>
      </c>
      <c r="Q185">
        <v>158</v>
      </c>
      <c r="S185" s="142">
        <v>1148100</v>
      </c>
      <c r="T185" s="140" t="s">
        <v>333</v>
      </c>
      <c r="V185" s="141"/>
      <c r="Z185" t="s">
        <v>6225</v>
      </c>
      <c r="AA185">
        <v>36</v>
      </c>
      <c r="AB185">
        <v>184</v>
      </c>
    </row>
    <row r="186" spans="1:28">
      <c r="A186" s="156">
        <v>176</v>
      </c>
      <c r="B186" s="157" t="s">
        <v>6283</v>
      </c>
      <c r="C186" s="157" t="s">
        <v>6221</v>
      </c>
      <c r="D186" s="157">
        <v>900</v>
      </c>
      <c r="E186" s="157">
        <v>949</v>
      </c>
      <c r="F186" s="360">
        <v>5.03</v>
      </c>
      <c r="Q186">
        <v>159</v>
      </c>
      <c r="S186" s="142" t="s">
        <v>6294</v>
      </c>
      <c r="T186" s="140" t="s">
        <v>333</v>
      </c>
      <c r="V186" s="141"/>
      <c r="Z186" t="s">
        <v>6225</v>
      </c>
      <c r="AA186">
        <v>37</v>
      </c>
      <c r="AB186">
        <v>185</v>
      </c>
    </row>
    <row r="187" spans="1:28">
      <c r="A187" s="156">
        <v>176</v>
      </c>
      <c r="B187" s="157" t="s">
        <v>6283</v>
      </c>
      <c r="C187" s="157" t="s">
        <v>6222</v>
      </c>
      <c r="D187" s="157">
        <v>950</v>
      </c>
      <c r="E187" s="157">
        <v>999</v>
      </c>
      <c r="F187" s="360">
        <v>5.24</v>
      </c>
      <c r="Q187">
        <v>160</v>
      </c>
      <c r="S187" s="142" t="s">
        <v>6295</v>
      </c>
      <c r="T187" s="140" t="s">
        <v>333</v>
      </c>
      <c r="V187" s="141"/>
      <c r="Z187" t="s">
        <v>6225</v>
      </c>
      <c r="AA187">
        <v>38</v>
      </c>
      <c r="AB187">
        <v>186</v>
      </c>
    </row>
    <row r="188" spans="1:28">
      <c r="A188" s="156">
        <v>176</v>
      </c>
      <c r="B188" s="157" t="s">
        <v>6283</v>
      </c>
      <c r="C188" s="157" t="s">
        <v>6224</v>
      </c>
      <c r="D188" s="157">
        <v>1000</v>
      </c>
      <c r="E188" s="157">
        <v>1499</v>
      </c>
      <c r="F188" s="360">
        <v>8.26</v>
      </c>
      <c r="Q188">
        <v>161</v>
      </c>
      <c r="S188" s="142" t="s">
        <v>6296</v>
      </c>
      <c r="T188" s="140" t="s">
        <v>333</v>
      </c>
      <c r="V188" s="141"/>
      <c r="Z188" t="s">
        <v>6225</v>
      </c>
      <c r="AA188">
        <v>39</v>
      </c>
      <c r="AB188">
        <v>187</v>
      </c>
    </row>
    <row r="189" spans="1:28">
      <c r="A189" s="156">
        <v>176</v>
      </c>
      <c r="B189" s="157" t="s">
        <v>6283</v>
      </c>
      <c r="C189" s="157" t="s">
        <v>6227</v>
      </c>
      <c r="D189" s="157">
        <v>1500</v>
      </c>
      <c r="E189" s="157">
        <v>1999</v>
      </c>
      <c r="F189" s="360">
        <v>11.27</v>
      </c>
      <c r="Q189">
        <v>162</v>
      </c>
      <c r="S189" s="142">
        <v>1149100</v>
      </c>
      <c r="T189" s="140" t="s">
        <v>333</v>
      </c>
      <c r="V189" s="141"/>
      <c r="Z189" t="s">
        <v>6225</v>
      </c>
      <c r="AA189">
        <v>40</v>
      </c>
      <c r="AB189">
        <v>188</v>
      </c>
    </row>
    <row r="190" spans="1:28">
      <c r="A190" s="156">
        <v>176</v>
      </c>
      <c r="B190" s="157" t="s">
        <v>6283</v>
      </c>
      <c r="C190" s="157" t="s">
        <v>6229</v>
      </c>
      <c r="D190" s="157">
        <v>2000</v>
      </c>
      <c r="E190" s="157">
        <v>2499</v>
      </c>
      <c r="F190" s="360">
        <v>14.29</v>
      </c>
      <c r="Q190">
        <v>163</v>
      </c>
      <c r="S190" s="142" t="s">
        <v>6297</v>
      </c>
      <c r="T190" s="140" t="s">
        <v>333</v>
      </c>
      <c r="V190" s="141"/>
      <c r="Z190" t="s">
        <v>6225</v>
      </c>
      <c r="AA190">
        <v>41</v>
      </c>
      <c r="AB190">
        <v>189</v>
      </c>
    </row>
    <row r="191" spans="1:28">
      <c r="A191" s="156">
        <v>176</v>
      </c>
      <c r="B191" s="157" t="s">
        <v>6283</v>
      </c>
      <c r="C191" s="157" t="s">
        <v>6231</v>
      </c>
      <c r="D191" s="157">
        <v>2500</v>
      </c>
      <c r="E191" s="157">
        <v>2999</v>
      </c>
      <c r="F191" s="360">
        <v>17.3</v>
      </c>
      <c r="Q191">
        <v>164</v>
      </c>
      <c r="S191" s="142" t="s">
        <v>6298</v>
      </c>
      <c r="T191" s="140" t="s">
        <v>333</v>
      </c>
      <c r="V191" s="141"/>
      <c r="Z191" t="s">
        <v>6225</v>
      </c>
      <c r="AA191">
        <v>42</v>
      </c>
      <c r="AB191">
        <v>190</v>
      </c>
    </row>
    <row r="192" spans="1:28">
      <c r="A192" s="156">
        <v>176</v>
      </c>
      <c r="B192" s="157" t="s">
        <v>6283</v>
      </c>
      <c r="C192" s="157" t="s">
        <v>6234</v>
      </c>
      <c r="D192" s="157">
        <v>3000</v>
      </c>
      <c r="E192" s="157">
        <v>3499</v>
      </c>
      <c r="F192" s="360">
        <v>20.32</v>
      </c>
      <c r="Q192">
        <v>165</v>
      </c>
      <c r="S192" s="142" t="s">
        <v>6299</v>
      </c>
      <c r="T192" s="140" t="s">
        <v>333</v>
      </c>
      <c r="V192" s="141"/>
      <c r="Z192" t="s">
        <v>6225</v>
      </c>
      <c r="AA192">
        <v>43</v>
      </c>
      <c r="AB192">
        <v>191</v>
      </c>
    </row>
    <row r="193" spans="1:28">
      <c r="A193" s="156">
        <v>176</v>
      </c>
      <c r="B193" s="157" t="s">
        <v>6283</v>
      </c>
      <c r="C193" s="157" t="s">
        <v>6236</v>
      </c>
      <c r="D193" s="157">
        <v>3500</v>
      </c>
      <c r="E193" s="157">
        <v>3999</v>
      </c>
      <c r="F193" s="360">
        <v>23.34</v>
      </c>
      <c r="Q193">
        <v>166</v>
      </c>
      <c r="S193" s="142">
        <v>11410100</v>
      </c>
      <c r="T193" s="140" t="s">
        <v>333</v>
      </c>
      <c r="V193" s="141"/>
      <c r="Z193" t="s">
        <v>6225</v>
      </c>
      <c r="AA193">
        <v>44</v>
      </c>
      <c r="AB193">
        <v>192</v>
      </c>
    </row>
    <row r="194" spans="1:28">
      <c r="A194" s="156">
        <v>176</v>
      </c>
      <c r="B194" s="157" t="s">
        <v>6283</v>
      </c>
      <c r="C194" s="157" t="s">
        <v>6238</v>
      </c>
      <c r="D194" s="157">
        <v>4000</v>
      </c>
      <c r="E194" s="157">
        <v>4499</v>
      </c>
      <c r="F194" s="360">
        <v>26.35</v>
      </c>
      <c r="Q194">
        <v>167</v>
      </c>
      <c r="S194" s="142" t="s">
        <v>6300</v>
      </c>
      <c r="T194" s="140" t="s">
        <v>333</v>
      </c>
      <c r="V194" s="141"/>
      <c r="Z194" t="s">
        <v>6225</v>
      </c>
      <c r="AA194">
        <v>45</v>
      </c>
      <c r="AB194">
        <v>193</v>
      </c>
    </row>
    <row r="195" spans="1:28">
      <c r="A195" s="156">
        <v>176</v>
      </c>
      <c r="B195" s="157" t="s">
        <v>6283</v>
      </c>
      <c r="C195" s="157" t="s">
        <v>6240</v>
      </c>
      <c r="D195" s="157">
        <v>4500</v>
      </c>
      <c r="E195" s="157">
        <v>4999</v>
      </c>
      <c r="F195" s="360">
        <v>29.37</v>
      </c>
      <c r="Q195">
        <v>168</v>
      </c>
      <c r="S195" s="142" t="s">
        <v>6301</v>
      </c>
      <c r="T195" s="140" t="s">
        <v>333</v>
      </c>
      <c r="V195" s="141"/>
      <c r="Z195" t="s">
        <v>6225</v>
      </c>
      <c r="AA195">
        <v>46</v>
      </c>
      <c r="AB195">
        <v>194</v>
      </c>
    </row>
    <row r="196" spans="1:28">
      <c r="A196" s="156">
        <v>176</v>
      </c>
      <c r="B196" s="157" t="s">
        <v>6283</v>
      </c>
      <c r="C196" s="157" t="s">
        <v>6241</v>
      </c>
      <c r="D196" s="157">
        <v>5000</v>
      </c>
      <c r="E196" s="157">
        <v>5499</v>
      </c>
      <c r="F196" s="360">
        <v>32.380000000000003</v>
      </c>
      <c r="Q196">
        <v>169</v>
      </c>
      <c r="S196" s="142" t="s">
        <v>6302</v>
      </c>
      <c r="T196" s="140" t="s">
        <v>333</v>
      </c>
      <c r="V196" s="141"/>
      <c r="Z196" t="s">
        <v>6225</v>
      </c>
      <c r="AA196">
        <v>47</v>
      </c>
      <c r="AB196">
        <v>195</v>
      </c>
    </row>
    <row r="197" spans="1:28">
      <c r="A197" s="156">
        <v>176</v>
      </c>
      <c r="B197" s="157" t="s">
        <v>6283</v>
      </c>
      <c r="C197" s="157" t="s">
        <v>6242</v>
      </c>
      <c r="D197" s="157">
        <v>5500</v>
      </c>
      <c r="E197" s="157">
        <v>5999</v>
      </c>
      <c r="F197" s="360">
        <v>35.4</v>
      </c>
      <c r="Q197">
        <v>170</v>
      </c>
      <c r="S197" s="142">
        <v>11411100</v>
      </c>
      <c r="T197" s="140" t="s">
        <v>333</v>
      </c>
      <c r="V197" s="141"/>
      <c r="Z197" t="s">
        <v>6225</v>
      </c>
      <c r="AA197">
        <v>48</v>
      </c>
      <c r="AB197">
        <v>196</v>
      </c>
    </row>
    <row r="198" spans="1:28">
      <c r="A198" s="156">
        <v>176</v>
      </c>
      <c r="B198" s="157" t="s">
        <v>6283</v>
      </c>
      <c r="C198" s="157" t="s">
        <v>6246</v>
      </c>
      <c r="D198" s="157">
        <v>6000</v>
      </c>
      <c r="E198" s="157">
        <v>6499</v>
      </c>
      <c r="F198" s="360">
        <v>38.42</v>
      </c>
      <c r="Q198">
        <v>171</v>
      </c>
      <c r="S198" s="142" t="s">
        <v>6303</v>
      </c>
      <c r="T198" s="140" t="s">
        <v>333</v>
      </c>
      <c r="V198" s="141"/>
      <c r="Z198" t="s">
        <v>6225</v>
      </c>
      <c r="AA198">
        <v>49</v>
      </c>
      <c r="AB198">
        <v>197</v>
      </c>
    </row>
    <row r="199" spans="1:28">
      <c r="A199" s="156">
        <v>176</v>
      </c>
      <c r="B199" s="157" t="s">
        <v>6283</v>
      </c>
      <c r="C199" s="157" t="s">
        <v>6247</v>
      </c>
      <c r="D199" s="157">
        <v>6500</v>
      </c>
      <c r="E199" s="157">
        <v>6999</v>
      </c>
      <c r="F199" s="360">
        <v>41.43</v>
      </c>
      <c r="Q199">
        <v>172</v>
      </c>
      <c r="S199" s="142" t="s">
        <v>6304</v>
      </c>
      <c r="T199" s="140" t="s">
        <v>333</v>
      </c>
      <c r="V199" s="141"/>
      <c r="Z199" t="s">
        <v>6225</v>
      </c>
      <c r="AA199">
        <v>50</v>
      </c>
      <c r="AB199">
        <v>198</v>
      </c>
    </row>
    <row r="200" spans="1:28">
      <c r="A200" s="156">
        <v>176</v>
      </c>
      <c r="B200" s="157" t="s">
        <v>6283</v>
      </c>
      <c r="C200" s="157" t="s">
        <v>6248</v>
      </c>
      <c r="D200" s="157">
        <v>7000</v>
      </c>
      <c r="E200" s="157">
        <v>7499</v>
      </c>
      <c r="F200" s="360">
        <v>44.45</v>
      </c>
      <c r="Q200">
        <v>173</v>
      </c>
      <c r="S200" s="142" t="s">
        <v>6305</v>
      </c>
      <c r="T200" s="140" t="s">
        <v>333</v>
      </c>
      <c r="V200" s="141"/>
      <c r="Z200" t="s">
        <v>6225</v>
      </c>
      <c r="AA200">
        <v>51</v>
      </c>
      <c r="AB200">
        <v>199</v>
      </c>
    </row>
    <row r="201" spans="1:28">
      <c r="A201" s="156">
        <v>176</v>
      </c>
      <c r="B201" s="157" t="s">
        <v>6283</v>
      </c>
      <c r="C201" s="157" t="s">
        <v>6250</v>
      </c>
      <c r="D201" s="157">
        <v>7500</v>
      </c>
      <c r="E201" s="157">
        <v>7999</v>
      </c>
      <c r="F201" s="360">
        <v>47.46</v>
      </c>
      <c r="Q201">
        <v>174</v>
      </c>
      <c r="S201" s="142">
        <v>11412100</v>
      </c>
      <c r="T201" s="140" t="s">
        <v>333</v>
      </c>
      <c r="V201" s="141"/>
      <c r="Z201" t="s">
        <v>6225</v>
      </c>
      <c r="AA201">
        <v>52</v>
      </c>
      <c r="AB201">
        <v>200</v>
      </c>
    </row>
    <row r="202" spans="1:28">
      <c r="A202" s="156">
        <v>176</v>
      </c>
      <c r="B202" s="157" t="s">
        <v>6283</v>
      </c>
      <c r="C202" s="157" t="s">
        <v>6252</v>
      </c>
      <c r="D202" s="157">
        <v>8000</v>
      </c>
      <c r="E202" s="157">
        <v>8499</v>
      </c>
      <c r="F202" s="360">
        <v>50.48</v>
      </c>
      <c r="Q202">
        <v>175</v>
      </c>
      <c r="S202" s="142" t="s">
        <v>6306</v>
      </c>
      <c r="T202" s="140" t="s">
        <v>333</v>
      </c>
      <c r="V202" s="141"/>
      <c r="Z202" t="s">
        <v>6225</v>
      </c>
      <c r="AA202">
        <v>53</v>
      </c>
      <c r="AB202">
        <v>201</v>
      </c>
    </row>
    <row r="203" spans="1:28">
      <c r="A203" s="156">
        <v>176</v>
      </c>
      <c r="B203" s="157" t="s">
        <v>6283</v>
      </c>
      <c r="C203" s="157" t="s">
        <v>6255</v>
      </c>
      <c r="D203" s="157">
        <v>8500</v>
      </c>
      <c r="E203" s="157">
        <v>8999</v>
      </c>
      <c r="F203" s="360">
        <v>53.5</v>
      </c>
      <c r="Q203">
        <v>176</v>
      </c>
      <c r="S203" s="142" t="s">
        <v>6307</v>
      </c>
      <c r="T203" s="140" t="s">
        <v>333</v>
      </c>
      <c r="V203" s="141"/>
      <c r="Z203" t="s">
        <v>6225</v>
      </c>
      <c r="AA203">
        <v>54</v>
      </c>
      <c r="AB203">
        <v>202</v>
      </c>
    </row>
    <row r="204" spans="1:28">
      <c r="A204" s="156">
        <v>176</v>
      </c>
      <c r="B204" s="157" t="s">
        <v>6283</v>
      </c>
      <c r="C204" s="157" t="s">
        <v>6256</v>
      </c>
      <c r="D204" s="157">
        <v>9000</v>
      </c>
      <c r="E204" s="157">
        <v>9499</v>
      </c>
      <c r="F204" s="360">
        <v>56.51</v>
      </c>
      <c r="Q204">
        <v>177</v>
      </c>
      <c r="S204" s="142" t="s">
        <v>6308</v>
      </c>
      <c r="T204" s="140" t="s">
        <v>333</v>
      </c>
      <c r="V204" s="141"/>
      <c r="Z204" t="s">
        <v>6225</v>
      </c>
      <c r="AA204">
        <v>55</v>
      </c>
      <c r="AB204">
        <v>203</v>
      </c>
    </row>
    <row r="205" spans="1:28">
      <c r="A205" s="159">
        <v>176</v>
      </c>
      <c r="B205" s="160" t="s">
        <v>6283</v>
      </c>
      <c r="C205" s="160" t="s">
        <v>6257</v>
      </c>
      <c r="D205" s="160">
        <v>9500</v>
      </c>
      <c r="E205" s="160">
        <v>10000</v>
      </c>
      <c r="F205" s="360">
        <v>59.53</v>
      </c>
      <c r="Q205">
        <v>178</v>
      </c>
      <c r="S205" s="142">
        <v>11413100</v>
      </c>
      <c r="T205" s="140" t="s">
        <v>333</v>
      </c>
      <c r="V205" s="141"/>
      <c r="Z205" t="s">
        <v>6225</v>
      </c>
      <c r="AA205">
        <v>56</v>
      </c>
      <c r="AB205">
        <v>204</v>
      </c>
    </row>
    <row r="206" spans="1:28">
      <c r="A206" s="156">
        <v>170</v>
      </c>
      <c r="B206" s="157" t="s">
        <v>6309</v>
      </c>
      <c r="C206" s="157" t="s">
        <v>6180</v>
      </c>
      <c r="D206" s="157">
        <v>16</v>
      </c>
      <c r="E206" s="157">
        <v>249</v>
      </c>
      <c r="F206" s="360">
        <v>2.25</v>
      </c>
      <c r="Q206">
        <v>179</v>
      </c>
      <c r="S206" s="142" t="s">
        <v>6310</v>
      </c>
      <c r="T206" s="140" t="s">
        <v>333</v>
      </c>
      <c r="V206" s="141"/>
      <c r="Z206" t="s">
        <v>6225</v>
      </c>
      <c r="AA206">
        <v>57</v>
      </c>
      <c r="AB206">
        <v>205</v>
      </c>
    </row>
    <row r="207" spans="1:28">
      <c r="A207" s="156">
        <v>170</v>
      </c>
      <c r="B207" s="157" t="s">
        <v>6309</v>
      </c>
      <c r="C207" s="157" t="s">
        <v>6185</v>
      </c>
      <c r="D207" s="157">
        <v>250</v>
      </c>
      <c r="E207" s="157">
        <v>299</v>
      </c>
      <c r="F207" s="360">
        <v>2.4700000000000002</v>
      </c>
      <c r="Q207">
        <v>180</v>
      </c>
      <c r="S207" s="142" t="s">
        <v>6311</v>
      </c>
      <c r="T207" s="140" t="s">
        <v>333</v>
      </c>
      <c r="V207" s="141"/>
      <c r="Z207" t="s">
        <v>6225</v>
      </c>
      <c r="AA207">
        <v>58</v>
      </c>
      <c r="AB207">
        <v>206</v>
      </c>
    </row>
    <row r="208" spans="1:28">
      <c r="A208" s="156">
        <v>170</v>
      </c>
      <c r="B208" s="157" t="s">
        <v>6309</v>
      </c>
      <c r="C208" s="157" t="s">
        <v>6187</v>
      </c>
      <c r="D208" s="157">
        <v>300</v>
      </c>
      <c r="E208" s="157">
        <v>349</v>
      </c>
      <c r="F208" s="360">
        <v>2.69</v>
      </c>
      <c r="Q208">
        <v>181</v>
      </c>
      <c r="S208" s="142" t="s">
        <v>6312</v>
      </c>
      <c r="T208" s="140" t="s">
        <v>333</v>
      </c>
      <c r="V208" s="141"/>
      <c r="Z208" t="s">
        <v>6225</v>
      </c>
      <c r="AA208">
        <v>59</v>
      </c>
      <c r="AB208">
        <v>207</v>
      </c>
    </row>
    <row r="209" spans="1:28">
      <c r="A209" s="156">
        <v>170</v>
      </c>
      <c r="B209" s="157" t="s">
        <v>6309</v>
      </c>
      <c r="C209" s="157" t="s">
        <v>6193</v>
      </c>
      <c r="D209" s="157">
        <v>350</v>
      </c>
      <c r="E209" s="157">
        <v>399</v>
      </c>
      <c r="F209" s="360">
        <v>2.91</v>
      </c>
      <c r="Q209">
        <v>182</v>
      </c>
      <c r="S209" s="139">
        <v>11414100</v>
      </c>
      <c r="T209" s="140" t="s">
        <v>333</v>
      </c>
      <c r="V209" s="141"/>
      <c r="Z209" t="s">
        <v>6225</v>
      </c>
      <c r="AA209">
        <v>60</v>
      </c>
      <c r="AB209">
        <v>208</v>
      </c>
    </row>
    <row r="210" spans="1:28">
      <c r="A210" s="156">
        <v>170</v>
      </c>
      <c r="B210" s="157" t="s">
        <v>6309</v>
      </c>
      <c r="C210" s="157" t="s">
        <v>6196</v>
      </c>
      <c r="D210" s="157">
        <v>400</v>
      </c>
      <c r="E210" s="157">
        <v>449</v>
      </c>
      <c r="F210" s="360">
        <v>3.13</v>
      </c>
      <c r="Q210">
        <v>183</v>
      </c>
      <c r="S210" s="142" t="s">
        <v>6313</v>
      </c>
      <c r="T210" s="140" t="s">
        <v>333</v>
      </c>
      <c r="V210" s="141"/>
      <c r="Z210" t="s">
        <v>6225</v>
      </c>
      <c r="AA210">
        <v>61</v>
      </c>
      <c r="AB210">
        <v>209</v>
      </c>
    </row>
    <row r="211" spans="1:28">
      <c r="A211" s="156">
        <v>170</v>
      </c>
      <c r="B211" s="157" t="s">
        <v>6309</v>
      </c>
      <c r="C211" s="157" t="s">
        <v>6199</v>
      </c>
      <c r="D211" s="157">
        <v>450</v>
      </c>
      <c r="E211" s="157">
        <v>499</v>
      </c>
      <c r="F211" s="360">
        <v>3.35</v>
      </c>
      <c r="Q211">
        <v>184</v>
      </c>
      <c r="S211" s="142" t="s">
        <v>6314</v>
      </c>
      <c r="T211" s="140" t="s">
        <v>333</v>
      </c>
      <c r="V211" s="141"/>
      <c r="Z211" t="s">
        <v>6225</v>
      </c>
      <c r="AA211">
        <v>62</v>
      </c>
      <c r="AB211">
        <v>210</v>
      </c>
    </row>
    <row r="212" spans="1:28">
      <c r="A212" s="156">
        <v>170</v>
      </c>
      <c r="B212" s="157" t="s">
        <v>6309</v>
      </c>
      <c r="C212" s="157" t="s">
        <v>6201</v>
      </c>
      <c r="D212" s="157">
        <v>500</v>
      </c>
      <c r="E212" s="157">
        <v>549</v>
      </c>
      <c r="F212" s="360">
        <v>3.58</v>
      </c>
      <c r="Q212">
        <v>185</v>
      </c>
      <c r="S212" s="142" t="s">
        <v>6315</v>
      </c>
      <c r="T212" s="140" t="s">
        <v>333</v>
      </c>
      <c r="V212" s="141"/>
      <c r="Z212" t="s">
        <v>6225</v>
      </c>
      <c r="AA212">
        <v>63</v>
      </c>
      <c r="AB212">
        <v>211</v>
      </c>
    </row>
    <row r="213" spans="1:28">
      <c r="A213" s="156">
        <v>170</v>
      </c>
      <c r="B213" s="157" t="s">
        <v>6309</v>
      </c>
      <c r="C213" s="157" t="s">
        <v>6203</v>
      </c>
      <c r="D213" s="157">
        <v>550</v>
      </c>
      <c r="E213" s="157">
        <v>599</v>
      </c>
      <c r="F213" s="360">
        <v>3.8</v>
      </c>
      <c r="Q213">
        <v>186</v>
      </c>
      <c r="S213" s="142">
        <v>11415100</v>
      </c>
      <c r="T213" s="140" t="s">
        <v>333</v>
      </c>
      <c r="V213" s="141"/>
      <c r="Z213" t="s">
        <v>6225</v>
      </c>
      <c r="AA213">
        <v>64</v>
      </c>
      <c r="AB213">
        <v>212</v>
      </c>
    </row>
    <row r="214" spans="1:28">
      <c r="A214" s="156">
        <v>170</v>
      </c>
      <c r="B214" s="157" t="s">
        <v>6309</v>
      </c>
      <c r="C214" s="157" t="s">
        <v>6205</v>
      </c>
      <c r="D214" s="157">
        <v>600</v>
      </c>
      <c r="E214" s="157">
        <v>649</v>
      </c>
      <c r="F214" s="360">
        <v>4.0199999999999996</v>
      </c>
      <c r="Q214">
        <v>187</v>
      </c>
      <c r="S214" s="142" t="s">
        <v>6316</v>
      </c>
      <c r="T214" s="140" t="s">
        <v>333</v>
      </c>
      <c r="V214" s="141"/>
      <c r="Z214" t="s">
        <v>6225</v>
      </c>
      <c r="AA214">
        <v>65</v>
      </c>
      <c r="AB214">
        <v>213</v>
      </c>
    </row>
    <row r="215" spans="1:28">
      <c r="A215" s="156">
        <v>170</v>
      </c>
      <c r="B215" s="157" t="s">
        <v>6309</v>
      </c>
      <c r="C215" s="157" t="s">
        <v>6207</v>
      </c>
      <c r="D215" s="157">
        <v>650</v>
      </c>
      <c r="E215" s="157">
        <v>699</v>
      </c>
      <c r="F215" s="360">
        <v>4.24</v>
      </c>
      <c r="Q215">
        <v>188</v>
      </c>
      <c r="S215" s="142" t="s">
        <v>6317</v>
      </c>
      <c r="T215" s="140" t="s">
        <v>333</v>
      </c>
      <c r="V215" s="141"/>
      <c r="Z215" t="s">
        <v>6225</v>
      </c>
      <c r="AA215">
        <v>66</v>
      </c>
      <c r="AB215">
        <v>214</v>
      </c>
    </row>
    <row r="216" spans="1:28">
      <c r="A216" s="156">
        <v>170</v>
      </c>
      <c r="B216" s="157" t="s">
        <v>6309</v>
      </c>
      <c r="C216" s="157" t="s">
        <v>6211</v>
      </c>
      <c r="D216" s="157">
        <v>700</v>
      </c>
      <c r="E216" s="157">
        <v>749</v>
      </c>
      <c r="F216" s="360">
        <v>4.46</v>
      </c>
      <c r="Q216">
        <v>189</v>
      </c>
      <c r="S216" s="142" t="s">
        <v>6318</v>
      </c>
      <c r="T216" s="140" t="s">
        <v>333</v>
      </c>
      <c r="V216" s="141"/>
      <c r="Z216" t="s">
        <v>6225</v>
      </c>
      <c r="AA216">
        <v>67</v>
      </c>
      <c r="AB216">
        <v>215</v>
      </c>
    </row>
    <row r="217" spans="1:28">
      <c r="A217" s="156">
        <v>170</v>
      </c>
      <c r="B217" s="157" t="s">
        <v>6309</v>
      </c>
      <c r="C217" s="157" t="s">
        <v>6212</v>
      </c>
      <c r="D217" s="157">
        <v>750</v>
      </c>
      <c r="E217" s="157">
        <v>799</v>
      </c>
      <c r="F217" s="360">
        <v>4.68</v>
      </c>
      <c r="Q217">
        <v>190</v>
      </c>
      <c r="S217" s="142">
        <v>11416100</v>
      </c>
      <c r="T217" s="140" t="s">
        <v>333</v>
      </c>
      <c r="V217" s="141"/>
      <c r="Z217" t="s">
        <v>6225</v>
      </c>
      <c r="AA217">
        <v>68</v>
      </c>
      <c r="AB217">
        <v>216</v>
      </c>
    </row>
    <row r="218" spans="1:28">
      <c r="A218" s="156">
        <v>170</v>
      </c>
      <c r="B218" s="157" t="s">
        <v>6309</v>
      </c>
      <c r="C218" s="157" t="s">
        <v>6213</v>
      </c>
      <c r="D218" s="157">
        <v>800</v>
      </c>
      <c r="E218" s="157">
        <v>849</v>
      </c>
      <c r="F218" s="360">
        <v>4.9000000000000004</v>
      </c>
      <c r="Q218">
        <v>191</v>
      </c>
      <c r="S218" s="142" t="s">
        <v>6319</v>
      </c>
      <c r="T218" s="140" t="s">
        <v>333</v>
      </c>
      <c r="V218" s="141"/>
      <c r="Z218" t="s">
        <v>6225</v>
      </c>
      <c r="AA218">
        <v>69</v>
      </c>
      <c r="AB218">
        <v>217</v>
      </c>
    </row>
    <row r="219" spans="1:28">
      <c r="A219" s="156">
        <v>170</v>
      </c>
      <c r="B219" s="157" t="s">
        <v>6309</v>
      </c>
      <c r="C219" s="157" t="s">
        <v>6216</v>
      </c>
      <c r="D219" s="157">
        <v>850</v>
      </c>
      <c r="E219" s="157">
        <v>899</v>
      </c>
      <c r="F219" s="360">
        <v>5.12</v>
      </c>
      <c r="Q219">
        <v>192</v>
      </c>
      <c r="S219" s="142" t="s">
        <v>6320</v>
      </c>
      <c r="T219" s="140" t="s">
        <v>333</v>
      </c>
      <c r="V219" s="141"/>
      <c r="Z219" t="s">
        <v>6225</v>
      </c>
      <c r="AA219">
        <v>70</v>
      </c>
      <c r="AB219">
        <v>218</v>
      </c>
    </row>
    <row r="220" spans="1:28">
      <c r="A220" s="156">
        <v>170</v>
      </c>
      <c r="B220" s="157" t="s">
        <v>6309</v>
      </c>
      <c r="C220" s="157" t="s">
        <v>6221</v>
      </c>
      <c r="D220" s="157">
        <v>900</v>
      </c>
      <c r="E220" s="157">
        <v>949</v>
      </c>
      <c r="F220" s="360">
        <v>5.34</v>
      </c>
      <c r="Q220">
        <v>193</v>
      </c>
      <c r="S220" s="142" t="s">
        <v>6321</v>
      </c>
      <c r="T220" s="140" t="s">
        <v>333</v>
      </c>
      <c r="V220" s="141"/>
      <c r="Z220" t="s">
        <v>6225</v>
      </c>
      <c r="AA220">
        <v>71</v>
      </c>
      <c r="AB220">
        <v>219</v>
      </c>
    </row>
    <row r="221" spans="1:28">
      <c r="A221" s="156">
        <v>170</v>
      </c>
      <c r="B221" s="157" t="s">
        <v>6309</v>
      </c>
      <c r="C221" s="157" t="s">
        <v>6222</v>
      </c>
      <c r="D221" s="157">
        <v>950</v>
      </c>
      <c r="E221" s="157">
        <v>999</v>
      </c>
      <c r="F221" s="360">
        <v>5.56</v>
      </c>
      <c r="Q221">
        <v>194</v>
      </c>
      <c r="S221" s="142">
        <v>11417100</v>
      </c>
      <c r="T221" s="140" t="s">
        <v>333</v>
      </c>
      <c r="V221" s="141"/>
      <c r="Z221" t="s">
        <v>6225</v>
      </c>
      <c r="AA221">
        <v>72</v>
      </c>
      <c r="AB221">
        <v>220</v>
      </c>
    </row>
    <row r="222" spans="1:28">
      <c r="A222" s="156">
        <v>170</v>
      </c>
      <c r="B222" s="157" t="s">
        <v>6309</v>
      </c>
      <c r="C222" s="157" t="s">
        <v>6224</v>
      </c>
      <c r="D222" s="157">
        <v>1000</v>
      </c>
      <c r="E222" s="157">
        <v>1499</v>
      </c>
      <c r="F222" s="360">
        <v>8.27</v>
      </c>
      <c r="Q222">
        <v>195</v>
      </c>
      <c r="S222" s="142" t="s">
        <v>6322</v>
      </c>
      <c r="T222" s="140" t="s">
        <v>333</v>
      </c>
      <c r="V222" s="141"/>
      <c r="Z222" t="s">
        <v>6225</v>
      </c>
      <c r="AA222">
        <v>73</v>
      </c>
      <c r="AB222">
        <v>221</v>
      </c>
    </row>
    <row r="223" spans="1:28">
      <c r="A223" s="156">
        <v>170</v>
      </c>
      <c r="B223" s="157" t="s">
        <v>6309</v>
      </c>
      <c r="C223" s="157" t="s">
        <v>6227</v>
      </c>
      <c r="D223" s="157">
        <v>1500</v>
      </c>
      <c r="E223" s="157">
        <v>1999</v>
      </c>
      <c r="F223" s="360">
        <v>10.97</v>
      </c>
      <c r="Q223">
        <v>196</v>
      </c>
      <c r="S223" s="142" t="s">
        <v>6323</v>
      </c>
      <c r="T223" s="140" t="s">
        <v>333</v>
      </c>
      <c r="V223" s="141"/>
      <c r="Z223" t="s">
        <v>6225</v>
      </c>
      <c r="AA223">
        <v>74</v>
      </c>
      <c r="AB223">
        <v>222</v>
      </c>
    </row>
    <row r="224" spans="1:28">
      <c r="A224" s="156">
        <v>170</v>
      </c>
      <c r="B224" s="157" t="s">
        <v>6309</v>
      </c>
      <c r="C224" s="157" t="s">
        <v>6229</v>
      </c>
      <c r="D224" s="157">
        <v>2000</v>
      </c>
      <c r="E224" s="157">
        <v>2499</v>
      </c>
      <c r="F224" s="360">
        <v>13.68</v>
      </c>
      <c r="Q224">
        <v>197</v>
      </c>
      <c r="S224" s="142" t="s">
        <v>6324</v>
      </c>
      <c r="T224" s="140" t="s">
        <v>333</v>
      </c>
      <c r="V224" s="141"/>
      <c r="Z224" t="s">
        <v>6225</v>
      </c>
      <c r="AA224">
        <v>75</v>
      </c>
      <c r="AB224">
        <v>223</v>
      </c>
    </row>
    <row r="225" spans="1:28">
      <c r="A225" s="156">
        <v>170</v>
      </c>
      <c r="B225" s="157" t="s">
        <v>6309</v>
      </c>
      <c r="C225" s="157" t="s">
        <v>6231</v>
      </c>
      <c r="D225" s="157">
        <v>2500</v>
      </c>
      <c r="E225" s="157">
        <v>2999</v>
      </c>
      <c r="F225" s="360">
        <v>16.38</v>
      </c>
      <c r="Q225">
        <v>198</v>
      </c>
      <c r="S225" s="142">
        <v>11418100</v>
      </c>
      <c r="T225" s="140" t="s">
        <v>333</v>
      </c>
      <c r="V225" s="141"/>
      <c r="Z225" t="s">
        <v>6225</v>
      </c>
      <c r="AA225">
        <v>76</v>
      </c>
      <c r="AB225">
        <v>224</v>
      </c>
    </row>
    <row r="226" spans="1:28">
      <c r="A226" s="156">
        <v>170</v>
      </c>
      <c r="B226" s="157" t="s">
        <v>6309</v>
      </c>
      <c r="C226" s="157" t="s">
        <v>6234</v>
      </c>
      <c r="D226" s="157">
        <v>3000</v>
      </c>
      <c r="E226" s="157">
        <v>3499</v>
      </c>
      <c r="F226" s="360">
        <v>19.079999999999998</v>
      </c>
      <c r="Q226">
        <v>199</v>
      </c>
      <c r="S226" s="142" t="s">
        <v>6325</v>
      </c>
      <c r="T226" s="140" t="s">
        <v>333</v>
      </c>
      <c r="V226" s="141"/>
      <c r="Z226" t="s">
        <v>6225</v>
      </c>
      <c r="AA226">
        <v>77</v>
      </c>
      <c r="AB226">
        <v>225</v>
      </c>
    </row>
    <row r="227" spans="1:28">
      <c r="A227" s="156">
        <v>170</v>
      </c>
      <c r="B227" s="157" t="s">
        <v>6309</v>
      </c>
      <c r="C227" s="157" t="s">
        <v>6236</v>
      </c>
      <c r="D227" s="157">
        <v>3500</v>
      </c>
      <c r="E227" s="157">
        <v>3999</v>
      </c>
      <c r="F227" s="360">
        <v>21.79</v>
      </c>
      <c r="Q227">
        <v>200</v>
      </c>
      <c r="S227" s="142" t="s">
        <v>6326</v>
      </c>
      <c r="T227" s="140" t="s">
        <v>333</v>
      </c>
      <c r="V227" s="141"/>
      <c r="Z227" t="s">
        <v>6225</v>
      </c>
      <c r="AA227">
        <v>78</v>
      </c>
      <c r="AB227">
        <v>226</v>
      </c>
    </row>
    <row r="228" spans="1:28">
      <c r="A228" s="156">
        <v>170</v>
      </c>
      <c r="B228" s="157" t="s">
        <v>6309</v>
      </c>
      <c r="C228" s="157" t="s">
        <v>6238</v>
      </c>
      <c r="D228" s="157">
        <v>4000</v>
      </c>
      <c r="E228" s="157">
        <v>4499</v>
      </c>
      <c r="F228" s="360">
        <v>24.49</v>
      </c>
      <c r="Q228">
        <v>201</v>
      </c>
      <c r="S228" s="142" t="s">
        <v>6327</v>
      </c>
      <c r="T228" s="140" t="s">
        <v>333</v>
      </c>
      <c r="V228" s="141"/>
      <c r="Z228" t="s">
        <v>6225</v>
      </c>
      <c r="AA228">
        <v>79</v>
      </c>
      <c r="AB228">
        <v>227</v>
      </c>
    </row>
    <row r="229" spans="1:28">
      <c r="A229" s="156">
        <v>170</v>
      </c>
      <c r="B229" s="157" t="s">
        <v>6309</v>
      </c>
      <c r="C229" s="157" t="s">
        <v>6240</v>
      </c>
      <c r="D229" s="157">
        <v>4500</v>
      </c>
      <c r="E229" s="157">
        <v>4999</v>
      </c>
      <c r="F229" s="360">
        <v>27.2</v>
      </c>
      <c r="Q229">
        <v>202</v>
      </c>
      <c r="S229" s="142">
        <v>11419100</v>
      </c>
      <c r="T229" s="140" t="s">
        <v>333</v>
      </c>
      <c r="V229" s="141"/>
      <c r="Z229" t="s">
        <v>6225</v>
      </c>
      <c r="AA229">
        <v>80</v>
      </c>
      <c r="AB229">
        <v>228</v>
      </c>
    </row>
    <row r="230" spans="1:28">
      <c r="A230" s="156">
        <v>170</v>
      </c>
      <c r="B230" s="157" t="s">
        <v>6309</v>
      </c>
      <c r="C230" s="157" t="s">
        <v>6241</v>
      </c>
      <c r="D230" s="157">
        <v>5000</v>
      </c>
      <c r="E230" s="157">
        <v>5499</v>
      </c>
      <c r="F230" s="360">
        <v>29.9</v>
      </c>
      <c r="Q230">
        <v>203</v>
      </c>
      <c r="S230" s="142" t="s">
        <v>6328</v>
      </c>
      <c r="T230" s="140" t="s">
        <v>333</v>
      </c>
      <c r="V230" s="141"/>
      <c r="Z230" t="s">
        <v>6225</v>
      </c>
      <c r="AA230">
        <v>81</v>
      </c>
      <c r="AB230">
        <v>229</v>
      </c>
    </row>
    <row r="231" spans="1:28">
      <c r="A231" s="156">
        <v>170</v>
      </c>
      <c r="B231" s="157" t="s">
        <v>6309</v>
      </c>
      <c r="C231" s="157" t="s">
        <v>6242</v>
      </c>
      <c r="D231" s="157">
        <v>5500</v>
      </c>
      <c r="E231" s="157">
        <v>5999</v>
      </c>
      <c r="F231" s="360">
        <v>32.6</v>
      </c>
      <c r="Q231">
        <v>204</v>
      </c>
      <c r="S231" s="142" t="s">
        <v>6329</v>
      </c>
      <c r="T231" s="140" t="s">
        <v>333</v>
      </c>
      <c r="V231" s="141"/>
      <c r="Z231" t="s">
        <v>6225</v>
      </c>
      <c r="AA231">
        <v>82</v>
      </c>
      <c r="AB231">
        <v>230</v>
      </c>
    </row>
    <row r="232" spans="1:28">
      <c r="A232" s="156">
        <v>170</v>
      </c>
      <c r="B232" s="157" t="s">
        <v>6309</v>
      </c>
      <c r="C232" s="157" t="s">
        <v>6246</v>
      </c>
      <c r="D232" s="157">
        <v>6000</v>
      </c>
      <c r="E232" s="157">
        <v>6499</v>
      </c>
      <c r="F232" s="360">
        <v>35.31</v>
      </c>
      <c r="Q232">
        <v>205</v>
      </c>
      <c r="S232" s="142" t="s">
        <v>6330</v>
      </c>
      <c r="T232" s="140" t="s">
        <v>333</v>
      </c>
      <c r="V232" s="141"/>
      <c r="Z232" t="s">
        <v>6225</v>
      </c>
      <c r="AA232">
        <v>83</v>
      </c>
      <c r="AB232">
        <v>231</v>
      </c>
    </row>
    <row r="233" spans="1:28">
      <c r="A233" s="156">
        <v>170</v>
      </c>
      <c r="B233" s="157" t="s">
        <v>6309</v>
      </c>
      <c r="C233" s="157" t="s">
        <v>6247</v>
      </c>
      <c r="D233" s="157">
        <v>6500</v>
      </c>
      <c r="E233" s="157">
        <v>6999</v>
      </c>
      <c r="F233" s="360">
        <v>38.01</v>
      </c>
      <c r="Q233">
        <v>206</v>
      </c>
      <c r="S233" s="139">
        <v>11420100</v>
      </c>
      <c r="T233" s="140" t="s">
        <v>333</v>
      </c>
      <c r="V233" s="141"/>
      <c r="Z233" t="s">
        <v>6225</v>
      </c>
      <c r="AA233">
        <v>84</v>
      </c>
      <c r="AB233">
        <v>232</v>
      </c>
    </row>
    <row r="234" spans="1:28">
      <c r="A234" s="156">
        <v>170</v>
      </c>
      <c r="B234" s="157" t="s">
        <v>6309</v>
      </c>
      <c r="C234" s="157" t="s">
        <v>6248</v>
      </c>
      <c r="D234" s="157">
        <v>7000</v>
      </c>
      <c r="E234" s="157">
        <v>7499</v>
      </c>
      <c r="F234" s="360">
        <v>40.72</v>
      </c>
      <c r="Q234">
        <v>207</v>
      </c>
      <c r="S234" s="142" t="s">
        <v>6331</v>
      </c>
      <c r="T234" s="140" t="s">
        <v>333</v>
      </c>
      <c r="V234" s="141"/>
      <c r="Z234" t="s">
        <v>6225</v>
      </c>
      <c r="AA234">
        <v>85</v>
      </c>
      <c r="AB234">
        <v>233</v>
      </c>
    </row>
    <row r="235" spans="1:28">
      <c r="A235" s="156">
        <v>170</v>
      </c>
      <c r="B235" s="157" t="s">
        <v>6309</v>
      </c>
      <c r="C235" s="157" t="s">
        <v>6250</v>
      </c>
      <c r="D235" s="157">
        <v>7500</v>
      </c>
      <c r="E235" s="157">
        <v>7999</v>
      </c>
      <c r="F235" s="360">
        <v>43.42</v>
      </c>
      <c r="Q235">
        <v>208</v>
      </c>
      <c r="S235" s="142" t="s">
        <v>6332</v>
      </c>
      <c r="T235" s="140" t="s">
        <v>333</v>
      </c>
      <c r="V235" s="141"/>
      <c r="Z235" t="s">
        <v>6225</v>
      </c>
      <c r="AA235">
        <v>86</v>
      </c>
      <c r="AB235">
        <v>234</v>
      </c>
    </row>
    <row r="236" spans="1:28">
      <c r="A236" s="156">
        <v>170</v>
      </c>
      <c r="B236" s="157" t="s">
        <v>6309</v>
      </c>
      <c r="C236" s="157" t="s">
        <v>6252</v>
      </c>
      <c r="D236" s="157">
        <v>8000</v>
      </c>
      <c r="E236" s="157">
        <v>8499</v>
      </c>
      <c r="F236" s="360">
        <v>46.12</v>
      </c>
      <c r="Q236">
        <v>209</v>
      </c>
      <c r="S236" s="142" t="s">
        <v>6333</v>
      </c>
      <c r="T236" s="140" t="s">
        <v>333</v>
      </c>
      <c r="V236" s="141"/>
      <c r="Z236" t="s">
        <v>6225</v>
      </c>
      <c r="AA236">
        <v>87</v>
      </c>
      <c r="AB236">
        <v>235</v>
      </c>
    </row>
    <row r="237" spans="1:28">
      <c r="A237" s="156">
        <v>170</v>
      </c>
      <c r="B237" s="157" t="s">
        <v>6309</v>
      </c>
      <c r="C237" s="157" t="s">
        <v>6255</v>
      </c>
      <c r="D237" s="157">
        <v>8500</v>
      </c>
      <c r="E237" s="157">
        <v>8999</v>
      </c>
      <c r="F237" s="360">
        <v>48.83</v>
      </c>
      <c r="Q237">
        <v>210</v>
      </c>
      <c r="S237" s="142">
        <v>11421100</v>
      </c>
      <c r="T237" s="140" t="s">
        <v>333</v>
      </c>
      <c r="V237" s="141"/>
      <c r="Z237" t="s">
        <v>6225</v>
      </c>
      <c r="AA237">
        <v>88</v>
      </c>
      <c r="AB237">
        <v>236</v>
      </c>
    </row>
    <row r="238" spans="1:28">
      <c r="A238" s="156">
        <v>170</v>
      </c>
      <c r="B238" s="157" t="s">
        <v>6309</v>
      </c>
      <c r="C238" s="157" t="s">
        <v>6256</v>
      </c>
      <c r="D238" s="157">
        <v>9000</v>
      </c>
      <c r="E238" s="157">
        <v>9499</v>
      </c>
      <c r="F238" s="360">
        <v>51.53</v>
      </c>
      <c r="Q238">
        <v>211</v>
      </c>
      <c r="S238" s="142" t="s">
        <v>6334</v>
      </c>
      <c r="T238" s="140" t="s">
        <v>333</v>
      </c>
      <c r="V238" s="141"/>
      <c r="Z238" t="s">
        <v>6225</v>
      </c>
      <c r="AA238">
        <v>89</v>
      </c>
      <c r="AB238">
        <v>237</v>
      </c>
    </row>
    <row r="239" spans="1:28">
      <c r="A239" s="159">
        <v>170</v>
      </c>
      <c r="B239" s="160" t="s">
        <v>6309</v>
      </c>
      <c r="C239" s="160" t="s">
        <v>6257</v>
      </c>
      <c r="D239" s="160">
        <v>9500</v>
      </c>
      <c r="E239" s="160">
        <v>10000</v>
      </c>
      <c r="F239" s="360">
        <v>54.25</v>
      </c>
      <c r="Q239">
        <v>212</v>
      </c>
      <c r="S239" s="142" t="s">
        <v>6335</v>
      </c>
      <c r="T239" s="140" t="s">
        <v>333</v>
      </c>
      <c r="V239" s="141"/>
      <c r="Z239" t="s">
        <v>6225</v>
      </c>
      <c r="AA239">
        <v>90</v>
      </c>
      <c r="AB239">
        <v>238</v>
      </c>
    </row>
    <row r="240" spans="1:28">
      <c r="A240" s="156">
        <v>140</v>
      </c>
      <c r="B240" s="157" t="s">
        <v>6336</v>
      </c>
      <c r="C240" s="157" t="s">
        <v>6180</v>
      </c>
      <c r="D240" s="157">
        <v>16</v>
      </c>
      <c r="E240" s="157">
        <v>249</v>
      </c>
      <c r="F240" s="360">
        <v>4.5</v>
      </c>
      <c r="G240" s="89">
        <v>5.18</v>
      </c>
      <c r="Q240">
        <v>213</v>
      </c>
      <c r="S240" s="142" t="s">
        <v>6337</v>
      </c>
      <c r="T240" s="140" t="s">
        <v>333</v>
      </c>
      <c r="V240" s="141"/>
      <c r="Z240" t="s">
        <v>6225</v>
      </c>
      <c r="AA240">
        <v>91</v>
      </c>
      <c r="AB240">
        <v>239</v>
      </c>
    </row>
    <row r="241" spans="1:28">
      <c r="A241" s="156">
        <v>140</v>
      </c>
      <c r="B241" s="157" t="s">
        <v>6336</v>
      </c>
      <c r="C241" s="157" t="s">
        <v>6185</v>
      </c>
      <c r="D241" s="157">
        <v>250</v>
      </c>
      <c r="E241" s="157">
        <v>299</v>
      </c>
      <c r="F241" s="360">
        <v>4.9400000000000004</v>
      </c>
      <c r="G241" s="89">
        <v>5.68</v>
      </c>
      <c r="Q241">
        <v>214</v>
      </c>
      <c r="S241" s="142">
        <v>11422100</v>
      </c>
      <c r="T241" s="140" t="s">
        <v>333</v>
      </c>
      <c r="V241" s="141"/>
      <c r="Z241" t="s">
        <v>6225</v>
      </c>
      <c r="AA241">
        <v>92</v>
      </c>
      <c r="AB241">
        <v>240</v>
      </c>
    </row>
    <row r="242" spans="1:28">
      <c r="A242" s="156">
        <v>140</v>
      </c>
      <c r="B242" s="157" t="s">
        <v>6336</v>
      </c>
      <c r="C242" s="157" t="s">
        <v>6187</v>
      </c>
      <c r="D242" s="157">
        <v>300</v>
      </c>
      <c r="E242" s="157">
        <v>349</v>
      </c>
      <c r="F242" s="360">
        <v>5.38</v>
      </c>
      <c r="G242" s="89">
        <v>6.19</v>
      </c>
      <c r="Q242">
        <v>215</v>
      </c>
      <c r="S242" s="142" t="s">
        <v>6338</v>
      </c>
      <c r="T242" s="140" t="s">
        <v>333</v>
      </c>
      <c r="V242" s="141"/>
      <c r="Z242" t="s">
        <v>6225</v>
      </c>
      <c r="AA242">
        <v>93</v>
      </c>
      <c r="AB242">
        <v>241</v>
      </c>
    </row>
    <row r="243" spans="1:28">
      <c r="A243" s="156">
        <v>140</v>
      </c>
      <c r="B243" s="157" t="s">
        <v>6336</v>
      </c>
      <c r="C243" s="157" t="s">
        <v>6193</v>
      </c>
      <c r="D243" s="157">
        <v>350</v>
      </c>
      <c r="E243" s="157">
        <v>399</v>
      </c>
      <c r="F243" s="360">
        <v>5.82</v>
      </c>
      <c r="G243" s="89">
        <v>6.69</v>
      </c>
      <c r="Q243">
        <v>216</v>
      </c>
      <c r="S243" s="142" t="s">
        <v>6339</v>
      </c>
      <c r="T243" s="140" t="s">
        <v>333</v>
      </c>
      <c r="V243" s="141"/>
      <c r="Z243" t="s">
        <v>6225</v>
      </c>
      <c r="AA243">
        <v>94</v>
      </c>
      <c r="AB243">
        <v>242</v>
      </c>
    </row>
    <row r="244" spans="1:28">
      <c r="A244" s="156">
        <v>140</v>
      </c>
      <c r="B244" s="157" t="s">
        <v>6336</v>
      </c>
      <c r="C244" s="157" t="s">
        <v>6196</v>
      </c>
      <c r="D244" s="157">
        <v>400</v>
      </c>
      <c r="E244" s="157">
        <v>449</v>
      </c>
      <c r="F244" s="360">
        <v>6.27</v>
      </c>
      <c r="G244" s="89">
        <v>7.21</v>
      </c>
      <c r="Q244">
        <v>217</v>
      </c>
      <c r="S244" s="142" t="s">
        <v>6340</v>
      </c>
      <c r="T244" s="140" t="s">
        <v>333</v>
      </c>
      <c r="V244" s="141"/>
      <c r="Z244" t="s">
        <v>6225</v>
      </c>
      <c r="AA244">
        <v>95</v>
      </c>
      <c r="AB244">
        <v>243</v>
      </c>
    </row>
    <row r="245" spans="1:28">
      <c r="A245" s="156">
        <v>140</v>
      </c>
      <c r="B245" s="157" t="s">
        <v>6336</v>
      </c>
      <c r="C245" s="157" t="s">
        <v>6199</v>
      </c>
      <c r="D245" s="157">
        <v>450</v>
      </c>
      <c r="E245" s="157">
        <v>499</v>
      </c>
      <c r="F245" s="360">
        <v>6.71</v>
      </c>
      <c r="G245" s="89">
        <v>7.72</v>
      </c>
      <c r="Q245">
        <v>218</v>
      </c>
      <c r="S245" s="142">
        <v>11423100</v>
      </c>
      <c r="T245" s="140" t="s">
        <v>333</v>
      </c>
      <c r="V245" s="141"/>
      <c r="Z245" t="s">
        <v>6225</v>
      </c>
      <c r="AA245">
        <v>96</v>
      </c>
      <c r="AB245">
        <v>244</v>
      </c>
    </row>
    <row r="246" spans="1:28">
      <c r="A246" s="156">
        <v>140</v>
      </c>
      <c r="B246" s="157" t="s">
        <v>6336</v>
      </c>
      <c r="C246" s="157" t="s">
        <v>6201</v>
      </c>
      <c r="D246" s="157">
        <v>500</v>
      </c>
      <c r="E246" s="157">
        <v>549</v>
      </c>
      <c r="F246" s="360">
        <v>7.15</v>
      </c>
      <c r="G246" s="89">
        <v>8.2200000000000006</v>
      </c>
      <c r="Q246">
        <v>219</v>
      </c>
      <c r="S246" s="142" t="s">
        <v>6341</v>
      </c>
      <c r="T246" s="140" t="s">
        <v>333</v>
      </c>
      <c r="V246" s="141"/>
      <c r="Z246" t="s">
        <v>6228</v>
      </c>
      <c r="AA246">
        <v>4</v>
      </c>
      <c r="AB246">
        <v>245</v>
      </c>
    </row>
    <row r="247" spans="1:28">
      <c r="A247" s="156">
        <v>140</v>
      </c>
      <c r="B247" s="157" t="s">
        <v>6336</v>
      </c>
      <c r="C247" s="157" t="s">
        <v>6203</v>
      </c>
      <c r="D247" s="157">
        <v>550</v>
      </c>
      <c r="E247" s="157">
        <v>599</v>
      </c>
      <c r="F247" s="360">
        <v>7.59</v>
      </c>
      <c r="G247" s="89">
        <v>8.73</v>
      </c>
      <c r="Q247">
        <v>220</v>
      </c>
      <c r="S247" s="142" t="s">
        <v>6342</v>
      </c>
      <c r="T247" s="140" t="s">
        <v>333</v>
      </c>
      <c r="V247" s="141"/>
      <c r="Z247" t="s">
        <v>6228</v>
      </c>
      <c r="AA247">
        <v>5</v>
      </c>
      <c r="AB247">
        <v>246</v>
      </c>
    </row>
    <row r="248" spans="1:28">
      <c r="A248" s="156">
        <v>140</v>
      </c>
      <c r="B248" s="157" t="s">
        <v>6336</v>
      </c>
      <c r="C248" s="157" t="s">
        <v>6205</v>
      </c>
      <c r="D248" s="157">
        <v>600</v>
      </c>
      <c r="E248" s="157">
        <v>649</v>
      </c>
      <c r="F248" s="360">
        <v>8.0299999999999994</v>
      </c>
      <c r="G248" s="89">
        <v>9.23</v>
      </c>
      <c r="Q248">
        <v>221</v>
      </c>
      <c r="S248" s="142" t="s">
        <v>6343</v>
      </c>
      <c r="T248" s="140" t="s">
        <v>333</v>
      </c>
      <c r="V248" s="141"/>
      <c r="Z248" t="s">
        <v>6228</v>
      </c>
      <c r="AA248">
        <v>6</v>
      </c>
      <c r="AB248">
        <v>247</v>
      </c>
    </row>
    <row r="249" spans="1:28">
      <c r="A249" s="156">
        <v>140</v>
      </c>
      <c r="B249" s="157" t="s">
        <v>6336</v>
      </c>
      <c r="C249" s="157" t="s">
        <v>6207</v>
      </c>
      <c r="D249" s="157">
        <v>650</v>
      </c>
      <c r="E249" s="157">
        <v>699</v>
      </c>
      <c r="F249" s="360">
        <v>8.48</v>
      </c>
      <c r="G249" s="89">
        <v>9.75</v>
      </c>
      <c r="Q249">
        <v>222</v>
      </c>
      <c r="S249" s="142">
        <v>11424100</v>
      </c>
      <c r="T249" s="140" t="s">
        <v>333</v>
      </c>
      <c r="V249" s="141"/>
      <c r="Z249" t="s">
        <v>6228</v>
      </c>
      <c r="AA249">
        <v>7</v>
      </c>
      <c r="AB249">
        <v>248</v>
      </c>
    </row>
    <row r="250" spans="1:28">
      <c r="A250" s="156">
        <v>140</v>
      </c>
      <c r="B250" s="157" t="s">
        <v>6336</v>
      </c>
      <c r="C250" s="157" t="s">
        <v>6211</v>
      </c>
      <c r="D250" s="157">
        <v>700</v>
      </c>
      <c r="E250" s="157">
        <v>749</v>
      </c>
      <c r="F250" s="360">
        <v>8.92</v>
      </c>
      <c r="G250" s="89">
        <v>10.26</v>
      </c>
      <c r="Q250">
        <v>223</v>
      </c>
      <c r="S250" s="142">
        <v>11425100</v>
      </c>
      <c r="T250" s="140" t="s">
        <v>333</v>
      </c>
      <c r="V250" s="141"/>
      <c r="Z250" t="s">
        <v>6228</v>
      </c>
      <c r="AA250">
        <v>8</v>
      </c>
      <c r="AB250">
        <v>249</v>
      </c>
    </row>
    <row r="251" spans="1:28">
      <c r="A251" s="156">
        <v>140</v>
      </c>
      <c r="B251" s="157" t="s">
        <v>6336</v>
      </c>
      <c r="C251" s="157" t="s">
        <v>6212</v>
      </c>
      <c r="D251" s="157">
        <v>750</v>
      </c>
      <c r="E251" s="157">
        <v>799</v>
      </c>
      <c r="F251" s="360">
        <v>9.36</v>
      </c>
      <c r="G251" s="89">
        <v>10.76</v>
      </c>
      <c r="Q251">
        <v>224</v>
      </c>
      <c r="S251" s="142" t="s">
        <v>6344</v>
      </c>
      <c r="T251" s="140" t="s">
        <v>333</v>
      </c>
      <c r="V251" s="141"/>
      <c r="Z251" t="s">
        <v>6228</v>
      </c>
      <c r="AA251">
        <v>9</v>
      </c>
      <c r="AB251">
        <v>250</v>
      </c>
    </row>
    <row r="252" spans="1:28">
      <c r="A252" s="156">
        <v>140</v>
      </c>
      <c r="B252" s="157" t="s">
        <v>6336</v>
      </c>
      <c r="C252" s="157" t="s">
        <v>6213</v>
      </c>
      <c r="D252" s="157">
        <v>800</v>
      </c>
      <c r="E252" s="157">
        <v>849</v>
      </c>
      <c r="F252" s="360">
        <v>9.8000000000000007</v>
      </c>
      <c r="G252" s="89">
        <v>11.27</v>
      </c>
      <c r="Q252">
        <v>225</v>
      </c>
      <c r="S252" s="142" t="s">
        <v>6345</v>
      </c>
      <c r="T252" s="140" t="s">
        <v>333</v>
      </c>
      <c r="V252" s="141"/>
      <c r="Z252" t="s">
        <v>6228</v>
      </c>
      <c r="AA252">
        <v>10</v>
      </c>
    </row>
    <row r="253" spans="1:28">
      <c r="A253" s="156">
        <v>140</v>
      </c>
      <c r="B253" s="157" t="s">
        <v>6336</v>
      </c>
      <c r="C253" s="157" t="s">
        <v>6216</v>
      </c>
      <c r="D253" s="157">
        <v>850</v>
      </c>
      <c r="E253" s="157">
        <v>899</v>
      </c>
      <c r="F253" s="360">
        <v>10.24</v>
      </c>
      <c r="G253" s="89">
        <v>11.78</v>
      </c>
      <c r="Q253">
        <v>226</v>
      </c>
      <c r="S253" s="142" t="s">
        <v>6346</v>
      </c>
      <c r="T253" s="140" t="s">
        <v>333</v>
      </c>
      <c r="V253" s="141"/>
      <c r="Z253" t="s">
        <v>6228</v>
      </c>
      <c r="AA253">
        <v>11</v>
      </c>
    </row>
    <row r="254" spans="1:28">
      <c r="A254" s="156">
        <v>140</v>
      </c>
      <c r="B254" s="157" t="s">
        <v>6336</v>
      </c>
      <c r="C254" s="157" t="s">
        <v>6221</v>
      </c>
      <c r="D254" s="157">
        <v>900</v>
      </c>
      <c r="E254" s="157">
        <v>949</v>
      </c>
      <c r="F254" s="360">
        <v>10.69</v>
      </c>
      <c r="G254" s="89">
        <v>12.29</v>
      </c>
      <c r="Q254">
        <v>227</v>
      </c>
      <c r="S254" s="142" t="s">
        <v>6347</v>
      </c>
      <c r="T254" s="140" t="s">
        <v>333</v>
      </c>
      <c r="V254" s="141"/>
      <c r="Z254" t="s">
        <v>6228</v>
      </c>
      <c r="AA254">
        <v>12</v>
      </c>
    </row>
    <row r="255" spans="1:28">
      <c r="A255" s="156">
        <v>140</v>
      </c>
      <c r="B255" s="157" t="s">
        <v>6336</v>
      </c>
      <c r="C255" s="157" t="s">
        <v>6222</v>
      </c>
      <c r="D255" s="157">
        <v>950</v>
      </c>
      <c r="E255" s="157">
        <v>999</v>
      </c>
      <c r="F255" s="360">
        <v>11.13</v>
      </c>
      <c r="G255" s="89">
        <v>12.8</v>
      </c>
      <c r="Q255">
        <v>228</v>
      </c>
      <c r="S255" s="142" t="s">
        <v>6348</v>
      </c>
      <c r="T255" s="140" t="s">
        <v>333</v>
      </c>
      <c r="V255" s="141"/>
      <c r="Z255" t="s">
        <v>6228</v>
      </c>
      <c r="AA255">
        <v>13</v>
      </c>
    </row>
    <row r="256" spans="1:28">
      <c r="A256" s="156">
        <v>140</v>
      </c>
      <c r="B256" s="157" t="s">
        <v>6336</v>
      </c>
      <c r="C256" s="157" t="s">
        <v>6224</v>
      </c>
      <c r="D256" s="157">
        <v>1000</v>
      </c>
      <c r="E256" s="157">
        <v>1499</v>
      </c>
      <c r="F256" s="360">
        <v>15</v>
      </c>
      <c r="G256" s="89">
        <v>17.25</v>
      </c>
      <c r="Q256">
        <v>229</v>
      </c>
      <c r="S256" s="142" t="s">
        <v>6349</v>
      </c>
      <c r="T256" s="140" t="s">
        <v>333</v>
      </c>
      <c r="V256" s="141"/>
      <c r="Z256" t="s">
        <v>6228</v>
      </c>
      <c r="AA256">
        <v>14</v>
      </c>
    </row>
    <row r="257" spans="1:27">
      <c r="A257" s="156">
        <v>140</v>
      </c>
      <c r="B257" s="157" t="s">
        <v>6336</v>
      </c>
      <c r="C257" s="157" t="s">
        <v>6227</v>
      </c>
      <c r="D257" s="157">
        <v>1500</v>
      </c>
      <c r="E257" s="157">
        <v>1999</v>
      </c>
      <c r="F257" s="360">
        <v>18.88</v>
      </c>
      <c r="G257" s="89">
        <v>21.71</v>
      </c>
      <c r="Q257">
        <v>230</v>
      </c>
      <c r="S257" s="142" t="s">
        <v>6350</v>
      </c>
      <c r="T257" s="140" t="s">
        <v>333</v>
      </c>
      <c r="V257" s="141"/>
      <c r="Z257" t="s">
        <v>6228</v>
      </c>
      <c r="AA257">
        <v>15</v>
      </c>
    </row>
    <row r="258" spans="1:27">
      <c r="A258" s="156">
        <v>140</v>
      </c>
      <c r="B258" s="157" t="s">
        <v>6336</v>
      </c>
      <c r="C258" s="157" t="s">
        <v>6229</v>
      </c>
      <c r="D258" s="157">
        <v>2000</v>
      </c>
      <c r="E258" s="157">
        <v>2499</v>
      </c>
      <c r="F258" s="360">
        <v>22.75</v>
      </c>
      <c r="G258" s="89">
        <v>26.16</v>
      </c>
      <c r="Q258">
        <v>231</v>
      </c>
      <c r="S258" s="142" t="s">
        <v>6351</v>
      </c>
      <c r="T258" s="140" t="s">
        <v>333</v>
      </c>
      <c r="V258" s="141"/>
      <c r="Z258" t="s">
        <v>6228</v>
      </c>
      <c r="AA258">
        <v>16</v>
      </c>
    </row>
    <row r="259" spans="1:27">
      <c r="A259" s="156">
        <v>140</v>
      </c>
      <c r="B259" s="157" t="s">
        <v>6336</v>
      </c>
      <c r="C259" s="157" t="s">
        <v>6231</v>
      </c>
      <c r="D259" s="157">
        <v>2500</v>
      </c>
      <c r="E259" s="157">
        <v>2999</v>
      </c>
      <c r="F259" s="360">
        <v>26.62</v>
      </c>
      <c r="G259" s="89">
        <v>30.61</v>
      </c>
      <c r="Q259">
        <v>232</v>
      </c>
      <c r="S259" s="142" t="s">
        <v>6352</v>
      </c>
      <c r="T259" s="140" t="s">
        <v>333</v>
      </c>
      <c r="V259" s="141"/>
      <c r="Z259" t="s">
        <v>6228</v>
      </c>
      <c r="AA259">
        <v>17</v>
      </c>
    </row>
    <row r="260" spans="1:27">
      <c r="A260" s="156">
        <v>140</v>
      </c>
      <c r="B260" s="157" t="s">
        <v>6336</v>
      </c>
      <c r="C260" s="157" t="s">
        <v>6234</v>
      </c>
      <c r="D260" s="157">
        <v>3000</v>
      </c>
      <c r="E260" s="157">
        <v>3499</v>
      </c>
      <c r="F260" s="360">
        <v>30.5</v>
      </c>
      <c r="G260" s="89">
        <v>35.08</v>
      </c>
      <c r="Q260">
        <v>233</v>
      </c>
      <c r="S260" s="142" t="s">
        <v>6353</v>
      </c>
      <c r="T260" s="140" t="s">
        <v>333</v>
      </c>
      <c r="V260" s="141"/>
      <c r="Z260" t="s">
        <v>6228</v>
      </c>
      <c r="AA260">
        <v>18</v>
      </c>
    </row>
    <row r="261" spans="1:27">
      <c r="A261" s="156">
        <v>140</v>
      </c>
      <c r="B261" s="157" t="s">
        <v>6336</v>
      </c>
      <c r="C261" s="157" t="s">
        <v>6236</v>
      </c>
      <c r="D261" s="157">
        <v>3500</v>
      </c>
      <c r="E261" s="157">
        <v>3999</v>
      </c>
      <c r="F261" s="360">
        <v>34.369999999999997</v>
      </c>
      <c r="G261" s="89">
        <v>39.53</v>
      </c>
      <c r="Q261">
        <v>234</v>
      </c>
      <c r="S261" s="142" t="s">
        <v>6354</v>
      </c>
      <c r="T261" s="140" t="s">
        <v>333</v>
      </c>
      <c r="V261" s="141"/>
      <c r="Z261" t="s">
        <v>6228</v>
      </c>
      <c r="AA261">
        <v>19</v>
      </c>
    </row>
    <row r="262" spans="1:27">
      <c r="A262" s="156">
        <v>140</v>
      </c>
      <c r="B262" s="157" t="s">
        <v>6336</v>
      </c>
      <c r="C262" s="157" t="s">
        <v>6238</v>
      </c>
      <c r="D262" s="157">
        <v>4000</v>
      </c>
      <c r="E262" s="157">
        <v>4499</v>
      </c>
      <c r="F262" s="360">
        <v>38.25</v>
      </c>
      <c r="G262" s="89">
        <v>43.99</v>
      </c>
      <c r="Q262">
        <v>235</v>
      </c>
      <c r="S262" s="142" t="s">
        <v>6355</v>
      </c>
      <c r="T262" s="140" t="s">
        <v>333</v>
      </c>
      <c r="V262" s="141"/>
      <c r="Z262" t="s">
        <v>6228</v>
      </c>
      <c r="AA262">
        <v>20</v>
      </c>
    </row>
    <row r="263" spans="1:27">
      <c r="A263" s="156">
        <v>140</v>
      </c>
      <c r="B263" s="157" t="s">
        <v>6336</v>
      </c>
      <c r="C263" s="157" t="s">
        <v>6240</v>
      </c>
      <c r="D263" s="157">
        <v>4500</v>
      </c>
      <c r="E263" s="157">
        <v>4999</v>
      </c>
      <c r="F263" s="360">
        <v>42.12</v>
      </c>
      <c r="G263" s="89">
        <v>48.44</v>
      </c>
      <c r="Q263">
        <v>236</v>
      </c>
      <c r="S263" s="142" t="s">
        <v>6356</v>
      </c>
      <c r="T263" s="140" t="s">
        <v>333</v>
      </c>
      <c r="V263" s="141"/>
      <c r="Z263" t="s">
        <v>6228</v>
      </c>
      <c r="AA263">
        <v>21</v>
      </c>
    </row>
    <row r="264" spans="1:27">
      <c r="A264" s="156">
        <v>140</v>
      </c>
      <c r="B264" s="157" t="s">
        <v>6336</v>
      </c>
      <c r="C264" s="157" t="s">
        <v>6241</v>
      </c>
      <c r="D264" s="157">
        <v>5000</v>
      </c>
      <c r="E264" s="157">
        <v>5499</v>
      </c>
      <c r="F264" s="360">
        <v>45.99</v>
      </c>
      <c r="G264" s="89">
        <v>52.89</v>
      </c>
      <c r="Q264">
        <v>237</v>
      </c>
      <c r="S264" s="142" t="s">
        <v>6357</v>
      </c>
      <c r="T264" s="140" t="s">
        <v>333</v>
      </c>
      <c r="V264" s="141"/>
      <c r="Z264" t="s">
        <v>6228</v>
      </c>
      <c r="AA264">
        <v>22</v>
      </c>
    </row>
    <row r="265" spans="1:27">
      <c r="A265" s="156">
        <v>140</v>
      </c>
      <c r="B265" s="157" t="s">
        <v>6336</v>
      </c>
      <c r="C265" s="157" t="s">
        <v>6242</v>
      </c>
      <c r="D265" s="157">
        <v>5500</v>
      </c>
      <c r="E265" s="157">
        <v>5999</v>
      </c>
      <c r="F265" s="360">
        <v>49.87</v>
      </c>
      <c r="G265" s="89">
        <v>57.35</v>
      </c>
      <c r="Q265">
        <v>238</v>
      </c>
      <c r="S265" s="142" t="s">
        <v>6358</v>
      </c>
      <c r="T265" s="140" t="s">
        <v>333</v>
      </c>
      <c r="V265" s="141"/>
      <c r="Z265" t="s">
        <v>6228</v>
      </c>
      <c r="AA265">
        <v>23</v>
      </c>
    </row>
    <row r="266" spans="1:27">
      <c r="A266" s="156">
        <v>140</v>
      </c>
      <c r="B266" s="157" t="s">
        <v>6336</v>
      </c>
      <c r="C266" s="157" t="s">
        <v>6246</v>
      </c>
      <c r="D266" s="157">
        <v>6000</v>
      </c>
      <c r="E266" s="157">
        <v>6499</v>
      </c>
      <c r="F266" s="360">
        <v>53.74</v>
      </c>
      <c r="G266" s="89">
        <v>61.8</v>
      </c>
      <c r="Q266">
        <v>239</v>
      </c>
      <c r="S266" s="142" t="s">
        <v>6359</v>
      </c>
      <c r="T266" s="140" t="s">
        <v>333</v>
      </c>
      <c r="V266" s="141"/>
      <c r="Z266" t="s">
        <v>6228</v>
      </c>
      <c r="AA266">
        <v>24</v>
      </c>
    </row>
    <row r="267" spans="1:27">
      <c r="A267" s="156">
        <v>140</v>
      </c>
      <c r="B267" s="157" t="s">
        <v>6336</v>
      </c>
      <c r="C267" s="157" t="s">
        <v>6247</v>
      </c>
      <c r="D267" s="157">
        <v>6500</v>
      </c>
      <c r="E267" s="157">
        <v>6999</v>
      </c>
      <c r="F267" s="360">
        <v>57.62</v>
      </c>
      <c r="G267" s="89">
        <v>66.260000000000005</v>
      </c>
      <c r="Q267">
        <v>240</v>
      </c>
      <c r="S267" s="142" t="s">
        <v>6360</v>
      </c>
      <c r="T267" s="140" t="s">
        <v>333</v>
      </c>
      <c r="V267" s="141"/>
      <c r="Z267" t="s">
        <v>6228</v>
      </c>
      <c r="AA267">
        <v>25</v>
      </c>
    </row>
    <row r="268" spans="1:27">
      <c r="A268" s="156">
        <v>140</v>
      </c>
      <c r="B268" s="157" t="s">
        <v>6336</v>
      </c>
      <c r="C268" s="157" t="s">
        <v>6248</v>
      </c>
      <c r="D268" s="157">
        <v>7000</v>
      </c>
      <c r="E268" s="157">
        <v>7499</v>
      </c>
      <c r="F268" s="360">
        <v>61.49</v>
      </c>
      <c r="G268" s="89">
        <v>70.709999999999994</v>
      </c>
      <c r="Q268">
        <v>241</v>
      </c>
      <c r="S268" s="142" t="s">
        <v>6361</v>
      </c>
      <c r="T268" s="140" t="s">
        <v>333</v>
      </c>
      <c r="V268" s="141"/>
      <c r="Z268" t="s">
        <v>6228</v>
      </c>
      <c r="AA268">
        <v>26</v>
      </c>
    </row>
    <row r="269" spans="1:27">
      <c r="A269" s="156">
        <v>140</v>
      </c>
      <c r="B269" s="157" t="s">
        <v>6336</v>
      </c>
      <c r="C269" s="157" t="s">
        <v>6250</v>
      </c>
      <c r="D269" s="157">
        <v>7500</v>
      </c>
      <c r="E269" s="157">
        <v>7999</v>
      </c>
      <c r="F269" s="360">
        <v>65.36</v>
      </c>
      <c r="G269" s="89">
        <v>75.16</v>
      </c>
      <c r="Q269">
        <v>242</v>
      </c>
      <c r="S269" s="142" t="s">
        <v>6362</v>
      </c>
      <c r="T269" s="140" t="s">
        <v>333</v>
      </c>
      <c r="V269" s="141"/>
      <c r="Z269" t="s">
        <v>6228</v>
      </c>
      <c r="AA269">
        <v>27</v>
      </c>
    </row>
    <row r="270" spans="1:27">
      <c r="A270" s="156">
        <v>140</v>
      </c>
      <c r="B270" s="157" t="s">
        <v>6336</v>
      </c>
      <c r="C270" s="157" t="s">
        <v>6252</v>
      </c>
      <c r="D270" s="157">
        <v>8000</v>
      </c>
      <c r="E270" s="157">
        <v>8499</v>
      </c>
      <c r="F270" s="360">
        <v>69.239999999999995</v>
      </c>
      <c r="G270" s="89">
        <v>79.63</v>
      </c>
      <c r="Q270">
        <v>243</v>
      </c>
      <c r="S270" s="142" t="s">
        <v>6363</v>
      </c>
      <c r="T270" s="140" t="s">
        <v>333</v>
      </c>
      <c r="V270" s="141"/>
      <c r="Z270" t="s">
        <v>6228</v>
      </c>
      <c r="AA270">
        <v>28</v>
      </c>
    </row>
    <row r="271" spans="1:27">
      <c r="A271" s="156">
        <v>140</v>
      </c>
      <c r="B271" s="157" t="s">
        <v>6336</v>
      </c>
      <c r="C271" s="157" t="s">
        <v>6255</v>
      </c>
      <c r="D271" s="157">
        <v>8500</v>
      </c>
      <c r="E271" s="157">
        <v>8999</v>
      </c>
      <c r="F271" s="360">
        <v>73.11</v>
      </c>
      <c r="G271" s="89">
        <v>84.08</v>
      </c>
      <c r="Q271">
        <v>244</v>
      </c>
      <c r="S271" s="142" t="s">
        <v>6364</v>
      </c>
      <c r="T271" s="140" t="s">
        <v>333</v>
      </c>
      <c r="V271" s="141"/>
      <c r="Z271" t="s">
        <v>6228</v>
      </c>
      <c r="AA271">
        <v>29</v>
      </c>
    </row>
    <row r="272" spans="1:27">
      <c r="A272" s="156">
        <v>140</v>
      </c>
      <c r="B272" s="157" t="s">
        <v>6336</v>
      </c>
      <c r="C272" s="157" t="s">
        <v>6256</v>
      </c>
      <c r="D272" s="157">
        <v>9000</v>
      </c>
      <c r="E272" s="157">
        <v>9499</v>
      </c>
      <c r="F272" s="360">
        <v>76.989999999999995</v>
      </c>
      <c r="G272" s="89">
        <v>88.54</v>
      </c>
      <c r="Q272">
        <v>245</v>
      </c>
      <c r="S272" s="142" t="s">
        <v>6365</v>
      </c>
      <c r="T272" s="140" t="s">
        <v>333</v>
      </c>
      <c r="V272" s="141"/>
      <c r="Z272" t="s">
        <v>6228</v>
      </c>
      <c r="AA272">
        <v>30</v>
      </c>
    </row>
    <row r="273" spans="1:27">
      <c r="A273" s="159">
        <v>140</v>
      </c>
      <c r="B273" s="160" t="s">
        <v>6336</v>
      </c>
      <c r="C273" s="160" t="s">
        <v>6257</v>
      </c>
      <c r="D273" s="160">
        <v>9500</v>
      </c>
      <c r="E273" s="160">
        <v>10000</v>
      </c>
      <c r="F273" s="360">
        <v>80.87</v>
      </c>
      <c r="G273" s="89">
        <v>93</v>
      </c>
      <c r="Q273">
        <v>246</v>
      </c>
      <c r="S273" s="142" t="s">
        <v>6366</v>
      </c>
      <c r="T273" s="140" t="s">
        <v>333</v>
      </c>
      <c r="V273" s="141"/>
      <c r="Z273" t="s">
        <v>6228</v>
      </c>
      <c r="AA273">
        <v>31</v>
      </c>
    </row>
    <row r="274" spans="1:27">
      <c r="A274" s="156">
        <v>143</v>
      </c>
      <c r="B274" s="157" t="s">
        <v>6367</v>
      </c>
      <c r="C274" s="157" t="s">
        <v>6180</v>
      </c>
      <c r="D274" s="157">
        <v>16</v>
      </c>
      <c r="E274" s="157">
        <v>249</v>
      </c>
      <c r="F274" s="360">
        <v>4.95</v>
      </c>
      <c r="G274" s="89">
        <v>5.69</v>
      </c>
      <c r="Q274">
        <v>247</v>
      </c>
      <c r="S274" s="142" t="s">
        <v>6368</v>
      </c>
      <c r="T274" s="140" t="s">
        <v>333</v>
      </c>
      <c r="V274" s="141"/>
      <c r="Z274" t="s">
        <v>6228</v>
      </c>
      <c r="AA274">
        <v>32</v>
      </c>
    </row>
    <row r="275" spans="1:27">
      <c r="A275" s="156">
        <v>143</v>
      </c>
      <c r="B275" s="157" t="s">
        <v>6367</v>
      </c>
      <c r="C275" s="157" t="s">
        <v>6185</v>
      </c>
      <c r="D275" s="157">
        <v>250</v>
      </c>
      <c r="E275" s="157">
        <v>299</v>
      </c>
      <c r="F275" s="360">
        <v>5.45</v>
      </c>
      <c r="G275" s="89">
        <v>6.27</v>
      </c>
      <c r="Q275">
        <v>248</v>
      </c>
      <c r="S275" s="142" t="s">
        <v>6369</v>
      </c>
      <c r="T275" s="140" t="s">
        <v>333</v>
      </c>
      <c r="V275" s="141"/>
      <c r="Z275" t="s">
        <v>6228</v>
      </c>
      <c r="AA275">
        <v>33</v>
      </c>
    </row>
    <row r="276" spans="1:27">
      <c r="A276" s="156">
        <v>143</v>
      </c>
      <c r="B276" s="157" t="s">
        <v>6367</v>
      </c>
      <c r="C276" s="157" t="s">
        <v>6187</v>
      </c>
      <c r="D276" s="157">
        <v>300</v>
      </c>
      <c r="E276" s="157">
        <v>349</v>
      </c>
      <c r="F276" s="360">
        <v>5.94</v>
      </c>
      <c r="G276" s="89">
        <v>6.83</v>
      </c>
      <c r="Q276">
        <v>249</v>
      </c>
      <c r="S276" s="142" t="s">
        <v>6370</v>
      </c>
      <c r="T276" s="140" t="s">
        <v>333</v>
      </c>
      <c r="V276" s="141"/>
      <c r="Z276" t="s">
        <v>6228</v>
      </c>
      <c r="AA276">
        <v>34</v>
      </c>
    </row>
    <row r="277" spans="1:27">
      <c r="A277" s="156">
        <v>143</v>
      </c>
      <c r="B277" s="157" t="s">
        <v>6367</v>
      </c>
      <c r="C277" s="157" t="s">
        <v>6193</v>
      </c>
      <c r="D277" s="157">
        <v>350</v>
      </c>
      <c r="E277" s="157">
        <v>399</v>
      </c>
      <c r="F277" s="360">
        <v>6.44</v>
      </c>
      <c r="G277" s="89">
        <v>7.41</v>
      </c>
      <c r="Q277">
        <v>250</v>
      </c>
      <c r="S277" s="142" t="s">
        <v>6371</v>
      </c>
      <c r="T277" s="140" t="s">
        <v>333</v>
      </c>
      <c r="V277" s="141"/>
      <c r="Z277" t="s">
        <v>6228</v>
      </c>
      <c r="AA277">
        <v>35</v>
      </c>
    </row>
    <row r="278" spans="1:27">
      <c r="A278" s="156">
        <v>143</v>
      </c>
      <c r="B278" s="157" t="s">
        <v>6367</v>
      </c>
      <c r="C278" s="157" t="s">
        <v>6196</v>
      </c>
      <c r="D278" s="157">
        <v>400</v>
      </c>
      <c r="E278" s="157">
        <v>449</v>
      </c>
      <c r="F278" s="360">
        <v>6.93</v>
      </c>
      <c r="G278" s="89">
        <v>7.97</v>
      </c>
      <c r="Q278">
        <v>251</v>
      </c>
      <c r="S278" s="142" t="s">
        <v>6372</v>
      </c>
      <c r="T278" s="140" t="s">
        <v>333</v>
      </c>
      <c r="V278" s="141"/>
      <c r="Z278" t="s">
        <v>6228</v>
      </c>
      <c r="AA278">
        <v>36</v>
      </c>
    </row>
    <row r="279" spans="1:27">
      <c r="A279" s="156">
        <v>143</v>
      </c>
      <c r="B279" s="157" t="s">
        <v>6367</v>
      </c>
      <c r="C279" s="157" t="s">
        <v>6199</v>
      </c>
      <c r="D279" s="157">
        <v>450</v>
      </c>
      <c r="E279" s="157">
        <v>499</v>
      </c>
      <c r="F279" s="360">
        <v>7.42</v>
      </c>
      <c r="G279" s="89">
        <v>8.5299999999999994</v>
      </c>
      <c r="Q279">
        <v>252</v>
      </c>
      <c r="S279" s="142" t="s">
        <v>6373</v>
      </c>
      <c r="T279" s="140" t="s">
        <v>333</v>
      </c>
      <c r="V279" s="141"/>
      <c r="Z279" t="s">
        <v>6228</v>
      </c>
      <c r="AA279">
        <v>37</v>
      </c>
    </row>
    <row r="280" spans="1:27">
      <c r="A280" s="156">
        <v>143</v>
      </c>
      <c r="B280" s="157" t="s">
        <v>6367</v>
      </c>
      <c r="C280" s="157" t="s">
        <v>6201</v>
      </c>
      <c r="D280" s="157">
        <v>500</v>
      </c>
      <c r="E280" s="157">
        <v>549</v>
      </c>
      <c r="F280" s="360">
        <v>7.92</v>
      </c>
      <c r="G280" s="89">
        <v>9.11</v>
      </c>
      <c r="Q280">
        <v>253</v>
      </c>
      <c r="S280" s="142" t="s">
        <v>6374</v>
      </c>
      <c r="T280" s="140" t="s">
        <v>333</v>
      </c>
      <c r="V280" s="141"/>
      <c r="Z280" t="s">
        <v>6228</v>
      </c>
      <c r="AA280">
        <v>38</v>
      </c>
    </row>
    <row r="281" spans="1:27">
      <c r="A281" s="156">
        <v>143</v>
      </c>
      <c r="B281" s="157" t="s">
        <v>6367</v>
      </c>
      <c r="C281" s="157" t="s">
        <v>6203</v>
      </c>
      <c r="D281" s="157">
        <v>550</v>
      </c>
      <c r="E281" s="157">
        <v>599</v>
      </c>
      <c r="F281" s="360">
        <v>8.41</v>
      </c>
      <c r="G281" s="89">
        <v>9.67</v>
      </c>
      <c r="Q281">
        <v>254</v>
      </c>
      <c r="S281" s="142" t="s">
        <v>6375</v>
      </c>
      <c r="T281" s="140" t="s">
        <v>333</v>
      </c>
      <c r="V281" s="141"/>
      <c r="Z281" t="s">
        <v>6228</v>
      </c>
      <c r="AA281">
        <v>39</v>
      </c>
    </row>
    <row r="282" spans="1:27">
      <c r="A282" s="156">
        <v>143</v>
      </c>
      <c r="B282" s="157" t="s">
        <v>6367</v>
      </c>
      <c r="C282" s="157" t="s">
        <v>6205</v>
      </c>
      <c r="D282" s="157">
        <v>600</v>
      </c>
      <c r="E282" s="157">
        <v>649</v>
      </c>
      <c r="F282" s="360">
        <v>8.91</v>
      </c>
      <c r="G282" s="89">
        <v>10.25</v>
      </c>
      <c r="Q282">
        <v>255</v>
      </c>
      <c r="S282" s="142" t="s">
        <v>6376</v>
      </c>
      <c r="T282" s="140" t="s">
        <v>333</v>
      </c>
      <c r="V282" s="141"/>
      <c r="Z282" t="s">
        <v>6228</v>
      </c>
      <c r="AA282">
        <v>40</v>
      </c>
    </row>
    <row r="283" spans="1:27">
      <c r="A283" s="156">
        <v>143</v>
      </c>
      <c r="B283" s="157" t="s">
        <v>6367</v>
      </c>
      <c r="C283" s="157" t="s">
        <v>6207</v>
      </c>
      <c r="D283" s="157">
        <v>650</v>
      </c>
      <c r="E283" s="157">
        <v>699</v>
      </c>
      <c r="F283" s="360">
        <v>9.4</v>
      </c>
      <c r="G283" s="89">
        <v>10.81</v>
      </c>
      <c r="Q283">
        <v>256</v>
      </c>
      <c r="S283" s="142" t="s">
        <v>6377</v>
      </c>
      <c r="T283" s="140" t="s">
        <v>333</v>
      </c>
      <c r="V283" s="141"/>
      <c r="Z283" t="s">
        <v>6228</v>
      </c>
      <c r="AA283">
        <v>41</v>
      </c>
    </row>
    <row r="284" spans="1:27">
      <c r="A284" s="156">
        <v>143</v>
      </c>
      <c r="B284" s="157" t="s">
        <v>6367</v>
      </c>
      <c r="C284" s="157" t="s">
        <v>6211</v>
      </c>
      <c r="D284" s="157">
        <v>700</v>
      </c>
      <c r="E284" s="157">
        <v>749</v>
      </c>
      <c r="F284" s="360">
        <v>9.89</v>
      </c>
      <c r="G284" s="89">
        <v>11.37</v>
      </c>
      <c r="S284" s="142" t="s">
        <v>6378</v>
      </c>
      <c r="T284" s="140" t="s">
        <v>333</v>
      </c>
      <c r="V284" s="141"/>
      <c r="Z284" t="s">
        <v>6228</v>
      </c>
      <c r="AA284">
        <v>42</v>
      </c>
    </row>
    <row r="285" spans="1:27">
      <c r="A285" s="156">
        <v>143</v>
      </c>
      <c r="B285" s="157" t="s">
        <v>6367</v>
      </c>
      <c r="C285" s="157" t="s">
        <v>6212</v>
      </c>
      <c r="D285" s="157">
        <v>750</v>
      </c>
      <c r="E285" s="157">
        <v>799</v>
      </c>
      <c r="F285" s="360">
        <v>10.39</v>
      </c>
      <c r="G285" s="89">
        <v>11.95</v>
      </c>
      <c r="S285" s="142" t="s">
        <v>6379</v>
      </c>
      <c r="T285" s="140" t="s">
        <v>333</v>
      </c>
      <c r="V285" s="141"/>
      <c r="Z285" t="s">
        <v>6228</v>
      </c>
      <c r="AA285">
        <v>43</v>
      </c>
    </row>
    <row r="286" spans="1:27">
      <c r="A286" s="156">
        <v>143</v>
      </c>
      <c r="B286" s="157" t="s">
        <v>6367</v>
      </c>
      <c r="C286" s="157" t="s">
        <v>6213</v>
      </c>
      <c r="D286" s="157">
        <v>800</v>
      </c>
      <c r="E286" s="157">
        <v>849</v>
      </c>
      <c r="F286" s="360">
        <v>10.88</v>
      </c>
      <c r="G286" s="89">
        <v>12.51</v>
      </c>
      <c r="S286" s="142" t="s">
        <v>6380</v>
      </c>
      <c r="T286" s="140" t="s">
        <v>333</v>
      </c>
      <c r="V286" s="141"/>
      <c r="Z286" t="s">
        <v>6228</v>
      </c>
      <c r="AA286">
        <v>44</v>
      </c>
    </row>
    <row r="287" spans="1:27">
      <c r="A287" s="156">
        <v>143</v>
      </c>
      <c r="B287" s="157" t="s">
        <v>6367</v>
      </c>
      <c r="C287" s="157" t="s">
        <v>6216</v>
      </c>
      <c r="D287" s="157">
        <v>850</v>
      </c>
      <c r="E287" s="157">
        <v>899</v>
      </c>
      <c r="F287" s="360">
        <v>11.38</v>
      </c>
      <c r="G287" s="89">
        <v>13.09</v>
      </c>
      <c r="S287" s="142" t="s">
        <v>6381</v>
      </c>
      <c r="T287" s="140" t="s">
        <v>333</v>
      </c>
      <c r="V287" s="141"/>
      <c r="Z287" t="s">
        <v>6228</v>
      </c>
      <c r="AA287">
        <v>45</v>
      </c>
    </row>
    <row r="288" spans="1:27">
      <c r="A288" s="156">
        <v>143</v>
      </c>
      <c r="B288" s="157" t="s">
        <v>6367</v>
      </c>
      <c r="C288" s="157" t="s">
        <v>6221</v>
      </c>
      <c r="D288" s="157">
        <v>900</v>
      </c>
      <c r="E288" s="157">
        <v>949</v>
      </c>
      <c r="F288" s="360">
        <v>11.87</v>
      </c>
      <c r="G288" s="89">
        <v>13.65</v>
      </c>
      <c r="S288" s="142" t="s">
        <v>6382</v>
      </c>
      <c r="T288" s="140" t="s">
        <v>333</v>
      </c>
      <c r="V288" s="141"/>
      <c r="Z288" t="s">
        <v>6228</v>
      </c>
      <c r="AA288">
        <v>46</v>
      </c>
    </row>
    <row r="289" spans="1:27">
      <c r="A289" s="156">
        <v>143</v>
      </c>
      <c r="B289" s="157" t="s">
        <v>6367</v>
      </c>
      <c r="C289" s="157" t="s">
        <v>6222</v>
      </c>
      <c r="D289" s="157">
        <v>950</v>
      </c>
      <c r="E289" s="157">
        <v>999</v>
      </c>
      <c r="F289" s="360">
        <v>12.36</v>
      </c>
      <c r="G289" s="89">
        <v>14.21</v>
      </c>
      <c r="S289" s="142" t="s">
        <v>6383</v>
      </c>
      <c r="T289" s="140" t="s">
        <v>333</v>
      </c>
      <c r="V289" s="141"/>
      <c r="Z289" t="s">
        <v>6228</v>
      </c>
      <c r="AA289">
        <v>47</v>
      </c>
    </row>
    <row r="290" spans="1:27">
      <c r="A290" s="156">
        <v>143</v>
      </c>
      <c r="B290" s="157" t="s">
        <v>6367</v>
      </c>
      <c r="C290" s="157" t="s">
        <v>6224</v>
      </c>
      <c r="D290" s="157">
        <v>1000</v>
      </c>
      <c r="E290" s="157">
        <v>1499</v>
      </c>
      <c r="F290" s="360">
        <v>16.760000000000002</v>
      </c>
      <c r="G290" s="89">
        <v>19.27</v>
      </c>
      <c r="S290" s="142" t="s">
        <v>6384</v>
      </c>
      <c r="T290" s="140" t="s">
        <v>333</v>
      </c>
      <c r="V290" s="141"/>
      <c r="Z290" t="s">
        <v>6228</v>
      </c>
      <c r="AA290">
        <v>48</v>
      </c>
    </row>
    <row r="291" spans="1:27">
      <c r="A291" s="156">
        <v>143</v>
      </c>
      <c r="B291" s="157" t="s">
        <v>6367</v>
      </c>
      <c r="C291" s="157" t="s">
        <v>6227</v>
      </c>
      <c r="D291" s="157">
        <v>1500</v>
      </c>
      <c r="E291" s="157">
        <v>1999</v>
      </c>
      <c r="F291" s="360">
        <v>21.15</v>
      </c>
      <c r="G291" s="89">
        <v>24.32</v>
      </c>
      <c r="S291" s="142" t="s">
        <v>6385</v>
      </c>
      <c r="T291" s="140" t="s">
        <v>333</v>
      </c>
      <c r="V291" s="141"/>
      <c r="Z291" t="s">
        <v>6228</v>
      </c>
      <c r="AA291">
        <v>49</v>
      </c>
    </row>
    <row r="292" spans="1:27">
      <c r="A292" s="156">
        <v>143</v>
      </c>
      <c r="B292" s="157" t="s">
        <v>6367</v>
      </c>
      <c r="C292" s="157" t="s">
        <v>6229</v>
      </c>
      <c r="D292" s="157">
        <v>2000</v>
      </c>
      <c r="E292" s="157">
        <v>2499</v>
      </c>
      <c r="F292" s="360">
        <v>25.55</v>
      </c>
      <c r="G292" s="89">
        <v>29.38</v>
      </c>
      <c r="S292" s="142" t="s">
        <v>6386</v>
      </c>
      <c r="T292" s="140" t="s">
        <v>333</v>
      </c>
      <c r="V292" s="141"/>
      <c r="Z292" t="s">
        <v>6228</v>
      </c>
      <c r="AA292">
        <v>50</v>
      </c>
    </row>
    <row r="293" spans="1:27">
      <c r="A293" s="156">
        <v>143</v>
      </c>
      <c r="B293" s="157" t="s">
        <v>6367</v>
      </c>
      <c r="C293" s="157" t="s">
        <v>6231</v>
      </c>
      <c r="D293" s="157">
        <v>2500</v>
      </c>
      <c r="E293" s="157">
        <v>2999</v>
      </c>
      <c r="F293" s="360">
        <v>29.94</v>
      </c>
      <c r="G293" s="89">
        <v>34.43</v>
      </c>
      <c r="S293" s="142" t="s">
        <v>6387</v>
      </c>
      <c r="T293" s="140" t="s">
        <v>333</v>
      </c>
      <c r="V293" s="141"/>
      <c r="Z293" t="s">
        <v>6228</v>
      </c>
      <c r="AA293">
        <v>51</v>
      </c>
    </row>
    <row r="294" spans="1:27">
      <c r="A294" s="156">
        <v>143</v>
      </c>
      <c r="B294" s="157" t="s">
        <v>6367</v>
      </c>
      <c r="C294" s="157" t="s">
        <v>6234</v>
      </c>
      <c r="D294" s="157">
        <v>3000</v>
      </c>
      <c r="E294" s="157">
        <v>3499</v>
      </c>
      <c r="F294" s="360">
        <v>34.33</v>
      </c>
      <c r="G294" s="89">
        <v>39.479999999999997</v>
      </c>
      <c r="S294" s="142" t="s">
        <v>6388</v>
      </c>
      <c r="T294" s="140" t="s">
        <v>333</v>
      </c>
      <c r="V294" s="141"/>
      <c r="Z294" t="s">
        <v>6228</v>
      </c>
      <c r="AA294">
        <v>52</v>
      </c>
    </row>
    <row r="295" spans="1:27">
      <c r="A295" s="156">
        <v>143</v>
      </c>
      <c r="B295" s="157" t="s">
        <v>6367</v>
      </c>
      <c r="C295" s="157" t="s">
        <v>6236</v>
      </c>
      <c r="D295" s="157">
        <v>3500</v>
      </c>
      <c r="E295" s="157">
        <v>3999</v>
      </c>
      <c r="F295" s="360">
        <v>38.729999999999997</v>
      </c>
      <c r="G295" s="89">
        <v>44.54</v>
      </c>
      <c r="S295" s="142" t="s">
        <v>6389</v>
      </c>
      <c r="T295" s="140" t="s">
        <v>333</v>
      </c>
      <c r="V295" s="141"/>
      <c r="Z295" t="s">
        <v>6228</v>
      </c>
      <c r="AA295">
        <v>53</v>
      </c>
    </row>
    <row r="296" spans="1:27">
      <c r="A296" s="156">
        <v>143</v>
      </c>
      <c r="B296" s="157" t="s">
        <v>6367</v>
      </c>
      <c r="C296" s="157" t="s">
        <v>6238</v>
      </c>
      <c r="D296" s="157">
        <v>4000</v>
      </c>
      <c r="E296" s="157">
        <v>4499</v>
      </c>
      <c r="F296" s="360">
        <v>43.12</v>
      </c>
      <c r="G296" s="89">
        <v>49.59</v>
      </c>
      <c r="S296" s="142" t="s">
        <v>6390</v>
      </c>
      <c r="T296" s="140" t="s">
        <v>333</v>
      </c>
      <c r="V296" s="141"/>
      <c r="Z296" t="s">
        <v>6228</v>
      </c>
      <c r="AA296">
        <v>54</v>
      </c>
    </row>
    <row r="297" spans="1:27">
      <c r="A297" s="156">
        <v>143</v>
      </c>
      <c r="B297" s="157" t="s">
        <v>6367</v>
      </c>
      <c r="C297" s="157" t="s">
        <v>6240</v>
      </c>
      <c r="D297" s="157">
        <v>4500</v>
      </c>
      <c r="E297" s="157">
        <v>4999</v>
      </c>
      <c r="F297" s="360">
        <v>47.52</v>
      </c>
      <c r="G297" s="89">
        <v>54.65</v>
      </c>
      <c r="S297" s="142" t="s">
        <v>6391</v>
      </c>
      <c r="T297" s="140" t="s">
        <v>333</v>
      </c>
      <c r="V297" s="141"/>
      <c r="Z297" t="s">
        <v>6228</v>
      </c>
      <c r="AA297">
        <v>55</v>
      </c>
    </row>
    <row r="298" spans="1:27">
      <c r="A298" s="156">
        <v>143</v>
      </c>
      <c r="B298" s="157" t="s">
        <v>6367</v>
      </c>
      <c r="C298" s="157" t="s">
        <v>6241</v>
      </c>
      <c r="D298" s="157">
        <v>5000</v>
      </c>
      <c r="E298" s="157">
        <v>5499</v>
      </c>
      <c r="F298" s="360">
        <v>51.91</v>
      </c>
      <c r="G298" s="89">
        <v>59.7</v>
      </c>
      <c r="S298" s="142" t="s">
        <v>6392</v>
      </c>
      <c r="T298" s="140" t="s">
        <v>333</v>
      </c>
      <c r="V298" s="141"/>
      <c r="Z298" t="s">
        <v>6228</v>
      </c>
      <c r="AA298">
        <v>56</v>
      </c>
    </row>
    <row r="299" spans="1:27">
      <c r="A299" s="156">
        <v>143</v>
      </c>
      <c r="B299" s="157" t="s">
        <v>6367</v>
      </c>
      <c r="C299" s="157" t="s">
        <v>6242</v>
      </c>
      <c r="D299" s="157">
        <v>5500</v>
      </c>
      <c r="E299" s="157">
        <v>5999</v>
      </c>
      <c r="F299" s="360">
        <v>56.3</v>
      </c>
      <c r="G299" s="89">
        <v>64.75</v>
      </c>
      <c r="S299" s="142" t="s">
        <v>6393</v>
      </c>
      <c r="T299" s="140" t="s">
        <v>333</v>
      </c>
      <c r="V299" s="141"/>
      <c r="Z299" t="s">
        <v>6228</v>
      </c>
      <c r="AA299">
        <v>57</v>
      </c>
    </row>
    <row r="300" spans="1:27">
      <c r="A300" s="156">
        <v>143</v>
      </c>
      <c r="B300" s="157" t="s">
        <v>6367</v>
      </c>
      <c r="C300" s="157" t="s">
        <v>6246</v>
      </c>
      <c r="D300" s="157">
        <v>6000</v>
      </c>
      <c r="E300" s="157">
        <v>6499</v>
      </c>
      <c r="F300" s="360">
        <v>60.7</v>
      </c>
      <c r="G300" s="89">
        <v>69.81</v>
      </c>
      <c r="S300" s="142" t="s">
        <v>6394</v>
      </c>
      <c r="T300" s="140" t="s">
        <v>333</v>
      </c>
      <c r="V300" s="141"/>
      <c r="Z300" t="s">
        <v>6228</v>
      </c>
      <c r="AA300">
        <v>58</v>
      </c>
    </row>
    <row r="301" spans="1:27">
      <c r="A301" s="156">
        <v>143</v>
      </c>
      <c r="B301" s="157" t="s">
        <v>6367</v>
      </c>
      <c r="C301" s="157" t="s">
        <v>6247</v>
      </c>
      <c r="D301" s="157">
        <v>6500</v>
      </c>
      <c r="E301" s="157">
        <v>6999</v>
      </c>
      <c r="F301" s="360">
        <v>65.09</v>
      </c>
      <c r="G301" s="89">
        <v>74.849999999999994</v>
      </c>
      <c r="S301" s="142" t="s">
        <v>6395</v>
      </c>
      <c r="T301" s="140" t="s">
        <v>333</v>
      </c>
      <c r="V301" s="141"/>
      <c r="Z301" t="s">
        <v>6228</v>
      </c>
      <c r="AA301">
        <v>59</v>
      </c>
    </row>
    <row r="302" spans="1:27">
      <c r="A302" s="156">
        <v>143</v>
      </c>
      <c r="B302" s="157" t="s">
        <v>6367</v>
      </c>
      <c r="C302" s="157" t="s">
        <v>6248</v>
      </c>
      <c r="D302" s="157">
        <v>7000</v>
      </c>
      <c r="E302" s="157">
        <v>7499</v>
      </c>
      <c r="F302" s="360">
        <v>69.489999999999995</v>
      </c>
      <c r="G302" s="89">
        <v>79.91</v>
      </c>
      <c r="S302" s="142" t="s">
        <v>6396</v>
      </c>
      <c r="T302" s="140" t="s">
        <v>333</v>
      </c>
      <c r="V302" s="141"/>
      <c r="Z302" t="s">
        <v>6228</v>
      </c>
      <c r="AA302">
        <v>60</v>
      </c>
    </row>
    <row r="303" spans="1:27">
      <c r="A303" s="156">
        <v>143</v>
      </c>
      <c r="B303" s="157" t="s">
        <v>6367</v>
      </c>
      <c r="C303" s="157" t="s">
        <v>6250</v>
      </c>
      <c r="D303" s="157">
        <v>7500</v>
      </c>
      <c r="E303" s="157">
        <v>7999</v>
      </c>
      <c r="F303" s="360">
        <v>73.88</v>
      </c>
      <c r="G303" s="89">
        <v>84.96</v>
      </c>
      <c r="S303" s="142" t="s">
        <v>6397</v>
      </c>
      <c r="T303" s="140" t="s">
        <v>333</v>
      </c>
      <c r="V303" s="141"/>
      <c r="Z303" t="s">
        <v>6228</v>
      </c>
      <c r="AA303">
        <v>61</v>
      </c>
    </row>
    <row r="304" spans="1:27">
      <c r="A304" s="156">
        <v>143</v>
      </c>
      <c r="B304" s="157" t="s">
        <v>6367</v>
      </c>
      <c r="C304" s="157" t="s">
        <v>6252</v>
      </c>
      <c r="D304" s="157">
        <v>8000</v>
      </c>
      <c r="E304" s="157">
        <v>8499</v>
      </c>
      <c r="F304" s="360">
        <v>78.27</v>
      </c>
      <c r="G304" s="89">
        <v>90.01</v>
      </c>
      <c r="S304" s="142" t="s">
        <v>6398</v>
      </c>
      <c r="T304" s="140" t="s">
        <v>333</v>
      </c>
      <c r="V304" s="141"/>
      <c r="Z304" t="s">
        <v>6228</v>
      </c>
      <c r="AA304">
        <v>62</v>
      </c>
    </row>
    <row r="305" spans="1:27">
      <c r="A305" s="156">
        <v>143</v>
      </c>
      <c r="B305" s="157" t="s">
        <v>6367</v>
      </c>
      <c r="C305" s="157" t="s">
        <v>6255</v>
      </c>
      <c r="D305" s="157">
        <v>8500</v>
      </c>
      <c r="E305" s="157">
        <v>8999</v>
      </c>
      <c r="F305" s="360">
        <v>82.67</v>
      </c>
      <c r="G305" s="89">
        <v>95.07</v>
      </c>
      <c r="S305" s="142" t="s">
        <v>6399</v>
      </c>
      <c r="T305" s="140" t="s">
        <v>333</v>
      </c>
      <c r="V305" s="141"/>
      <c r="Z305" t="s">
        <v>6228</v>
      </c>
      <c r="AA305">
        <v>63</v>
      </c>
    </row>
    <row r="306" spans="1:27">
      <c r="A306" s="156">
        <v>143</v>
      </c>
      <c r="B306" s="157" t="s">
        <v>6367</v>
      </c>
      <c r="C306" s="157" t="s">
        <v>6256</v>
      </c>
      <c r="D306" s="157">
        <v>9000</v>
      </c>
      <c r="E306" s="157">
        <v>9499</v>
      </c>
      <c r="F306" s="360">
        <v>87.06</v>
      </c>
      <c r="G306" s="89">
        <v>100.12</v>
      </c>
      <c r="S306" s="142" t="s">
        <v>6400</v>
      </c>
      <c r="T306" s="140" t="s">
        <v>333</v>
      </c>
      <c r="V306" s="141"/>
      <c r="Z306" t="s">
        <v>6228</v>
      </c>
      <c r="AA306">
        <v>64</v>
      </c>
    </row>
    <row r="307" spans="1:27">
      <c r="A307" s="159">
        <v>143</v>
      </c>
      <c r="B307" s="160" t="s">
        <v>6367</v>
      </c>
      <c r="C307" s="160" t="s">
        <v>6257</v>
      </c>
      <c r="D307" s="160">
        <v>9500</v>
      </c>
      <c r="E307" s="160">
        <v>10000</v>
      </c>
      <c r="F307" s="360">
        <v>91.46</v>
      </c>
      <c r="G307" s="89">
        <v>105.18</v>
      </c>
      <c r="S307" s="142" t="s">
        <v>6401</v>
      </c>
      <c r="T307" s="140" t="s">
        <v>333</v>
      </c>
      <c r="V307" s="141"/>
      <c r="Z307" t="s">
        <v>6228</v>
      </c>
      <c r="AA307">
        <v>65</v>
      </c>
    </row>
    <row r="308" spans="1:27">
      <c r="S308" s="142" t="s">
        <v>6402</v>
      </c>
      <c r="T308" s="140" t="s">
        <v>333</v>
      </c>
      <c r="V308" s="141"/>
      <c r="Z308" t="s">
        <v>6228</v>
      </c>
      <c r="AA308">
        <v>66</v>
      </c>
    </row>
    <row r="309" spans="1:27">
      <c r="S309" s="142" t="s">
        <v>6403</v>
      </c>
      <c r="T309" s="140" t="s">
        <v>333</v>
      </c>
      <c r="V309" s="141"/>
      <c r="Z309" t="s">
        <v>6228</v>
      </c>
      <c r="AA309">
        <v>67</v>
      </c>
    </row>
    <row r="310" spans="1:27">
      <c r="S310" s="142" t="s">
        <v>6404</v>
      </c>
      <c r="T310" s="140" t="s">
        <v>333</v>
      </c>
      <c r="V310" s="141"/>
      <c r="Z310" t="s">
        <v>6228</v>
      </c>
      <c r="AA310">
        <v>68</v>
      </c>
    </row>
    <row r="311" spans="1:27">
      <c r="S311" s="142" t="s">
        <v>6405</v>
      </c>
      <c r="T311" s="140" t="s">
        <v>333</v>
      </c>
      <c r="V311" s="141"/>
      <c r="Z311" t="s">
        <v>6228</v>
      </c>
      <c r="AA311">
        <v>69</v>
      </c>
    </row>
    <row r="312" spans="1:27">
      <c r="S312" s="142" t="s">
        <v>6406</v>
      </c>
      <c r="T312" s="140" t="s">
        <v>333</v>
      </c>
      <c r="V312" s="141"/>
      <c r="Z312" t="s">
        <v>6228</v>
      </c>
      <c r="AA312">
        <v>70</v>
      </c>
    </row>
    <row r="313" spans="1:27">
      <c r="S313" s="142" t="s">
        <v>6407</v>
      </c>
      <c r="T313" s="140" t="s">
        <v>333</v>
      </c>
      <c r="V313" s="141"/>
      <c r="Z313" t="s">
        <v>6228</v>
      </c>
      <c r="AA313">
        <v>71</v>
      </c>
    </row>
    <row r="314" spans="1:27">
      <c r="S314" s="142" t="s">
        <v>6408</v>
      </c>
      <c r="T314" s="140" t="s">
        <v>333</v>
      </c>
      <c r="V314" s="141"/>
      <c r="Z314" t="s">
        <v>6228</v>
      </c>
      <c r="AA314">
        <v>72</v>
      </c>
    </row>
    <row r="315" spans="1:27">
      <c r="S315" s="142" t="s">
        <v>6409</v>
      </c>
      <c r="T315" s="140" t="s">
        <v>333</v>
      </c>
      <c r="V315" s="141"/>
      <c r="Z315" t="s">
        <v>6228</v>
      </c>
      <c r="AA315">
        <v>73</v>
      </c>
    </row>
    <row r="316" spans="1:27">
      <c r="S316" s="142" t="s">
        <v>6410</v>
      </c>
      <c r="T316" s="140" t="s">
        <v>333</v>
      </c>
      <c r="V316" s="141"/>
      <c r="Z316" t="s">
        <v>6228</v>
      </c>
      <c r="AA316">
        <v>74</v>
      </c>
    </row>
    <row r="317" spans="1:27">
      <c r="S317" s="142" t="s">
        <v>6411</v>
      </c>
      <c r="T317" s="140" t="s">
        <v>333</v>
      </c>
      <c r="V317" s="141"/>
      <c r="Z317" t="s">
        <v>6228</v>
      </c>
      <c r="AA317">
        <v>75</v>
      </c>
    </row>
    <row r="318" spans="1:27">
      <c r="S318" s="142" t="s">
        <v>6412</v>
      </c>
      <c r="T318" s="140" t="s">
        <v>333</v>
      </c>
      <c r="V318" s="141"/>
      <c r="Z318" t="s">
        <v>6228</v>
      </c>
      <c r="AA318">
        <v>76</v>
      </c>
    </row>
    <row r="319" spans="1:27">
      <c r="S319" s="142" t="s">
        <v>6413</v>
      </c>
      <c r="T319" s="140" t="s">
        <v>333</v>
      </c>
      <c r="V319" s="141"/>
      <c r="Z319" t="s">
        <v>6228</v>
      </c>
      <c r="AA319">
        <v>77</v>
      </c>
    </row>
    <row r="320" spans="1:27">
      <c r="S320" s="142" t="s">
        <v>6414</v>
      </c>
      <c r="T320" s="140" t="s">
        <v>333</v>
      </c>
      <c r="V320" s="141"/>
      <c r="Z320" t="s">
        <v>6228</v>
      </c>
      <c r="AA320">
        <v>78</v>
      </c>
    </row>
    <row r="321" spans="19:27">
      <c r="S321" s="142" t="s">
        <v>6415</v>
      </c>
      <c r="T321" s="140" t="s">
        <v>333</v>
      </c>
      <c r="V321" s="141"/>
      <c r="Z321" t="s">
        <v>6228</v>
      </c>
      <c r="AA321">
        <v>79</v>
      </c>
    </row>
    <row r="322" spans="19:27">
      <c r="S322" s="142" t="s">
        <v>6416</v>
      </c>
      <c r="T322" s="140" t="s">
        <v>333</v>
      </c>
      <c r="V322" s="141"/>
      <c r="Z322" t="s">
        <v>6228</v>
      </c>
      <c r="AA322">
        <v>80</v>
      </c>
    </row>
    <row r="323" spans="19:27">
      <c r="S323" s="142" t="s">
        <v>6417</v>
      </c>
      <c r="T323" s="140" t="s">
        <v>333</v>
      </c>
      <c r="V323" s="141"/>
      <c r="Z323" t="s">
        <v>6228</v>
      </c>
      <c r="AA323">
        <v>81</v>
      </c>
    </row>
    <row r="324" spans="19:27">
      <c r="S324" s="142" t="s">
        <v>6418</v>
      </c>
      <c r="T324" s="140" t="s">
        <v>333</v>
      </c>
      <c r="V324" s="141"/>
      <c r="Z324" t="s">
        <v>6228</v>
      </c>
      <c r="AA324">
        <v>82</v>
      </c>
    </row>
    <row r="325" spans="19:27">
      <c r="S325" s="142" t="s">
        <v>6419</v>
      </c>
      <c r="T325" s="140" t="s">
        <v>333</v>
      </c>
      <c r="V325" s="141"/>
      <c r="Z325" t="s">
        <v>6228</v>
      </c>
      <c r="AA325">
        <v>83</v>
      </c>
    </row>
    <row r="326" spans="19:27">
      <c r="S326" s="142" t="s">
        <v>6420</v>
      </c>
      <c r="T326" s="140" t="s">
        <v>333</v>
      </c>
      <c r="V326" s="141"/>
      <c r="Z326" t="s">
        <v>6228</v>
      </c>
      <c r="AA326">
        <v>84</v>
      </c>
    </row>
    <row r="327" spans="19:27">
      <c r="S327" s="142" t="s">
        <v>6421</v>
      </c>
      <c r="T327" s="140" t="s">
        <v>333</v>
      </c>
      <c r="V327" s="141"/>
      <c r="Z327" t="s">
        <v>6228</v>
      </c>
      <c r="AA327">
        <v>85</v>
      </c>
    </row>
    <row r="328" spans="19:27">
      <c r="S328" s="142" t="s">
        <v>6422</v>
      </c>
      <c r="T328" s="140" t="s">
        <v>333</v>
      </c>
      <c r="V328" s="141"/>
      <c r="Z328" t="s">
        <v>6228</v>
      </c>
      <c r="AA328">
        <v>86</v>
      </c>
    </row>
    <row r="329" spans="19:27">
      <c r="S329" s="142" t="s">
        <v>6423</v>
      </c>
      <c r="T329" s="140" t="s">
        <v>333</v>
      </c>
      <c r="V329" s="141"/>
      <c r="Z329" t="s">
        <v>6228</v>
      </c>
      <c r="AA329">
        <v>87</v>
      </c>
    </row>
    <row r="330" spans="19:27">
      <c r="S330" s="142" t="s">
        <v>6424</v>
      </c>
      <c r="T330" s="140" t="s">
        <v>333</v>
      </c>
      <c r="V330" s="141"/>
      <c r="Z330" t="s">
        <v>6228</v>
      </c>
      <c r="AA330">
        <v>88</v>
      </c>
    </row>
    <row r="331" spans="19:27">
      <c r="S331" s="142" t="s">
        <v>6425</v>
      </c>
      <c r="T331" s="140" t="s">
        <v>333</v>
      </c>
      <c r="V331" s="141"/>
      <c r="Z331" t="s">
        <v>6228</v>
      </c>
      <c r="AA331">
        <v>89</v>
      </c>
    </row>
    <row r="332" spans="19:27">
      <c r="S332" s="142" t="s">
        <v>6426</v>
      </c>
      <c r="T332" s="140" t="s">
        <v>333</v>
      </c>
      <c r="V332" s="141"/>
      <c r="Z332" t="s">
        <v>6228</v>
      </c>
      <c r="AA332">
        <v>90</v>
      </c>
    </row>
    <row r="333" spans="19:27">
      <c r="S333" s="142" t="s">
        <v>6427</v>
      </c>
      <c r="T333" s="140" t="s">
        <v>333</v>
      </c>
      <c r="V333" s="141"/>
      <c r="Z333" t="s">
        <v>6228</v>
      </c>
      <c r="AA333">
        <v>91</v>
      </c>
    </row>
    <row r="334" spans="19:27">
      <c r="S334" s="142" t="s">
        <v>6428</v>
      </c>
      <c r="T334" s="140" t="s">
        <v>333</v>
      </c>
      <c r="V334" s="141"/>
      <c r="Z334" t="s">
        <v>6228</v>
      </c>
      <c r="AA334">
        <v>92</v>
      </c>
    </row>
    <row r="335" spans="19:27">
      <c r="S335" s="142" t="s">
        <v>6429</v>
      </c>
      <c r="T335" s="140" t="s">
        <v>333</v>
      </c>
      <c r="V335" s="141"/>
      <c r="Z335" t="s">
        <v>6228</v>
      </c>
      <c r="AA335">
        <v>93</v>
      </c>
    </row>
    <row r="336" spans="19:27">
      <c r="S336" s="142" t="s">
        <v>6430</v>
      </c>
      <c r="T336" s="140" t="s">
        <v>333</v>
      </c>
      <c r="V336" s="141"/>
      <c r="Z336" t="s">
        <v>6228</v>
      </c>
      <c r="AA336">
        <v>94</v>
      </c>
    </row>
    <row r="337" spans="19:27">
      <c r="S337" s="142" t="s">
        <v>6431</v>
      </c>
      <c r="T337" s="140" t="s">
        <v>333</v>
      </c>
      <c r="V337" s="141"/>
      <c r="Z337" t="s">
        <v>6228</v>
      </c>
      <c r="AA337">
        <v>95</v>
      </c>
    </row>
    <row r="338" spans="19:27">
      <c r="S338" s="142" t="s">
        <v>6432</v>
      </c>
      <c r="T338" s="140" t="s">
        <v>333</v>
      </c>
      <c r="V338" s="141"/>
      <c r="Z338" t="s">
        <v>6228</v>
      </c>
      <c r="AA338">
        <v>96</v>
      </c>
    </row>
    <row r="339" spans="19:27">
      <c r="Z339" t="s">
        <v>6228</v>
      </c>
      <c r="AA339">
        <v>97</v>
      </c>
    </row>
    <row r="340" spans="19:27">
      <c r="Z340" t="s">
        <v>6228</v>
      </c>
      <c r="AA340">
        <v>98</v>
      </c>
    </row>
    <row r="341" spans="19:27">
      <c r="Z341" t="s">
        <v>6228</v>
      </c>
      <c r="AA341">
        <v>99</v>
      </c>
    </row>
    <row r="342" spans="19:27">
      <c r="Z342" t="s">
        <v>6228</v>
      </c>
      <c r="AA342">
        <v>100</v>
      </c>
    </row>
    <row r="343" spans="19:27">
      <c r="Z343" t="s">
        <v>6228</v>
      </c>
      <c r="AA343">
        <v>101</v>
      </c>
    </row>
    <row r="344" spans="19:27">
      <c r="Z344" t="s">
        <v>6228</v>
      </c>
      <c r="AA344">
        <v>102</v>
      </c>
    </row>
    <row r="345" spans="19:27">
      <c r="Z345" t="s">
        <v>6228</v>
      </c>
      <c r="AA345">
        <v>103</v>
      </c>
    </row>
    <row r="346" spans="19:27">
      <c r="Z346" t="s">
        <v>6228</v>
      </c>
      <c r="AA346">
        <v>104</v>
      </c>
    </row>
    <row r="347" spans="19:27">
      <c r="Z347" t="s">
        <v>6228</v>
      </c>
      <c r="AA347">
        <v>105</v>
      </c>
    </row>
    <row r="348" spans="19:27">
      <c r="Z348" t="s">
        <v>6228</v>
      </c>
      <c r="AA348">
        <v>106</v>
      </c>
    </row>
    <row r="349" spans="19:27">
      <c r="Z349" t="s">
        <v>6228</v>
      </c>
      <c r="AA349">
        <v>107</v>
      </c>
    </row>
    <row r="350" spans="19:27">
      <c r="Z350" t="s">
        <v>6228</v>
      </c>
      <c r="AA350">
        <v>108</v>
      </c>
    </row>
    <row r="351" spans="19:27">
      <c r="Z351" t="s">
        <v>6228</v>
      </c>
      <c r="AA351">
        <v>109</v>
      </c>
    </row>
    <row r="352" spans="19:27">
      <c r="Z352" t="s">
        <v>6228</v>
      </c>
      <c r="AA352">
        <v>110</v>
      </c>
    </row>
    <row r="353" spans="26:27">
      <c r="Z353" t="s">
        <v>6228</v>
      </c>
      <c r="AA353">
        <v>111</v>
      </c>
    </row>
    <row r="354" spans="26:27">
      <c r="Z354" t="s">
        <v>6228</v>
      </c>
      <c r="AA354">
        <v>112</v>
      </c>
    </row>
    <row r="355" spans="26:27">
      <c r="Z355" t="s">
        <v>6228</v>
      </c>
      <c r="AA355">
        <v>113</v>
      </c>
    </row>
    <row r="356" spans="26:27">
      <c r="Z356" t="s">
        <v>6228</v>
      </c>
      <c r="AA356">
        <v>114</v>
      </c>
    </row>
    <row r="357" spans="26:27">
      <c r="Z357" t="s">
        <v>6228</v>
      </c>
      <c r="AA357">
        <v>115</v>
      </c>
    </row>
    <row r="358" spans="26:27">
      <c r="Z358" t="s">
        <v>6228</v>
      </c>
      <c r="AA358">
        <v>116</v>
      </c>
    </row>
    <row r="359" spans="26:27">
      <c r="Z359" t="s">
        <v>6228</v>
      </c>
      <c r="AA359">
        <v>117</v>
      </c>
    </row>
    <row r="360" spans="26:27">
      <c r="Z360" t="s">
        <v>6228</v>
      </c>
      <c r="AA360">
        <v>118</v>
      </c>
    </row>
    <row r="361" spans="26:27">
      <c r="Z361" t="s">
        <v>6228</v>
      </c>
      <c r="AA361">
        <v>119</v>
      </c>
    </row>
    <row r="362" spans="26:27">
      <c r="Z362" t="s">
        <v>6228</v>
      </c>
      <c r="AA362">
        <v>120</v>
      </c>
    </row>
    <row r="363" spans="26:27">
      <c r="Z363" t="s">
        <v>6228</v>
      </c>
      <c r="AA363">
        <v>121</v>
      </c>
    </row>
    <row r="364" spans="26:27">
      <c r="Z364" t="s">
        <v>6228</v>
      </c>
      <c r="AA364">
        <v>122</v>
      </c>
    </row>
    <row r="365" spans="26:27">
      <c r="Z365" t="s">
        <v>6228</v>
      </c>
      <c r="AA365">
        <v>123</v>
      </c>
    </row>
    <row r="366" spans="26:27">
      <c r="Z366" t="s">
        <v>6228</v>
      </c>
      <c r="AA366">
        <v>124</v>
      </c>
    </row>
    <row r="367" spans="26:27">
      <c r="Z367" t="s">
        <v>6228</v>
      </c>
      <c r="AA367">
        <v>125</v>
      </c>
    </row>
    <row r="368" spans="26:27">
      <c r="Z368" t="s">
        <v>6228</v>
      </c>
      <c r="AA368">
        <v>126</v>
      </c>
    </row>
    <row r="369" spans="26:27">
      <c r="Z369" t="s">
        <v>6228</v>
      </c>
      <c r="AA369">
        <v>127</v>
      </c>
    </row>
    <row r="370" spans="26:27">
      <c r="Z370" t="s">
        <v>6228</v>
      </c>
      <c r="AA370">
        <v>128</v>
      </c>
    </row>
    <row r="371" spans="26:27">
      <c r="Z371" t="s">
        <v>6228</v>
      </c>
      <c r="AA371">
        <v>129</v>
      </c>
    </row>
    <row r="372" spans="26:27">
      <c r="Z372" t="s">
        <v>6228</v>
      </c>
      <c r="AA372">
        <v>130</v>
      </c>
    </row>
    <row r="373" spans="26:27">
      <c r="Z373" t="s">
        <v>6228</v>
      </c>
      <c r="AA373">
        <v>131</v>
      </c>
    </row>
    <row r="374" spans="26:27">
      <c r="Z374" t="s">
        <v>6228</v>
      </c>
      <c r="AA374">
        <v>132</v>
      </c>
    </row>
    <row r="375" spans="26:27">
      <c r="Z375" t="s">
        <v>6228</v>
      </c>
      <c r="AA375">
        <v>133</v>
      </c>
    </row>
    <row r="376" spans="26:27">
      <c r="Z376" t="s">
        <v>6228</v>
      </c>
      <c r="AA376">
        <v>134</v>
      </c>
    </row>
    <row r="377" spans="26:27">
      <c r="Z377" t="s">
        <v>6228</v>
      </c>
      <c r="AA377">
        <v>135</v>
      </c>
    </row>
    <row r="378" spans="26:27">
      <c r="Z378" t="s">
        <v>6228</v>
      </c>
      <c r="AA378">
        <v>136</v>
      </c>
    </row>
    <row r="379" spans="26:27">
      <c r="Z379" t="s">
        <v>6228</v>
      </c>
      <c r="AA379">
        <v>137</v>
      </c>
    </row>
    <row r="380" spans="26:27">
      <c r="Z380" t="s">
        <v>6228</v>
      </c>
      <c r="AA380">
        <v>138</v>
      </c>
    </row>
    <row r="381" spans="26:27">
      <c r="Z381" t="s">
        <v>6228</v>
      </c>
      <c r="AA381">
        <v>139</v>
      </c>
    </row>
    <row r="382" spans="26:27">
      <c r="Z382" t="s">
        <v>6228</v>
      </c>
      <c r="AA382">
        <v>140</v>
      </c>
    </row>
    <row r="383" spans="26:27">
      <c r="Z383" t="s">
        <v>6228</v>
      </c>
      <c r="AA383">
        <v>141</v>
      </c>
    </row>
    <row r="384" spans="26:27">
      <c r="Z384" t="s">
        <v>6228</v>
      </c>
      <c r="AA384">
        <v>142</v>
      </c>
    </row>
    <row r="385" spans="26:27">
      <c r="Z385" t="s">
        <v>6228</v>
      </c>
      <c r="AA385">
        <v>143</v>
      </c>
    </row>
    <row r="386" spans="26:27">
      <c r="Z386" t="s">
        <v>6228</v>
      </c>
      <c r="AA386">
        <v>144</v>
      </c>
    </row>
    <row r="387" spans="26:27">
      <c r="Z387" t="s">
        <v>6228</v>
      </c>
      <c r="AA387">
        <v>145</v>
      </c>
    </row>
    <row r="388" spans="26:27">
      <c r="Z388" t="s">
        <v>6228</v>
      </c>
      <c r="AA388">
        <v>146</v>
      </c>
    </row>
    <row r="389" spans="26:27">
      <c r="Z389" t="s">
        <v>6228</v>
      </c>
      <c r="AA389">
        <v>147</v>
      </c>
    </row>
    <row r="390" spans="26:27">
      <c r="Z390" t="s">
        <v>6228</v>
      </c>
      <c r="AA390">
        <v>148</v>
      </c>
    </row>
    <row r="391" spans="26:27">
      <c r="Z391" t="s">
        <v>6228</v>
      </c>
      <c r="AA391">
        <v>149</v>
      </c>
    </row>
    <row r="392" spans="26:27">
      <c r="Z392" t="s">
        <v>6228</v>
      </c>
      <c r="AA392">
        <v>150</v>
      </c>
    </row>
    <row r="393" spans="26:27">
      <c r="Z393" t="s">
        <v>6228</v>
      </c>
      <c r="AA393">
        <v>151</v>
      </c>
    </row>
    <row r="394" spans="26:27">
      <c r="Z394" t="s">
        <v>6228</v>
      </c>
      <c r="AA394">
        <v>152</v>
      </c>
    </row>
    <row r="395" spans="26:27">
      <c r="Z395" t="s">
        <v>6228</v>
      </c>
      <c r="AA395">
        <v>153</v>
      </c>
    </row>
    <row r="396" spans="26:27">
      <c r="Z396" t="s">
        <v>6228</v>
      </c>
      <c r="AA396">
        <v>154</v>
      </c>
    </row>
    <row r="397" spans="26:27">
      <c r="Z397" t="s">
        <v>6228</v>
      </c>
      <c r="AA397">
        <v>155</v>
      </c>
    </row>
    <row r="398" spans="26:27">
      <c r="Z398" t="s">
        <v>6228</v>
      </c>
      <c r="AA398">
        <v>156</v>
      </c>
    </row>
    <row r="399" spans="26:27">
      <c r="Z399" t="s">
        <v>6228</v>
      </c>
      <c r="AA399">
        <v>157</v>
      </c>
    </row>
    <row r="400" spans="26:27">
      <c r="Z400" t="s">
        <v>6228</v>
      </c>
      <c r="AA400">
        <v>158</v>
      </c>
    </row>
    <row r="401" spans="26:27">
      <c r="Z401" t="s">
        <v>6228</v>
      </c>
      <c r="AA401">
        <v>159</v>
      </c>
    </row>
    <row r="402" spans="26:27">
      <c r="Z402" t="s">
        <v>6228</v>
      </c>
      <c r="AA402">
        <v>160</v>
      </c>
    </row>
    <row r="403" spans="26:27">
      <c r="Z403" t="s">
        <v>6228</v>
      </c>
      <c r="AA403">
        <v>161</v>
      </c>
    </row>
    <row r="404" spans="26:27">
      <c r="Z404" t="s">
        <v>6228</v>
      </c>
      <c r="AA404">
        <v>162</v>
      </c>
    </row>
    <row r="405" spans="26:27">
      <c r="Z405" t="s">
        <v>6228</v>
      </c>
      <c r="AA405">
        <v>163</v>
      </c>
    </row>
    <row r="406" spans="26:27">
      <c r="Z406" t="s">
        <v>6228</v>
      </c>
      <c r="AA406">
        <v>164</v>
      </c>
    </row>
    <row r="407" spans="26:27">
      <c r="Z407" t="s">
        <v>6228</v>
      </c>
      <c r="AA407">
        <v>165</v>
      </c>
    </row>
    <row r="408" spans="26:27">
      <c r="Z408" t="s">
        <v>6228</v>
      </c>
      <c r="AA408">
        <v>166</v>
      </c>
    </row>
    <row r="409" spans="26:27">
      <c r="Z409" t="s">
        <v>6228</v>
      </c>
      <c r="AA409">
        <v>167</v>
      </c>
    </row>
    <row r="410" spans="26:27">
      <c r="Z410" t="s">
        <v>6228</v>
      </c>
      <c r="AA410">
        <v>168</v>
      </c>
    </row>
    <row r="411" spans="26:27">
      <c r="Z411" t="s">
        <v>6228</v>
      </c>
      <c r="AA411">
        <v>169</v>
      </c>
    </row>
    <row r="412" spans="26:27">
      <c r="Z412" t="s">
        <v>6228</v>
      </c>
      <c r="AA412">
        <v>170</v>
      </c>
    </row>
    <row r="413" spans="26:27">
      <c r="Z413" t="s">
        <v>6228</v>
      </c>
      <c r="AA413">
        <v>171</v>
      </c>
    </row>
    <row r="414" spans="26:27">
      <c r="Z414" t="s">
        <v>6228</v>
      </c>
      <c r="AA414">
        <v>172</v>
      </c>
    </row>
    <row r="415" spans="26:27">
      <c r="Z415" t="s">
        <v>6228</v>
      </c>
      <c r="AA415">
        <v>173</v>
      </c>
    </row>
    <row r="416" spans="26:27">
      <c r="Z416" t="s">
        <v>6228</v>
      </c>
      <c r="AA416">
        <v>174</v>
      </c>
    </row>
    <row r="417" spans="26:27">
      <c r="Z417" t="s">
        <v>6228</v>
      </c>
      <c r="AA417">
        <v>175</v>
      </c>
    </row>
    <row r="418" spans="26:27">
      <c r="Z418" t="s">
        <v>6228</v>
      </c>
      <c r="AA418">
        <v>176</v>
      </c>
    </row>
    <row r="419" spans="26:27">
      <c r="Z419" t="s">
        <v>6228</v>
      </c>
      <c r="AA419">
        <v>177</v>
      </c>
    </row>
    <row r="420" spans="26:27">
      <c r="Z420" t="s">
        <v>6228</v>
      </c>
      <c r="AA420">
        <v>178</v>
      </c>
    </row>
    <row r="421" spans="26:27">
      <c r="Z421" t="s">
        <v>6228</v>
      </c>
      <c r="AA421">
        <v>179</v>
      </c>
    </row>
    <row r="422" spans="26:27">
      <c r="Z422" t="s">
        <v>6228</v>
      </c>
      <c r="AA422">
        <v>180</v>
      </c>
    </row>
    <row r="423" spans="26:27">
      <c r="Z423" t="s">
        <v>6228</v>
      </c>
      <c r="AA423">
        <v>181</v>
      </c>
    </row>
    <row r="424" spans="26:27">
      <c r="Z424" t="s">
        <v>6228</v>
      </c>
      <c r="AA424">
        <v>182</v>
      </c>
    </row>
    <row r="425" spans="26:27">
      <c r="Z425" t="s">
        <v>6228</v>
      </c>
      <c r="AA425">
        <v>183</v>
      </c>
    </row>
    <row r="426" spans="26:27">
      <c r="Z426" t="s">
        <v>6228</v>
      </c>
      <c r="AA426">
        <v>184</v>
      </c>
    </row>
    <row r="427" spans="26:27">
      <c r="Z427" t="s">
        <v>6228</v>
      </c>
      <c r="AA427">
        <v>185</v>
      </c>
    </row>
    <row r="428" spans="26:27">
      <c r="Z428" t="s">
        <v>6228</v>
      </c>
      <c r="AA428">
        <v>186</v>
      </c>
    </row>
    <row r="429" spans="26:27">
      <c r="Z429" t="s">
        <v>6228</v>
      </c>
      <c r="AA429">
        <v>187</v>
      </c>
    </row>
    <row r="430" spans="26:27">
      <c r="Z430" t="s">
        <v>6228</v>
      </c>
      <c r="AA430">
        <v>188</v>
      </c>
    </row>
    <row r="431" spans="26:27">
      <c r="Z431" t="s">
        <v>6228</v>
      </c>
      <c r="AA431">
        <v>189</v>
      </c>
    </row>
    <row r="432" spans="26:27">
      <c r="Z432" t="s">
        <v>6228</v>
      </c>
      <c r="AA432">
        <v>190</v>
      </c>
    </row>
    <row r="433" spans="26:27">
      <c r="Z433" t="s">
        <v>6228</v>
      </c>
      <c r="AA433">
        <v>191</v>
      </c>
    </row>
    <row r="434" spans="26:27">
      <c r="Z434" t="s">
        <v>6228</v>
      </c>
      <c r="AA434">
        <v>192</v>
      </c>
    </row>
    <row r="435" spans="26:27">
      <c r="Z435" t="s">
        <v>6228</v>
      </c>
      <c r="AA435">
        <v>193</v>
      </c>
    </row>
    <row r="436" spans="26:27">
      <c r="Z436" t="s">
        <v>6228</v>
      </c>
      <c r="AA436">
        <v>194</v>
      </c>
    </row>
    <row r="437" spans="26:27">
      <c r="Z437" t="s">
        <v>6228</v>
      </c>
      <c r="AA437">
        <v>195</v>
      </c>
    </row>
    <row r="438" spans="26:27">
      <c r="Z438" t="s">
        <v>6228</v>
      </c>
      <c r="AA438">
        <v>196</v>
      </c>
    </row>
    <row r="439" spans="26:27">
      <c r="Z439" t="s">
        <v>6228</v>
      </c>
      <c r="AA439">
        <v>197</v>
      </c>
    </row>
    <row r="440" spans="26:27">
      <c r="Z440" t="s">
        <v>6228</v>
      </c>
      <c r="AA440">
        <v>198</v>
      </c>
    </row>
    <row r="441" spans="26:27">
      <c r="Z441" t="s">
        <v>6228</v>
      </c>
      <c r="AA441">
        <v>199</v>
      </c>
    </row>
    <row r="442" spans="26:27">
      <c r="Z442" t="s">
        <v>6228</v>
      </c>
      <c r="AA442">
        <v>200</v>
      </c>
    </row>
    <row r="443" spans="26:27">
      <c r="Z443" t="s">
        <v>6228</v>
      </c>
      <c r="AA443">
        <v>201</v>
      </c>
    </row>
    <row r="444" spans="26:27">
      <c r="Z444" t="s">
        <v>6228</v>
      </c>
      <c r="AA444">
        <v>202</v>
      </c>
    </row>
    <row r="445" spans="26:27">
      <c r="Z445" t="s">
        <v>6228</v>
      </c>
      <c r="AA445">
        <v>203</v>
      </c>
    </row>
    <row r="446" spans="26:27">
      <c r="Z446" t="s">
        <v>6228</v>
      </c>
      <c r="AA446">
        <v>204</v>
      </c>
    </row>
    <row r="447" spans="26:27">
      <c r="Z447" t="s">
        <v>6228</v>
      </c>
      <c r="AA447">
        <v>205</v>
      </c>
    </row>
    <row r="448" spans="26:27">
      <c r="Z448" t="s">
        <v>6228</v>
      </c>
      <c r="AA448">
        <v>206</v>
      </c>
    </row>
    <row r="449" spans="26:27">
      <c r="Z449" t="s">
        <v>6228</v>
      </c>
      <c r="AA449">
        <v>207</v>
      </c>
    </row>
    <row r="450" spans="26:27">
      <c r="Z450" t="s">
        <v>6228</v>
      </c>
      <c r="AA450">
        <v>208</v>
      </c>
    </row>
    <row r="451" spans="26:27">
      <c r="Z451" t="s">
        <v>6228</v>
      </c>
      <c r="AA451">
        <v>209</v>
      </c>
    </row>
    <row r="452" spans="26:27">
      <c r="Z452" t="s">
        <v>6228</v>
      </c>
      <c r="AA452">
        <v>210</v>
      </c>
    </row>
    <row r="453" spans="26:27">
      <c r="Z453" t="s">
        <v>6228</v>
      </c>
      <c r="AA453">
        <v>211</v>
      </c>
    </row>
    <row r="454" spans="26:27">
      <c r="Z454" t="s">
        <v>6228</v>
      </c>
      <c r="AA454">
        <v>212</v>
      </c>
    </row>
    <row r="455" spans="26:27">
      <c r="Z455" t="s">
        <v>6228</v>
      </c>
      <c r="AA455">
        <v>213</v>
      </c>
    </row>
    <row r="456" spans="26:27">
      <c r="Z456" t="s">
        <v>6228</v>
      </c>
      <c r="AA456">
        <v>214</v>
      </c>
    </row>
    <row r="457" spans="26:27">
      <c r="Z457" t="s">
        <v>6228</v>
      </c>
      <c r="AA457">
        <v>215</v>
      </c>
    </row>
    <row r="458" spans="26:27">
      <c r="Z458" t="s">
        <v>6228</v>
      </c>
      <c r="AA458">
        <v>216</v>
      </c>
    </row>
    <row r="459" spans="26:27">
      <c r="Z459" t="s">
        <v>6228</v>
      </c>
      <c r="AA459">
        <v>217</v>
      </c>
    </row>
    <row r="460" spans="26:27">
      <c r="Z460" t="s">
        <v>6228</v>
      </c>
      <c r="AA460">
        <v>218</v>
      </c>
    </row>
    <row r="461" spans="26:27">
      <c r="Z461" t="s">
        <v>6228</v>
      </c>
      <c r="AA461">
        <v>219</v>
      </c>
    </row>
    <row r="462" spans="26:27">
      <c r="Z462" t="s">
        <v>6228</v>
      </c>
      <c r="AA462">
        <v>220</v>
      </c>
    </row>
    <row r="463" spans="26:27">
      <c r="Z463" t="s">
        <v>6228</v>
      </c>
      <c r="AA463">
        <v>221</v>
      </c>
    </row>
    <row r="464" spans="26:27">
      <c r="Z464" t="s">
        <v>6228</v>
      </c>
      <c r="AA464">
        <v>222</v>
      </c>
    </row>
    <row r="465" spans="26:27">
      <c r="Z465" t="s">
        <v>6228</v>
      </c>
      <c r="AA465">
        <v>223</v>
      </c>
    </row>
    <row r="466" spans="26:27">
      <c r="Z466" t="s">
        <v>6228</v>
      </c>
      <c r="AA466">
        <v>224</v>
      </c>
    </row>
    <row r="467" spans="26:27">
      <c r="Z467" t="s">
        <v>6228</v>
      </c>
      <c r="AA467">
        <v>225</v>
      </c>
    </row>
    <row r="468" spans="26:27">
      <c r="Z468" t="s">
        <v>6228</v>
      </c>
      <c r="AA468">
        <v>226</v>
      </c>
    </row>
    <row r="469" spans="26:27">
      <c r="Z469" t="s">
        <v>6228</v>
      </c>
      <c r="AA469">
        <v>227</v>
      </c>
    </row>
    <row r="470" spans="26:27">
      <c r="Z470" t="s">
        <v>6228</v>
      </c>
      <c r="AA470">
        <v>228</v>
      </c>
    </row>
    <row r="471" spans="26:27">
      <c r="Z471" t="s">
        <v>6228</v>
      </c>
      <c r="AA471">
        <v>229</v>
      </c>
    </row>
    <row r="472" spans="26:27">
      <c r="Z472" t="s">
        <v>6228</v>
      </c>
      <c r="AA472">
        <v>230</v>
      </c>
    </row>
    <row r="473" spans="26:27">
      <c r="Z473" t="s">
        <v>6228</v>
      </c>
      <c r="AA473">
        <v>231</v>
      </c>
    </row>
    <row r="474" spans="26:27">
      <c r="Z474" t="s">
        <v>6228</v>
      </c>
      <c r="AA474">
        <v>232</v>
      </c>
    </row>
    <row r="475" spans="26:27">
      <c r="Z475" t="s">
        <v>6228</v>
      </c>
      <c r="AA475">
        <v>233</v>
      </c>
    </row>
    <row r="476" spans="26:27">
      <c r="Z476" t="s">
        <v>6228</v>
      </c>
      <c r="AA476">
        <v>234</v>
      </c>
    </row>
    <row r="477" spans="26:27">
      <c r="Z477" t="s">
        <v>6228</v>
      </c>
      <c r="AA477">
        <v>235</v>
      </c>
    </row>
    <row r="478" spans="26:27">
      <c r="Z478" t="s">
        <v>6228</v>
      </c>
      <c r="AA478">
        <v>236</v>
      </c>
    </row>
    <row r="479" spans="26:27">
      <c r="Z479" t="s">
        <v>6228</v>
      </c>
      <c r="AA479">
        <v>237</v>
      </c>
    </row>
    <row r="480" spans="26:27">
      <c r="Z480" t="s">
        <v>6228</v>
      </c>
      <c r="AA480">
        <v>238</v>
      </c>
    </row>
    <row r="481" spans="26:27">
      <c r="Z481" t="s">
        <v>6228</v>
      </c>
      <c r="AA481">
        <v>239</v>
      </c>
    </row>
    <row r="482" spans="26:27">
      <c r="Z482" t="s">
        <v>6228</v>
      </c>
      <c r="AA482">
        <v>240</v>
      </c>
    </row>
    <row r="483" spans="26:27">
      <c r="Z483" t="s">
        <v>6228</v>
      </c>
      <c r="AA483">
        <v>241</v>
      </c>
    </row>
    <row r="484" spans="26:27">
      <c r="Z484" t="s">
        <v>6228</v>
      </c>
      <c r="AA484">
        <v>242</v>
      </c>
    </row>
    <row r="485" spans="26:27">
      <c r="Z485" t="s">
        <v>6228</v>
      </c>
      <c r="AA485">
        <v>243</v>
      </c>
    </row>
    <row r="486" spans="26:27">
      <c r="Z486" t="s">
        <v>6228</v>
      </c>
      <c r="AA486">
        <v>244</v>
      </c>
    </row>
    <row r="487" spans="26:27">
      <c r="Z487" t="s">
        <v>6228</v>
      </c>
      <c r="AA487">
        <v>245</v>
      </c>
    </row>
    <row r="488" spans="26:27">
      <c r="Z488" t="s">
        <v>6228</v>
      </c>
      <c r="AA488">
        <v>246</v>
      </c>
    </row>
    <row r="489" spans="26:27">
      <c r="Z489" t="s">
        <v>6228</v>
      </c>
      <c r="AA489">
        <v>247</v>
      </c>
    </row>
    <row r="490" spans="26:27">
      <c r="Z490" t="s">
        <v>6228</v>
      </c>
      <c r="AA490">
        <v>248</v>
      </c>
    </row>
    <row r="491" spans="26:27">
      <c r="Z491" t="s">
        <v>6228</v>
      </c>
      <c r="AA491">
        <v>249</v>
      </c>
    </row>
    <row r="492" spans="26:27">
      <c r="Z492" t="s">
        <v>6228</v>
      </c>
      <c r="AA492">
        <v>250</v>
      </c>
    </row>
    <row r="493" spans="26:27">
      <c r="Z493" t="s">
        <v>6230</v>
      </c>
      <c r="AA493">
        <v>4</v>
      </c>
    </row>
    <row r="494" spans="26:27">
      <c r="Z494" t="s">
        <v>6230</v>
      </c>
      <c r="AA494">
        <v>5</v>
      </c>
    </row>
    <row r="495" spans="26:27">
      <c r="Z495" t="s">
        <v>6230</v>
      </c>
      <c r="AA495">
        <v>6</v>
      </c>
    </row>
    <row r="496" spans="26:27">
      <c r="Z496" t="s">
        <v>6230</v>
      </c>
      <c r="AA496">
        <v>7</v>
      </c>
    </row>
    <row r="497" spans="26:27">
      <c r="Z497" t="s">
        <v>6230</v>
      </c>
      <c r="AA497">
        <v>8</v>
      </c>
    </row>
    <row r="498" spans="26:27">
      <c r="Z498" t="s">
        <v>6230</v>
      </c>
      <c r="AA498">
        <v>9</v>
      </c>
    </row>
    <row r="499" spans="26:27">
      <c r="Z499" t="s">
        <v>6230</v>
      </c>
      <c r="AA499">
        <v>10</v>
      </c>
    </row>
    <row r="500" spans="26:27">
      <c r="Z500" t="s">
        <v>6230</v>
      </c>
      <c r="AA500">
        <v>11</v>
      </c>
    </row>
    <row r="501" spans="26:27">
      <c r="Z501" t="s">
        <v>6230</v>
      </c>
      <c r="AA501">
        <v>12</v>
      </c>
    </row>
    <row r="502" spans="26:27">
      <c r="Z502" t="s">
        <v>6230</v>
      </c>
      <c r="AA502">
        <v>13</v>
      </c>
    </row>
    <row r="503" spans="26:27">
      <c r="Z503" t="s">
        <v>6230</v>
      </c>
      <c r="AA503">
        <v>14</v>
      </c>
    </row>
    <row r="504" spans="26:27">
      <c r="Z504" t="s">
        <v>6230</v>
      </c>
      <c r="AA504">
        <v>15</v>
      </c>
    </row>
    <row r="505" spans="26:27">
      <c r="Z505" t="s">
        <v>6230</v>
      </c>
      <c r="AA505">
        <v>16</v>
      </c>
    </row>
    <row r="506" spans="26:27">
      <c r="Z506" t="s">
        <v>6230</v>
      </c>
      <c r="AA506">
        <v>17</v>
      </c>
    </row>
    <row r="507" spans="26:27">
      <c r="Z507" t="s">
        <v>6230</v>
      </c>
      <c r="AA507">
        <v>18</v>
      </c>
    </row>
    <row r="508" spans="26:27">
      <c r="Z508" t="s">
        <v>6230</v>
      </c>
      <c r="AA508">
        <v>19</v>
      </c>
    </row>
    <row r="509" spans="26:27">
      <c r="Z509" t="s">
        <v>6230</v>
      </c>
      <c r="AA509">
        <v>20</v>
      </c>
    </row>
    <row r="510" spans="26:27">
      <c r="Z510" t="s">
        <v>6230</v>
      </c>
      <c r="AA510">
        <v>21</v>
      </c>
    </row>
    <row r="511" spans="26:27">
      <c r="Z511" t="s">
        <v>6230</v>
      </c>
      <c r="AA511">
        <v>22</v>
      </c>
    </row>
    <row r="512" spans="26:27">
      <c r="Z512" t="s">
        <v>6230</v>
      </c>
      <c r="AA512">
        <v>23</v>
      </c>
    </row>
    <row r="513" spans="26:27">
      <c r="Z513" t="s">
        <v>6230</v>
      </c>
      <c r="AA513">
        <v>24</v>
      </c>
    </row>
    <row r="514" spans="26:27">
      <c r="Z514" t="s">
        <v>6230</v>
      </c>
      <c r="AA514">
        <v>25</v>
      </c>
    </row>
    <row r="515" spans="26:27">
      <c r="Z515" t="s">
        <v>6230</v>
      </c>
      <c r="AA515">
        <v>26</v>
      </c>
    </row>
    <row r="516" spans="26:27">
      <c r="Z516" t="s">
        <v>6230</v>
      </c>
      <c r="AA516">
        <v>27</v>
      </c>
    </row>
    <row r="517" spans="26:27">
      <c r="Z517" t="s">
        <v>6230</v>
      </c>
      <c r="AA517">
        <v>28</v>
      </c>
    </row>
    <row r="518" spans="26:27">
      <c r="Z518" t="s">
        <v>6230</v>
      </c>
      <c r="AA518">
        <v>29</v>
      </c>
    </row>
    <row r="519" spans="26:27">
      <c r="Z519" t="s">
        <v>6230</v>
      </c>
      <c r="AA519">
        <v>30</v>
      </c>
    </row>
    <row r="520" spans="26:27">
      <c r="Z520" t="s">
        <v>6230</v>
      </c>
      <c r="AA520">
        <v>31</v>
      </c>
    </row>
    <row r="521" spans="26:27">
      <c r="Z521" t="s">
        <v>6230</v>
      </c>
      <c r="AA521">
        <v>32</v>
      </c>
    </row>
    <row r="522" spans="26:27">
      <c r="Z522" t="s">
        <v>6230</v>
      </c>
      <c r="AA522">
        <v>33</v>
      </c>
    </row>
    <row r="523" spans="26:27">
      <c r="Z523" t="s">
        <v>6230</v>
      </c>
      <c r="AA523">
        <v>34</v>
      </c>
    </row>
    <row r="524" spans="26:27">
      <c r="Z524" t="s">
        <v>6230</v>
      </c>
      <c r="AA524">
        <v>35</v>
      </c>
    </row>
    <row r="525" spans="26:27">
      <c r="Z525" t="s">
        <v>6230</v>
      </c>
      <c r="AA525">
        <v>36</v>
      </c>
    </row>
    <row r="526" spans="26:27">
      <c r="Z526" t="s">
        <v>6230</v>
      </c>
      <c r="AA526">
        <v>37</v>
      </c>
    </row>
    <row r="527" spans="26:27">
      <c r="Z527" t="s">
        <v>6230</v>
      </c>
      <c r="AA527">
        <v>38</v>
      </c>
    </row>
    <row r="528" spans="26:27">
      <c r="Z528" t="s">
        <v>6230</v>
      </c>
      <c r="AA528">
        <v>39</v>
      </c>
    </row>
    <row r="529" spans="26:27">
      <c r="Z529" t="s">
        <v>6230</v>
      </c>
      <c r="AA529">
        <v>40</v>
      </c>
    </row>
    <row r="530" spans="26:27">
      <c r="Z530" t="s">
        <v>6230</v>
      </c>
      <c r="AA530">
        <v>41</v>
      </c>
    </row>
    <row r="531" spans="26:27">
      <c r="Z531" t="s">
        <v>6230</v>
      </c>
      <c r="AA531">
        <v>42</v>
      </c>
    </row>
    <row r="532" spans="26:27">
      <c r="Z532" t="s">
        <v>6230</v>
      </c>
      <c r="AA532">
        <v>43</v>
      </c>
    </row>
    <row r="533" spans="26:27">
      <c r="Z533" t="s">
        <v>6230</v>
      </c>
      <c r="AA533">
        <v>44</v>
      </c>
    </row>
    <row r="534" spans="26:27">
      <c r="Z534" t="s">
        <v>6230</v>
      </c>
      <c r="AA534">
        <v>45</v>
      </c>
    </row>
    <row r="535" spans="26:27">
      <c r="Z535" t="s">
        <v>6230</v>
      </c>
      <c r="AA535">
        <v>46</v>
      </c>
    </row>
    <row r="536" spans="26:27">
      <c r="Z536" t="s">
        <v>6230</v>
      </c>
      <c r="AA536">
        <v>47</v>
      </c>
    </row>
    <row r="537" spans="26:27">
      <c r="Z537" t="s">
        <v>6230</v>
      </c>
      <c r="AA537">
        <v>48</v>
      </c>
    </row>
    <row r="538" spans="26:27">
      <c r="Z538" t="s">
        <v>6230</v>
      </c>
      <c r="AA538">
        <v>49</v>
      </c>
    </row>
    <row r="539" spans="26:27">
      <c r="Z539" t="s">
        <v>6230</v>
      </c>
      <c r="AA539">
        <v>50</v>
      </c>
    </row>
    <row r="540" spans="26:27">
      <c r="Z540" t="s">
        <v>6230</v>
      </c>
      <c r="AA540">
        <v>51</v>
      </c>
    </row>
    <row r="541" spans="26:27">
      <c r="Z541" t="s">
        <v>6230</v>
      </c>
      <c r="AA541">
        <v>52</v>
      </c>
    </row>
    <row r="542" spans="26:27">
      <c r="Z542" t="s">
        <v>6230</v>
      </c>
      <c r="AA542">
        <v>53</v>
      </c>
    </row>
    <row r="543" spans="26:27">
      <c r="Z543" t="s">
        <v>6230</v>
      </c>
      <c r="AA543">
        <v>54</v>
      </c>
    </row>
    <row r="544" spans="26:27">
      <c r="Z544" t="s">
        <v>6230</v>
      </c>
      <c r="AA544">
        <v>55</v>
      </c>
    </row>
    <row r="545" spans="26:27">
      <c r="Z545" t="s">
        <v>6230</v>
      </c>
      <c r="AA545">
        <v>56</v>
      </c>
    </row>
    <row r="546" spans="26:27">
      <c r="Z546" t="s">
        <v>6230</v>
      </c>
      <c r="AA546">
        <v>57</v>
      </c>
    </row>
    <row r="547" spans="26:27">
      <c r="Z547" t="s">
        <v>6230</v>
      </c>
      <c r="AA547">
        <v>58</v>
      </c>
    </row>
    <row r="548" spans="26:27">
      <c r="Z548" t="s">
        <v>6230</v>
      </c>
      <c r="AA548">
        <v>59</v>
      </c>
    </row>
    <row r="549" spans="26:27">
      <c r="Z549" t="s">
        <v>6230</v>
      </c>
      <c r="AA549">
        <v>60</v>
      </c>
    </row>
    <row r="550" spans="26:27">
      <c r="Z550" t="s">
        <v>6230</v>
      </c>
      <c r="AA550">
        <v>61</v>
      </c>
    </row>
    <row r="551" spans="26:27">
      <c r="Z551" t="s">
        <v>6230</v>
      </c>
      <c r="AA551">
        <v>62</v>
      </c>
    </row>
    <row r="552" spans="26:27">
      <c r="Z552" t="s">
        <v>6230</v>
      </c>
      <c r="AA552">
        <v>63</v>
      </c>
    </row>
    <row r="553" spans="26:27">
      <c r="Z553" t="s">
        <v>6230</v>
      </c>
      <c r="AA553">
        <v>64</v>
      </c>
    </row>
    <row r="554" spans="26:27">
      <c r="Z554" t="s">
        <v>6230</v>
      </c>
      <c r="AA554">
        <v>65</v>
      </c>
    </row>
    <row r="555" spans="26:27">
      <c r="Z555" t="s">
        <v>6230</v>
      </c>
      <c r="AA555">
        <v>66</v>
      </c>
    </row>
    <row r="556" spans="26:27">
      <c r="Z556" t="s">
        <v>6230</v>
      </c>
      <c r="AA556">
        <v>67</v>
      </c>
    </row>
    <row r="557" spans="26:27">
      <c r="Z557" t="s">
        <v>6230</v>
      </c>
      <c r="AA557">
        <v>68</v>
      </c>
    </row>
    <row r="558" spans="26:27">
      <c r="Z558" t="s">
        <v>6230</v>
      </c>
      <c r="AA558">
        <v>69</v>
      </c>
    </row>
    <row r="559" spans="26:27">
      <c r="Z559" t="s">
        <v>6230</v>
      </c>
      <c r="AA559">
        <v>70</v>
      </c>
    </row>
    <row r="560" spans="26:27">
      <c r="Z560" t="s">
        <v>6230</v>
      </c>
      <c r="AA560">
        <v>71</v>
      </c>
    </row>
    <row r="561" spans="26:27">
      <c r="Z561" t="s">
        <v>6230</v>
      </c>
      <c r="AA561">
        <v>72</v>
      </c>
    </row>
    <row r="562" spans="26:27">
      <c r="Z562" t="s">
        <v>6230</v>
      </c>
      <c r="AA562">
        <v>73</v>
      </c>
    </row>
    <row r="563" spans="26:27">
      <c r="Z563" t="s">
        <v>6230</v>
      </c>
      <c r="AA563">
        <v>74</v>
      </c>
    </row>
    <row r="564" spans="26:27">
      <c r="Z564" t="s">
        <v>6230</v>
      </c>
      <c r="AA564">
        <v>75</v>
      </c>
    </row>
    <row r="565" spans="26:27">
      <c r="Z565" t="s">
        <v>6230</v>
      </c>
      <c r="AA565">
        <v>76</v>
      </c>
    </row>
    <row r="566" spans="26:27">
      <c r="Z566" t="s">
        <v>6230</v>
      </c>
      <c r="AA566">
        <v>77</v>
      </c>
    </row>
    <row r="567" spans="26:27">
      <c r="Z567" t="s">
        <v>6230</v>
      </c>
      <c r="AA567">
        <v>78</v>
      </c>
    </row>
    <row r="568" spans="26:27">
      <c r="Z568" t="s">
        <v>6230</v>
      </c>
      <c r="AA568">
        <v>79</v>
      </c>
    </row>
    <row r="569" spans="26:27">
      <c r="Z569" t="s">
        <v>6230</v>
      </c>
      <c r="AA569">
        <v>80</v>
      </c>
    </row>
    <row r="570" spans="26:27">
      <c r="Z570" t="s">
        <v>6230</v>
      </c>
      <c r="AA570">
        <v>81</v>
      </c>
    </row>
    <row r="571" spans="26:27">
      <c r="Z571" t="s">
        <v>6230</v>
      </c>
      <c r="AA571">
        <v>82</v>
      </c>
    </row>
    <row r="572" spans="26:27">
      <c r="Z572" t="s">
        <v>6230</v>
      </c>
      <c r="AA572">
        <v>83</v>
      </c>
    </row>
    <row r="573" spans="26:27">
      <c r="Z573" t="s">
        <v>6230</v>
      </c>
      <c r="AA573">
        <v>84</v>
      </c>
    </row>
    <row r="574" spans="26:27">
      <c r="Z574" t="s">
        <v>6230</v>
      </c>
      <c r="AA574">
        <v>85</v>
      </c>
    </row>
    <row r="575" spans="26:27">
      <c r="Z575" t="s">
        <v>6230</v>
      </c>
      <c r="AA575">
        <v>86</v>
      </c>
    </row>
    <row r="576" spans="26:27">
      <c r="Z576" t="s">
        <v>6230</v>
      </c>
      <c r="AA576">
        <v>87</v>
      </c>
    </row>
    <row r="577" spans="26:27">
      <c r="Z577" t="s">
        <v>6230</v>
      </c>
      <c r="AA577">
        <v>88</v>
      </c>
    </row>
    <row r="578" spans="26:27">
      <c r="Z578" t="s">
        <v>6230</v>
      </c>
      <c r="AA578">
        <v>89</v>
      </c>
    </row>
    <row r="579" spans="26:27">
      <c r="Z579" t="s">
        <v>6230</v>
      </c>
      <c r="AA579">
        <v>90</v>
      </c>
    </row>
    <row r="580" spans="26:27">
      <c r="Z580" t="s">
        <v>6230</v>
      </c>
      <c r="AA580">
        <v>91</v>
      </c>
    </row>
    <row r="581" spans="26:27">
      <c r="Z581" t="s">
        <v>6230</v>
      </c>
      <c r="AA581">
        <v>92</v>
      </c>
    </row>
    <row r="582" spans="26:27">
      <c r="Z582" t="s">
        <v>6230</v>
      </c>
      <c r="AA582">
        <v>93</v>
      </c>
    </row>
    <row r="583" spans="26:27">
      <c r="Z583" t="s">
        <v>6230</v>
      </c>
      <c r="AA583">
        <v>94</v>
      </c>
    </row>
    <row r="584" spans="26:27">
      <c r="Z584" t="s">
        <v>6230</v>
      </c>
      <c r="AA584">
        <v>95</v>
      </c>
    </row>
    <row r="585" spans="26:27">
      <c r="Z585" t="s">
        <v>6230</v>
      </c>
      <c r="AA585">
        <v>96</v>
      </c>
    </row>
    <row r="586" spans="26:27">
      <c r="Z586" t="s">
        <v>6230</v>
      </c>
      <c r="AA586">
        <v>97</v>
      </c>
    </row>
    <row r="587" spans="26:27">
      <c r="Z587" t="s">
        <v>6230</v>
      </c>
      <c r="AA587">
        <v>98</v>
      </c>
    </row>
    <row r="588" spans="26:27">
      <c r="Z588" t="s">
        <v>6230</v>
      </c>
      <c r="AA588">
        <v>99</v>
      </c>
    </row>
    <row r="589" spans="26:27">
      <c r="Z589" t="s">
        <v>6230</v>
      </c>
      <c r="AA589">
        <v>100</v>
      </c>
    </row>
    <row r="590" spans="26:27">
      <c r="Z590" t="s">
        <v>6230</v>
      </c>
      <c r="AA590">
        <v>101</v>
      </c>
    </row>
    <row r="591" spans="26:27">
      <c r="Z591" t="s">
        <v>6230</v>
      </c>
      <c r="AA591">
        <v>102</v>
      </c>
    </row>
    <row r="592" spans="26:27">
      <c r="Z592" t="s">
        <v>6230</v>
      </c>
      <c r="AA592">
        <v>103</v>
      </c>
    </row>
    <row r="593" spans="26:27">
      <c r="Z593" t="s">
        <v>6230</v>
      </c>
      <c r="AA593">
        <v>104</v>
      </c>
    </row>
    <row r="594" spans="26:27">
      <c r="Z594" t="s">
        <v>6230</v>
      </c>
      <c r="AA594">
        <v>105</v>
      </c>
    </row>
    <row r="595" spans="26:27">
      <c r="Z595" t="s">
        <v>6230</v>
      </c>
      <c r="AA595">
        <v>106</v>
      </c>
    </row>
    <row r="596" spans="26:27">
      <c r="Z596" t="s">
        <v>6230</v>
      </c>
      <c r="AA596">
        <v>107</v>
      </c>
    </row>
    <row r="597" spans="26:27">
      <c r="Z597" t="s">
        <v>6230</v>
      </c>
      <c r="AA597">
        <v>108</v>
      </c>
    </row>
    <row r="598" spans="26:27">
      <c r="Z598" t="s">
        <v>6230</v>
      </c>
      <c r="AA598">
        <v>109</v>
      </c>
    </row>
    <row r="599" spans="26:27">
      <c r="Z599" t="s">
        <v>6230</v>
      </c>
      <c r="AA599">
        <v>110</v>
      </c>
    </row>
    <row r="600" spans="26:27">
      <c r="Z600" t="s">
        <v>6230</v>
      </c>
      <c r="AA600">
        <v>111</v>
      </c>
    </row>
    <row r="601" spans="26:27">
      <c r="Z601" t="s">
        <v>6230</v>
      </c>
      <c r="AA601">
        <v>112</v>
      </c>
    </row>
    <row r="602" spans="26:27">
      <c r="Z602" t="s">
        <v>6230</v>
      </c>
      <c r="AA602">
        <v>113</v>
      </c>
    </row>
    <row r="603" spans="26:27">
      <c r="Z603" t="s">
        <v>6230</v>
      </c>
      <c r="AA603">
        <v>114</v>
      </c>
    </row>
    <row r="604" spans="26:27">
      <c r="Z604" t="s">
        <v>6230</v>
      </c>
      <c r="AA604">
        <v>115</v>
      </c>
    </row>
    <row r="605" spans="26:27">
      <c r="Z605" t="s">
        <v>6230</v>
      </c>
      <c r="AA605">
        <v>116</v>
      </c>
    </row>
    <row r="606" spans="26:27">
      <c r="Z606" t="s">
        <v>6230</v>
      </c>
      <c r="AA606">
        <v>117</v>
      </c>
    </row>
    <row r="607" spans="26:27">
      <c r="Z607" t="s">
        <v>6230</v>
      </c>
      <c r="AA607">
        <v>118</v>
      </c>
    </row>
    <row r="608" spans="26:27">
      <c r="Z608" t="s">
        <v>6230</v>
      </c>
      <c r="AA608">
        <v>119</v>
      </c>
    </row>
    <row r="609" spans="26:27">
      <c r="Z609" t="s">
        <v>6230</v>
      </c>
      <c r="AA609">
        <v>120</v>
      </c>
    </row>
    <row r="610" spans="26:27">
      <c r="Z610" t="s">
        <v>6230</v>
      </c>
      <c r="AA610">
        <v>121</v>
      </c>
    </row>
    <row r="611" spans="26:27">
      <c r="Z611" t="s">
        <v>6230</v>
      </c>
      <c r="AA611">
        <v>122</v>
      </c>
    </row>
    <row r="612" spans="26:27">
      <c r="Z612" t="s">
        <v>6230</v>
      </c>
      <c r="AA612">
        <v>123</v>
      </c>
    </row>
    <row r="613" spans="26:27">
      <c r="Z613" t="s">
        <v>6230</v>
      </c>
      <c r="AA613">
        <v>124</v>
      </c>
    </row>
    <row r="614" spans="26:27">
      <c r="Z614" t="s">
        <v>6230</v>
      </c>
      <c r="AA614">
        <v>125</v>
      </c>
    </row>
    <row r="615" spans="26:27">
      <c r="Z615" t="s">
        <v>6230</v>
      </c>
      <c r="AA615">
        <v>126</v>
      </c>
    </row>
    <row r="616" spans="26:27">
      <c r="Z616" t="s">
        <v>6230</v>
      </c>
      <c r="AA616">
        <v>127</v>
      </c>
    </row>
    <row r="617" spans="26:27">
      <c r="Z617" t="s">
        <v>6230</v>
      </c>
      <c r="AA617">
        <v>128</v>
      </c>
    </row>
    <row r="618" spans="26:27">
      <c r="Z618" t="s">
        <v>6230</v>
      </c>
      <c r="AA618">
        <v>129</v>
      </c>
    </row>
    <row r="619" spans="26:27">
      <c r="Z619" t="s">
        <v>6230</v>
      </c>
      <c r="AA619">
        <v>130</v>
      </c>
    </row>
    <row r="620" spans="26:27">
      <c r="Z620" t="s">
        <v>6230</v>
      </c>
      <c r="AA620">
        <v>131</v>
      </c>
    </row>
    <row r="621" spans="26:27">
      <c r="Z621" t="s">
        <v>6230</v>
      </c>
      <c r="AA621">
        <v>132</v>
      </c>
    </row>
    <row r="622" spans="26:27">
      <c r="Z622" t="s">
        <v>6230</v>
      </c>
      <c r="AA622">
        <v>133</v>
      </c>
    </row>
    <row r="623" spans="26:27">
      <c r="Z623" t="s">
        <v>6230</v>
      </c>
      <c r="AA623">
        <v>134</v>
      </c>
    </row>
    <row r="624" spans="26:27">
      <c r="Z624" t="s">
        <v>6230</v>
      </c>
      <c r="AA624">
        <v>135</v>
      </c>
    </row>
    <row r="625" spans="26:27">
      <c r="Z625" t="s">
        <v>6230</v>
      </c>
      <c r="AA625">
        <v>136</v>
      </c>
    </row>
    <row r="626" spans="26:27">
      <c r="Z626" t="s">
        <v>6230</v>
      </c>
      <c r="AA626">
        <v>137</v>
      </c>
    </row>
    <row r="627" spans="26:27">
      <c r="Z627" t="s">
        <v>6230</v>
      </c>
      <c r="AA627">
        <v>138</v>
      </c>
    </row>
    <row r="628" spans="26:27">
      <c r="Z628" t="s">
        <v>6230</v>
      </c>
      <c r="AA628">
        <v>139</v>
      </c>
    </row>
    <row r="629" spans="26:27">
      <c r="Z629" t="s">
        <v>6230</v>
      </c>
      <c r="AA629">
        <v>140</v>
      </c>
    </row>
    <row r="630" spans="26:27">
      <c r="Z630" t="s">
        <v>6230</v>
      </c>
      <c r="AA630">
        <v>141</v>
      </c>
    </row>
    <row r="631" spans="26:27">
      <c r="Z631" t="s">
        <v>6230</v>
      </c>
      <c r="AA631">
        <v>142</v>
      </c>
    </row>
    <row r="632" spans="26:27">
      <c r="Z632" t="s">
        <v>6230</v>
      </c>
      <c r="AA632">
        <v>143</v>
      </c>
    </row>
    <row r="633" spans="26:27">
      <c r="Z633" t="s">
        <v>6230</v>
      </c>
      <c r="AA633">
        <v>144</v>
      </c>
    </row>
    <row r="634" spans="26:27">
      <c r="Z634" t="s">
        <v>6230</v>
      </c>
      <c r="AA634">
        <v>145</v>
      </c>
    </row>
    <row r="635" spans="26:27">
      <c r="Z635" t="s">
        <v>6230</v>
      </c>
      <c r="AA635">
        <v>146</v>
      </c>
    </row>
    <row r="636" spans="26:27">
      <c r="Z636" t="s">
        <v>6230</v>
      </c>
      <c r="AA636">
        <v>147</v>
      </c>
    </row>
    <row r="637" spans="26:27">
      <c r="Z637" t="s">
        <v>6230</v>
      </c>
      <c r="AA637">
        <v>148</v>
      </c>
    </row>
    <row r="638" spans="26:27">
      <c r="Z638" t="s">
        <v>6230</v>
      </c>
      <c r="AA638">
        <v>149</v>
      </c>
    </row>
    <row r="639" spans="26:27">
      <c r="Z639" t="s">
        <v>6230</v>
      </c>
      <c r="AA639">
        <v>150</v>
      </c>
    </row>
    <row r="640" spans="26:27">
      <c r="Z640" t="s">
        <v>6230</v>
      </c>
      <c r="AA640">
        <v>151</v>
      </c>
    </row>
    <row r="641" spans="26:27">
      <c r="Z641" t="s">
        <v>6230</v>
      </c>
      <c r="AA641">
        <v>152</v>
      </c>
    </row>
    <row r="642" spans="26:27">
      <c r="Z642" t="s">
        <v>6230</v>
      </c>
      <c r="AA642">
        <v>153</v>
      </c>
    </row>
    <row r="643" spans="26:27">
      <c r="Z643" t="s">
        <v>6230</v>
      </c>
      <c r="AA643">
        <v>154</v>
      </c>
    </row>
    <row r="644" spans="26:27">
      <c r="Z644" t="s">
        <v>6230</v>
      </c>
      <c r="AA644">
        <v>155</v>
      </c>
    </row>
    <row r="645" spans="26:27">
      <c r="Z645" t="s">
        <v>6230</v>
      </c>
      <c r="AA645">
        <v>156</v>
      </c>
    </row>
    <row r="646" spans="26:27">
      <c r="Z646" t="s">
        <v>6230</v>
      </c>
      <c r="AA646">
        <v>157</v>
      </c>
    </row>
    <row r="647" spans="26:27">
      <c r="Z647" t="s">
        <v>6230</v>
      </c>
      <c r="AA647">
        <v>158</v>
      </c>
    </row>
    <row r="648" spans="26:27">
      <c r="Z648" t="s">
        <v>6230</v>
      </c>
      <c r="AA648">
        <v>159</v>
      </c>
    </row>
    <row r="649" spans="26:27">
      <c r="Z649" t="s">
        <v>6230</v>
      </c>
      <c r="AA649">
        <v>160</v>
      </c>
    </row>
    <row r="650" spans="26:27">
      <c r="Z650" t="s">
        <v>6230</v>
      </c>
      <c r="AA650">
        <v>161</v>
      </c>
    </row>
    <row r="651" spans="26:27">
      <c r="Z651" t="s">
        <v>6230</v>
      </c>
      <c r="AA651">
        <v>162</v>
      </c>
    </row>
    <row r="652" spans="26:27">
      <c r="Z652" t="s">
        <v>6230</v>
      </c>
      <c r="AA652">
        <v>163</v>
      </c>
    </row>
    <row r="653" spans="26:27">
      <c r="Z653" t="s">
        <v>6230</v>
      </c>
      <c r="AA653">
        <v>164</v>
      </c>
    </row>
    <row r="654" spans="26:27">
      <c r="Z654" t="s">
        <v>6230</v>
      </c>
      <c r="AA654">
        <v>165</v>
      </c>
    </row>
    <row r="655" spans="26:27">
      <c r="Z655" t="s">
        <v>6230</v>
      </c>
      <c r="AA655">
        <v>166</v>
      </c>
    </row>
    <row r="656" spans="26:27">
      <c r="Z656" t="s">
        <v>6230</v>
      </c>
      <c r="AA656">
        <v>167</v>
      </c>
    </row>
    <row r="657" spans="26:27">
      <c r="Z657" t="s">
        <v>6230</v>
      </c>
      <c r="AA657">
        <v>168</v>
      </c>
    </row>
    <row r="658" spans="26:27">
      <c r="Z658" t="s">
        <v>6230</v>
      </c>
      <c r="AA658">
        <v>169</v>
      </c>
    </row>
    <row r="659" spans="26:27">
      <c r="Z659" t="s">
        <v>6230</v>
      </c>
      <c r="AA659">
        <v>170</v>
      </c>
    </row>
    <row r="660" spans="26:27">
      <c r="Z660" t="s">
        <v>6230</v>
      </c>
      <c r="AA660">
        <v>171</v>
      </c>
    </row>
    <row r="661" spans="26:27">
      <c r="Z661" t="s">
        <v>6230</v>
      </c>
      <c r="AA661">
        <v>172</v>
      </c>
    </row>
    <row r="662" spans="26:27">
      <c r="Z662" t="s">
        <v>6230</v>
      </c>
      <c r="AA662">
        <v>173</v>
      </c>
    </row>
    <row r="663" spans="26:27">
      <c r="Z663" t="s">
        <v>6230</v>
      </c>
      <c r="AA663">
        <v>174</v>
      </c>
    </row>
    <row r="664" spans="26:27">
      <c r="Z664" t="s">
        <v>6230</v>
      </c>
      <c r="AA664">
        <v>175</v>
      </c>
    </row>
    <row r="665" spans="26:27">
      <c r="Z665" t="s">
        <v>6230</v>
      </c>
      <c r="AA665">
        <v>176</v>
      </c>
    </row>
    <row r="666" spans="26:27">
      <c r="Z666" t="s">
        <v>6230</v>
      </c>
      <c r="AA666">
        <v>177</v>
      </c>
    </row>
    <row r="667" spans="26:27">
      <c r="Z667" t="s">
        <v>6230</v>
      </c>
      <c r="AA667">
        <v>178</v>
      </c>
    </row>
    <row r="668" spans="26:27">
      <c r="Z668" t="s">
        <v>6230</v>
      </c>
      <c r="AA668">
        <v>179</v>
      </c>
    </row>
    <row r="669" spans="26:27">
      <c r="Z669" t="s">
        <v>6230</v>
      </c>
      <c r="AA669">
        <v>180</v>
      </c>
    </row>
    <row r="670" spans="26:27">
      <c r="Z670" t="s">
        <v>6230</v>
      </c>
      <c r="AA670">
        <v>181</v>
      </c>
    </row>
    <row r="671" spans="26:27">
      <c r="Z671" t="s">
        <v>6230</v>
      </c>
      <c r="AA671">
        <v>182</v>
      </c>
    </row>
    <row r="672" spans="26:27">
      <c r="Z672" t="s">
        <v>6230</v>
      </c>
      <c r="AA672">
        <v>183</v>
      </c>
    </row>
    <row r="673" spans="26:27">
      <c r="Z673" t="s">
        <v>6230</v>
      </c>
      <c r="AA673">
        <v>184</v>
      </c>
    </row>
    <row r="674" spans="26:27">
      <c r="Z674" t="s">
        <v>6230</v>
      </c>
      <c r="AA674">
        <v>185</v>
      </c>
    </row>
    <row r="675" spans="26:27">
      <c r="Z675" t="s">
        <v>6230</v>
      </c>
      <c r="AA675">
        <v>186</v>
      </c>
    </row>
    <row r="676" spans="26:27">
      <c r="Z676" t="s">
        <v>6230</v>
      </c>
      <c r="AA676">
        <v>187</v>
      </c>
    </row>
    <row r="677" spans="26:27">
      <c r="Z677" t="s">
        <v>6230</v>
      </c>
      <c r="AA677">
        <v>188</v>
      </c>
    </row>
    <row r="678" spans="26:27">
      <c r="Z678" t="s">
        <v>6230</v>
      </c>
      <c r="AA678">
        <v>189</v>
      </c>
    </row>
    <row r="679" spans="26:27">
      <c r="Z679" t="s">
        <v>6230</v>
      </c>
      <c r="AA679">
        <v>190</v>
      </c>
    </row>
    <row r="680" spans="26:27">
      <c r="Z680" t="s">
        <v>6230</v>
      </c>
      <c r="AA680">
        <v>191</v>
      </c>
    </row>
    <row r="681" spans="26:27">
      <c r="Z681" t="s">
        <v>6230</v>
      </c>
      <c r="AA681">
        <v>192</v>
      </c>
    </row>
    <row r="682" spans="26:27">
      <c r="Z682" t="s">
        <v>6230</v>
      </c>
      <c r="AA682">
        <v>193</v>
      </c>
    </row>
    <row r="683" spans="26:27">
      <c r="Z683" t="s">
        <v>6230</v>
      </c>
      <c r="AA683">
        <v>194</v>
      </c>
    </row>
    <row r="684" spans="26:27">
      <c r="Z684" t="s">
        <v>6230</v>
      </c>
      <c r="AA684">
        <v>195</v>
      </c>
    </row>
    <row r="685" spans="26:27">
      <c r="Z685" t="s">
        <v>6230</v>
      </c>
      <c r="AA685">
        <v>196</v>
      </c>
    </row>
    <row r="686" spans="26:27">
      <c r="Z686" t="s">
        <v>6230</v>
      </c>
      <c r="AA686">
        <v>197</v>
      </c>
    </row>
    <row r="687" spans="26:27">
      <c r="Z687" t="s">
        <v>6230</v>
      </c>
      <c r="AA687">
        <v>198</v>
      </c>
    </row>
    <row r="688" spans="26:27">
      <c r="Z688" t="s">
        <v>6230</v>
      </c>
      <c r="AA688">
        <v>199</v>
      </c>
    </row>
    <row r="689" spans="26:27">
      <c r="Z689" t="s">
        <v>6230</v>
      </c>
      <c r="AA689">
        <v>200</v>
      </c>
    </row>
    <row r="690" spans="26:27">
      <c r="Z690" t="s">
        <v>6230</v>
      </c>
      <c r="AA690">
        <v>201</v>
      </c>
    </row>
    <row r="691" spans="26:27">
      <c r="Z691" t="s">
        <v>6230</v>
      </c>
      <c r="AA691">
        <v>202</v>
      </c>
    </row>
    <row r="692" spans="26:27">
      <c r="Z692" t="s">
        <v>6230</v>
      </c>
      <c r="AA692">
        <v>203</v>
      </c>
    </row>
    <row r="693" spans="26:27">
      <c r="Z693" t="s">
        <v>6230</v>
      </c>
      <c r="AA693">
        <v>204</v>
      </c>
    </row>
    <row r="694" spans="26:27">
      <c r="Z694" t="s">
        <v>6230</v>
      </c>
      <c r="AA694">
        <v>205</v>
      </c>
    </row>
    <row r="695" spans="26:27">
      <c r="Z695" t="s">
        <v>6230</v>
      </c>
      <c r="AA695">
        <v>206</v>
      </c>
    </row>
    <row r="696" spans="26:27">
      <c r="Z696" t="s">
        <v>6230</v>
      </c>
      <c r="AA696">
        <v>207</v>
      </c>
    </row>
    <row r="697" spans="26:27">
      <c r="Z697" t="s">
        <v>6230</v>
      </c>
      <c r="AA697">
        <v>208</v>
      </c>
    </row>
    <row r="698" spans="26:27">
      <c r="Z698" t="s">
        <v>6230</v>
      </c>
      <c r="AA698">
        <v>209</v>
      </c>
    </row>
    <row r="699" spans="26:27">
      <c r="Z699" t="s">
        <v>6230</v>
      </c>
      <c r="AA699">
        <v>210</v>
      </c>
    </row>
    <row r="700" spans="26:27">
      <c r="Z700" t="s">
        <v>6230</v>
      </c>
      <c r="AA700">
        <v>211</v>
      </c>
    </row>
    <row r="701" spans="26:27">
      <c r="Z701" t="s">
        <v>6230</v>
      </c>
      <c r="AA701">
        <v>212</v>
      </c>
    </row>
    <row r="702" spans="26:27">
      <c r="Z702" t="s">
        <v>6230</v>
      </c>
      <c r="AA702">
        <v>213</v>
      </c>
    </row>
    <row r="703" spans="26:27">
      <c r="Z703" t="s">
        <v>6230</v>
      </c>
      <c r="AA703">
        <v>214</v>
      </c>
    </row>
    <row r="704" spans="26:27">
      <c r="Z704" t="s">
        <v>6230</v>
      </c>
      <c r="AA704">
        <v>215</v>
      </c>
    </row>
    <row r="705" spans="26:27">
      <c r="Z705" t="s">
        <v>6230</v>
      </c>
      <c r="AA705">
        <v>216</v>
      </c>
    </row>
    <row r="706" spans="26:27">
      <c r="Z706" t="s">
        <v>6230</v>
      </c>
      <c r="AA706">
        <v>217</v>
      </c>
    </row>
    <row r="707" spans="26:27">
      <c r="Z707" t="s">
        <v>6230</v>
      </c>
      <c r="AA707">
        <v>218</v>
      </c>
    </row>
    <row r="708" spans="26:27">
      <c r="Z708" t="s">
        <v>6230</v>
      </c>
      <c r="AA708">
        <v>219</v>
      </c>
    </row>
    <row r="709" spans="26:27">
      <c r="Z709" t="s">
        <v>6230</v>
      </c>
      <c r="AA709">
        <v>220</v>
      </c>
    </row>
    <row r="710" spans="26:27">
      <c r="Z710" t="s">
        <v>6230</v>
      </c>
      <c r="AA710">
        <v>221</v>
      </c>
    </row>
    <row r="711" spans="26:27">
      <c r="Z711" t="s">
        <v>6230</v>
      </c>
      <c r="AA711">
        <v>222</v>
      </c>
    </row>
    <row r="712" spans="26:27">
      <c r="Z712" t="s">
        <v>6230</v>
      </c>
      <c r="AA712">
        <v>223</v>
      </c>
    </row>
    <row r="713" spans="26:27">
      <c r="Z713" t="s">
        <v>6230</v>
      </c>
      <c r="AA713">
        <v>224</v>
      </c>
    </row>
    <row r="714" spans="26:27">
      <c r="Z714" t="s">
        <v>6230</v>
      </c>
      <c r="AA714">
        <v>225</v>
      </c>
    </row>
    <row r="715" spans="26:27">
      <c r="Z715" t="s">
        <v>6230</v>
      </c>
      <c r="AA715">
        <v>226</v>
      </c>
    </row>
    <row r="716" spans="26:27">
      <c r="Z716" t="s">
        <v>6230</v>
      </c>
      <c r="AA716">
        <v>227</v>
      </c>
    </row>
    <row r="717" spans="26:27">
      <c r="Z717" t="s">
        <v>6230</v>
      </c>
      <c r="AA717">
        <v>228</v>
      </c>
    </row>
    <row r="718" spans="26:27">
      <c r="Z718" t="s">
        <v>6230</v>
      </c>
      <c r="AA718">
        <v>229</v>
      </c>
    </row>
    <row r="719" spans="26:27">
      <c r="Z719" t="s">
        <v>6230</v>
      </c>
      <c r="AA719">
        <v>230</v>
      </c>
    </row>
    <row r="720" spans="26:27">
      <c r="Z720" t="s">
        <v>6230</v>
      </c>
      <c r="AA720">
        <v>231</v>
      </c>
    </row>
    <row r="721" spans="26:27">
      <c r="Z721" t="s">
        <v>6230</v>
      </c>
      <c r="AA721">
        <v>232</v>
      </c>
    </row>
    <row r="722" spans="26:27">
      <c r="Z722" t="s">
        <v>6230</v>
      </c>
      <c r="AA722">
        <v>233</v>
      </c>
    </row>
    <row r="723" spans="26:27">
      <c r="Z723" t="s">
        <v>6230</v>
      </c>
      <c r="AA723">
        <v>234</v>
      </c>
    </row>
    <row r="724" spans="26:27">
      <c r="Z724" t="s">
        <v>6230</v>
      </c>
      <c r="AA724">
        <v>235</v>
      </c>
    </row>
    <row r="725" spans="26:27">
      <c r="Z725" t="s">
        <v>6230</v>
      </c>
      <c r="AA725">
        <v>236</v>
      </c>
    </row>
    <row r="726" spans="26:27">
      <c r="Z726" t="s">
        <v>6230</v>
      </c>
      <c r="AA726">
        <v>237</v>
      </c>
    </row>
    <row r="727" spans="26:27">
      <c r="Z727" t="s">
        <v>6230</v>
      </c>
      <c r="AA727">
        <v>238</v>
      </c>
    </row>
    <row r="728" spans="26:27">
      <c r="Z728" t="s">
        <v>6230</v>
      </c>
      <c r="AA728">
        <v>239</v>
      </c>
    </row>
    <row r="729" spans="26:27">
      <c r="Z729" t="s">
        <v>6230</v>
      </c>
      <c r="AA729">
        <v>240</v>
      </c>
    </row>
    <row r="730" spans="26:27">
      <c r="Z730" t="s">
        <v>6230</v>
      </c>
      <c r="AA730">
        <v>241</v>
      </c>
    </row>
    <row r="731" spans="26:27">
      <c r="Z731" t="s">
        <v>6230</v>
      </c>
      <c r="AA731">
        <v>242</v>
      </c>
    </row>
    <row r="732" spans="26:27">
      <c r="Z732" t="s">
        <v>6230</v>
      </c>
      <c r="AA732">
        <v>243</v>
      </c>
    </row>
    <row r="733" spans="26:27">
      <c r="Z733" t="s">
        <v>6230</v>
      </c>
      <c r="AA733">
        <v>244</v>
      </c>
    </row>
    <row r="734" spans="26:27">
      <c r="Z734" t="s">
        <v>6230</v>
      </c>
      <c r="AA734">
        <v>245</v>
      </c>
    </row>
    <row r="735" spans="26:27">
      <c r="Z735" t="s">
        <v>6230</v>
      </c>
      <c r="AA735">
        <v>246</v>
      </c>
    </row>
    <row r="736" spans="26:27">
      <c r="Z736" t="s">
        <v>6230</v>
      </c>
      <c r="AA736">
        <v>247</v>
      </c>
    </row>
    <row r="737" spans="26:27">
      <c r="Z737" t="s">
        <v>6230</v>
      </c>
      <c r="AA737">
        <v>248</v>
      </c>
    </row>
    <row r="738" spans="26:27">
      <c r="Z738" t="s">
        <v>6230</v>
      </c>
      <c r="AA738">
        <v>249</v>
      </c>
    </row>
    <row r="739" spans="26:27">
      <c r="Z739" t="s">
        <v>6230</v>
      </c>
      <c r="AA739">
        <v>250</v>
      </c>
    </row>
    <row r="740" spans="26:27">
      <c r="Z740" t="s">
        <v>6232</v>
      </c>
      <c r="AA740">
        <v>4</v>
      </c>
    </row>
    <row r="741" spans="26:27">
      <c r="Z741" t="s">
        <v>6232</v>
      </c>
      <c r="AA741">
        <v>5</v>
      </c>
    </row>
    <row r="742" spans="26:27">
      <c r="Z742" t="s">
        <v>6232</v>
      </c>
      <c r="AA742">
        <v>6</v>
      </c>
    </row>
    <row r="743" spans="26:27">
      <c r="Z743" t="s">
        <v>6232</v>
      </c>
      <c r="AA743">
        <v>7</v>
      </c>
    </row>
    <row r="744" spans="26:27">
      <c r="Z744" t="s">
        <v>6232</v>
      </c>
      <c r="AA744">
        <v>8</v>
      </c>
    </row>
    <row r="745" spans="26:27">
      <c r="Z745" t="s">
        <v>6232</v>
      </c>
      <c r="AA745">
        <v>9</v>
      </c>
    </row>
    <row r="746" spans="26:27">
      <c r="Z746" t="s">
        <v>6232</v>
      </c>
      <c r="AA746">
        <v>10</v>
      </c>
    </row>
    <row r="747" spans="26:27">
      <c r="Z747" t="s">
        <v>6232</v>
      </c>
      <c r="AA747">
        <v>11</v>
      </c>
    </row>
    <row r="748" spans="26:27">
      <c r="Z748" t="s">
        <v>6232</v>
      </c>
      <c r="AA748">
        <v>12</v>
      </c>
    </row>
    <row r="749" spans="26:27">
      <c r="Z749" t="s">
        <v>6232</v>
      </c>
      <c r="AA749">
        <v>13</v>
      </c>
    </row>
    <row r="750" spans="26:27">
      <c r="Z750" t="s">
        <v>6232</v>
      </c>
      <c r="AA750">
        <v>14</v>
      </c>
    </row>
    <row r="751" spans="26:27">
      <c r="Z751" t="s">
        <v>6232</v>
      </c>
      <c r="AA751">
        <v>15</v>
      </c>
    </row>
    <row r="752" spans="26:27">
      <c r="Z752" t="s">
        <v>6232</v>
      </c>
      <c r="AA752">
        <v>16</v>
      </c>
    </row>
    <row r="753" spans="26:27">
      <c r="Z753" t="s">
        <v>6232</v>
      </c>
      <c r="AA753">
        <v>17</v>
      </c>
    </row>
    <row r="754" spans="26:27">
      <c r="Z754" t="s">
        <v>6232</v>
      </c>
      <c r="AA754">
        <v>18</v>
      </c>
    </row>
    <row r="755" spans="26:27">
      <c r="Z755" t="s">
        <v>6232</v>
      </c>
      <c r="AA755">
        <v>19</v>
      </c>
    </row>
    <row r="756" spans="26:27">
      <c r="Z756" t="s">
        <v>6232</v>
      </c>
      <c r="AA756">
        <v>20</v>
      </c>
    </row>
    <row r="757" spans="26:27">
      <c r="Z757" t="s">
        <v>6232</v>
      </c>
      <c r="AA757">
        <v>21</v>
      </c>
    </row>
    <row r="758" spans="26:27">
      <c r="Z758" t="s">
        <v>6232</v>
      </c>
      <c r="AA758">
        <v>22</v>
      </c>
    </row>
    <row r="759" spans="26:27">
      <c r="Z759" t="s">
        <v>6232</v>
      </c>
      <c r="AA759">
        <v>23</v>
      </c>
    </row>
    <row r="760" spans="26:27">
      <c r="Z760" t="s">
        <v>6232</v>
      </c>
      <c r="AA760">
        <v>24</v>
      </c>
    </row>
    <row r="761" spans="26:27">
      <c r="Z761" t="s">
        <v>6232</v>
      </c>
      <c r="AA761">
        <v>25</v>
      </c>
    </row>
    <row r="762" spans="26:27">
      <c r="Z762" t="s">
        <v>6232</v>
      </c>
      <c r="AA762">
        <v>26</v>
      </c>
    </row>
    <row r="763" spans="26:27">
      <c r="Z763" t="s">
        <v>6232</v>
      </c>
      <c r="AA763">
        <v>27</v>
      </c>
    </row>
    <row r="764" spans="26:27">
      <c r="Z764" t="s">
        <v>6232</v>
      </c>
      <c r="AA764">
        <v>28</v>
      </c>
    </row>
    <row r="765" spans="26:27">
      <c r="Z765" t="s">
        <v>6232</v>
      </c>
      <c r="AA765">
        <v>29</v>
      </c>
    </row>
    <row r="766" spans="26:27">
      <c r="Z766" t="s">
        <v>6232</v>
      </c>
      <c r="AA766">
        <v>30</v>
      </c>
    </row>
    <row r="767" spans="26:27">
      <c r="Z767" t="s">
        <v>6232</v>
      </c>
      <c r="AA767">
        <v>31</v>
      </c>
    </row>
    <row r="768" spans="26:27">
      <c r="Z768" t="s">
        <v>6232</v>
      </c>
      <c r="AA768">
        <v>32</v>
      </c>
    </row>
    <row r="769" spans="26:27">
      <c r="Z769" t="s">
        <v>6232</v>
      </c>
      <c r="AA769">
        <v>33</v>
      </c>
    </row>
    <row r="770" spans="26:27">
      <c r="Z770" t="s">
        <v>6232</v>
      </c>
      <c r="AA770">
        <v>34</v>
      </c>
    </row>
    <row r="771" spans="26:27">
      <c r="Z771" t="s">
        <v>6232</v>
      </c>
      <c r="AA771">
        <v>35</v>
      </c>
    </row>
    <row r="772" spans="26:27">
      <c r="Z772" t="s">
        <v>6232</v>
      </c>
      <c r="AA772">
        <v>36</v>
      </c>
    </row>
    <row r="773" spans="26:27">
      <c r="Z773" t="s">
        <v>6232</v>
      </c>
      <c r="AA773">
        <v>37</v>
      </c>
    </row>
    <row r="774" spans="26:27">
      <c r="Z774" t="s">
        <v>6232</v>
      </c>
      <c r="AA774">
        <v>38</v>
      </c>
    </row>
    <row r="775" spans="26:27">
      <c r="Z775" t="s">
        <v>6232</v>
      </c>
      <c r="AA775">
        <v>39</v>
      </c>
    </row>
    <row r="776" spans="26:27">
      <c r="Z776" t="s">
        <v>6232</v>
      </c>
      <c r="AA776">
        <v>40</v>
      </c>
    </row>
    <row r="777" spans="26:27">
      <c r="Z777" t="s">
        <v>6232</v>
      </c>
      <c r="AA777">
        <v>41</v>
      </c>
    </row>
    <row r="778" spans="26:27">
      <c r="Z778" t="s">
        <v>6232</v>
      </c>
      <c r="AA778">
        <v>42</v>
      </c>
    </row>
    <row r="779" spans="26:27">
      <c r="Z779" t="s">
        <v>6232</v>
      </c>
      <c r="AA779">
        <v>43</v>
      </c>
    </row>
    <row r="780" spans="26:27">
      <c r="Z780" t="s">
        <v>6232</v>
      </c>
      <c r="AA780">
        <v>44</v>
      </c>
    </row>
    <row r="781" spans="26:27">
      <c r="Z781" t="s">
        <v>6232</v>
      </c>
      <c r="AA781">
        <v>45</v>
      </c>
    </row>
    <row r="782" spans="26:27">
      <c r="Z782" t="s">
        <v>6232</v>
      </c>
      <c r="AA782">
        <v>46</v>
      </c>
    </row>
    <row r="783" spans="26:27">
      <c r="Z783" t="s">
        <v>6232</v>
      </c>
      <c r="AA783">
        <v>47</v>
      </c>
    </row>
    <row r="784" spans="26:27">
      <c r="Z784" t="s">
        <v>6232</v>
      </c>
      <c r="AA784">
        <v>48</v>
      </c>
    </row>
    <row r="785" spans="26:27">
      <c r="Z785" t="s">
        <v>6232</v>
      </c>
      <c r="AA785">
        <v>49</v>
      </c>
    </row>
    <row r="786" spans="26:27">
      <c r="Z786" t="s">
        <v>6232</v>
      </c>
      <c r="AA786">
        <v>50</v>
      </c>
    </row>
    <row r="787" spans="26:27">
      <c r="Z787" t="s">
        <v>6232</v>
      </c>
      <c r="AA787">
        <v>51</v>
      </c>
    </row>
    <row r="788" spans="26:27">
      <c r="Z788" t="s">
        <v>6232</v>
      </c>
      <c r="AA788">
        <v>52</v>
      </c>
    </row>
    <row r="789" spans="26:27">
      <c r="Z789" t="s">
        <v>6232</v>
      </c>
      <c r="AA789">
        <v>53</v>
      </c>
    </row>
    <row r="790" spans="26:27">
      <c r="Z790" t="s">
        <v>6232</v>
      </c>
      <c r="AA790">
        <v>54</v>
      </c>
    </row>
    <row r="791" spans="26:27">
      <c r="Z791" t="s">
        <v>6232</v>
      </c>
      <c r="AA791">
        <v>55</v>
      </c>
    </row>
    <row r="792" spans="26:27">
      <c r="Z792" t="s">
        <v>6232</v>
      </c>
      <c r="AA792">
        <v>56</v>
      </c>
    </row>
    <row r="793" spans="26:27">
      <c r="Z793" t="s">
        <v>6232</v>
      </c>
      <c r="AA793">
        <v>57</v>
      </c>
    </row>
    <row r="794" spans="26:27">
      <c r="Z794" t="s">
        <v>6232</v>
      </c>
      <c r="AA794">
        <v>58</v>
      </c>
    </row>
    <row r="795" spans="26:27">
      <c r="Z795" t="s">
        <v>6232</v>
      </c>
      <c r="AA795">
        <v>59</v>
      </c>
    </row>
    <row r="796" spans="26:27">
      <c r="Z796" t="s">
        <v>6232</v>
      </c>
      <c r="AA796">
        <v>60</v>
      </c>
    </row>
    <row r="797" spans="26:27">
      <c r="Z797" t="s">
        <v>6232</v>
      </c>
      <c r="AA797">
        <v>61</v>
      </c>
    </row>
    <row r="798" spans="26:27">
      <c r="Z798" t="s">
        <v>6232</v>
      </c>
      <c r="AA798">
        <v>62</v>
      </c>
    </row>
    <row r="799" spans="26:27">
      <c r="Z799" t="s">
        <v>6232</v>
      </c>
      <c r="AA799">
        <v>63</v>
      </c>
    </row>
    <row r="800" spans="26:27">
      <c r="Z800" t="s">
        <v>6232</v>
      </c>
      <c r="AA800">
        <v>64</v>
      </c>
    </row>
    <row r="801" spans="26:27">
      <c r="Z801" t="s">
        <v>6232</v>
      </c>
      <c r="AA801">
        <v>65</v>
      </c>
    </row>
    <row r="802" spans="26:27">
      <c r="Z802" t="s">
        <v>6232</v>
      </c>
      <c r="AA802">
        <v>66</v>
      </c>
    </row>
    <row r="803" spans="26:27">
      <c r="Z803" t="s">
        <v>6232</v>
      </c>
      <c r="AA803">
        <v>67</v>
      </c>
    </row>
    <row r="804" spans="26:27">
      <c r="Z804" t="s">
        <v>6232</v>
      </c>
      <c r="AA804">
        <v>68</v>
      </c>
    </row>
    <row r="805" spans="26:27">
      <c r="Z805" t="s">
        <v>6232</v>
      </c>
      <c r="AA805">
        <v>69</v>
      </c>
    </row>
    <row r="806" spans="26:27">
      <c r="Z806" t="s">
        <v>6232</v>
      </c>
      <c r="AA806">
        <v>70</v>
      </c>
    </row>
    <row r="807" spans="26:27">
      <c r="Z807" t="s">
        <v>6232</v>
      </c>
      <c r="AA807">
        <v>71</v>
      </c>
    </row>
    <row r="808" spans="26:27">
      <c r="Z808" t="s">
        <v>6232</v>
      </c>
      <c r="AA808">
        <v>72</v>
      </c>
    </row>
    <row r="809" spans="26:27">
      <c r="Z809" t="s">
        <v>6232</v>
      </c>
      <c r="AA809">
        <v>73</v>
      </c>
    </row>
    <row r="810" spans="26:27">
      <c r="Z810" t="s">
        <v>6232</v>
      </c>
      <c r="AA810">
        <v>74</v>
      </c>
    </row>
    <row r="811" spans="26:27">
      <c r="Z811" t="s">
        <v>6232</v>
      </c>
      <c r="AA811">
        <v>75</v>
      </c>
    </row>
    <row r="812" spans="26:27">
      <c r="Z812" t="s">
        <v>6232</v>
      </c>
      <c r="AA812">
        <v>76</v>
      </c>
    </row>
    <row r="813" spans="26:27">
      <c r="Z813" t="s">
        <v>6232</v>
      </c>
      <c r="AA813">
        <v>77</v>
      </c>
    </row>
    <row r="814" spans="26:27">
      <c r="Z814" t="s">
        <v>6232</v>
      </c>
      <c r="AA814">
        <v>78</v>
      </c>
    </row>
    <row r="815" spans="26:27">
      <c r="Z815" t="s">
        <v>6232</v>
      </c>
      <c r="AA815">
        <v>79</v>
      </c>
    </row>
    <row r="816" spans="26:27">
      <c r="Z816" t="s">
        <v>6232</v>
      </c>
      <c r="AA816">
        <v>80</v>
      </c>
    </row>
    <row r="817" spans="26:27">
      <c r="Z817" t="s">
        <v>6232</v>
      </c>
      <c r="AA817">
        <v>81</v>
      </c>
    </row>
    <row r="818" spans="26:27">
      <c r="Z818" t="s">
        <v>6232</v>
      </c>
      <c r="AA818">
        <v>82</v>
      </c>
    </row>
    <row r="819" spans="26:27">
      <c r="Z819" t="s">
        <v>6232</v>
      </c>
      <c r="AA819">
        <v>83</v>
      </c>
    </row>
    <row r="820" spans="26:27">
      <c r="Z820" t="s">
        <v>6232</v>
      </c>
      <c r="AA820">
        <v>84</v>
      </c>
    </row>
    <row r="821" spans="26:27">
      <c r="Z821" t="s">
        <v>6232</v>
      </c>
      <c r="AA821">
        <v>85</v>
      </c>
    </row>
    <row r="822" spans="26:27">
      <c r="Z822" t="s">
        <v>6232</v>
      </c>
      <c r="AA822">
        <v>86</v>
      </c>
    </row>
    <row r="823" spans="26:27">
      <c r="Z823" t="s">
        <v>6232</v>
      </c>
      <c r="AA823">
        <v>87</v>
      </c>
    </row>
    <row r="824" spans="26:27">
      <c r="Z824" t="s">
        <v>6232</v>
      </c>
      <c r="AA824">
        <v>88</v>
      </c>
    </row>
    <row r="825" spans="26:27">
      <c r="Z825" t="s">
        <v>6232</v>
      </c>
      <c r="AA825">
        <v>89</v>
      </c>
    </row>
    <row r="826" spans="26:27">
      <c r="Z826" t="s">
        <v>6232</v>
      </c>
      <c r="AA826">
        <v>90</v>
      </c>
    </row>
    <row r="827" spans="26:27">
      <c r="Z827" t="s">
        <v>6232</v>
      </c>
      <c r="AA827">
        <v>91</v>
      </c>
    </row>
    <row r="828" spans="26:27">
      <c r="Z828" t="s">
        <v>6232</v>
      </c>
      <c r="AA828">
        <v>92</v>
      </c>
    </row>
    <row r="829" spans="26:27">
      <c r="Z829" t="s">
        <v>6232</v>
      </c>
      <c r="AA829">
        <v>93</v>
      </c>
    </row>
    <row r="830" spans="26:27">
      <c r="Z830" t="s">
        <v>6232</v>
      </c>
      <c r="AA830">
        <v>94</v>
      </c>
    </row>
    <row r="831" spans="26:27">
      <c r="Z831" t="s">
        <v>6232</v>
      </c>
      <c r="AA831">
        <v>95</v>
      </c>
    </row>
    <row r="832" spans="26:27">
      <c r="Z832" t="s">
        <v>6232</v>
      </c>
      <c r="AA832">
        <v>96</v>
      </c>
    </row>
    <row r="833" spans="26:27">
      <c r="Z833" t="s">
        <v>6232</v>
      </c>
      <c r="AA833">
        <v>97</v>
      </c>
    </row>
    <row r="834" spans="26:27">
      <c r="Z834" t="s">
        <v>6232</v>
      </c>
      <c r="AA834">
        <v>98</v>
      </c>
    </row>
    <row r="835" spans="26:27">
      <c r="Z835" t="s">
        <v>6232</v>
      </c>
      <c r="AA835">
        <v>99</v>
      </c>
    </row>
    <row r="836" spans="26:27">
      <c r="Z836" t="s">
        <v>6232</v>
      </c>
      <c r="AA836">
        <v>100</v>
      </c>
    </row>
    <row r="837" spans="26:27">
      <c r="Z837" t="s">
        <v>6232</v>
      </c>
      <c r="AA837">
        <v>101</v>
      </c>
    </row>
    <row r="838" spans="26:27">
      <c r="Z838" t="s">
        <v>6232</v>
      </c>
      <c r="AA838">
        <v>102</v>
      </c>
    </row>
    <row r="839" spans="26:27">
      <c r="Z839" t="s">
        <v>6232</v>
      </c>
      <c r="AA839">
        <v>103</v>
      </c>
    </row>
    <row r="840" spans="26:27">
      <c r="Z840" t="s">
        <v>6232</v>
      </c>
      <c r="AA840">
        <v>104</v>
      </c>
    </row>
    <row r="841" spans="26:27">
      <c r="Z841" t="s">
        <v>6232</v>
      </c>
      <c r="AA841">
        <v>105</v>
      </c>
    </row>
    <row r="842" spans="26:27">
      <c r="Z842" t="s">
        <v>6232</v>
      </c>
      <c r="AA842">
        <v>106</v>
      </c>
    </row>
    <row r="843" spans="26:27">
      <c r="Z843" t="s">
        <v>6232</v>
      </c>
      <c r="AA843">
        <v>107</v>
      </c>
    </row>
    <row r="844" spans="26:27">
      <c r="Z844" t="s">
        <v>6232</v>
      </c>
      <c r="AA844">
        <v>108</v>
      </c>
    </row>
    <row r="845" spans="26:27">
      <c r="Z845" t="s">
        <v>6232</v>
      </c>
      <c r="AA845">
        <v>109</v>
      </c>
    </row>
    <row r="846" spans="26:27">
      <c r="Z846" t="s">
        <v>6232</v>
      </c>
      <c r="AA846">
        <v>110</v>
      </c>
    </row>
    <row r="847" spans="26:27">
      <c r="Z847" t="s">
        <v>6232</v>
      </c>
      <c r="AA847">
        <v>111</v>
      </c>
    </row>
    <row r="848" spans="26:27">
      <c r="Z848" t="s">
        <v>6232</v>
      </c>
      <c r="AA848">
        <v>112</v>
      </c>
    </row>
    <row r="849" spans="26:27">
      <c r="Z849" t="s">
        <v>6232</v>
      </c>
      <c r="AA849">
        <v>113</v>
      </c>
    </row>
    <row r="850" spans="26:27">
      <c r="Z850" t="s">
        <v>6232</v>
      </c>
      <c r="AA850">
        <v>114</v>
      </c>
    </row>
    <row r="851" spans="26:27">
      <c r="Z851" t="s">
        <v>6232</v>
      </c>
      <c r="AA851">
        <v>115</v>
      </c>
    </row>
    <row r="852" spans="26:27">
      <c r="Z852" t="s">
        <v>6232</v>
      </c>
      <c r="AA852">
        <v>116</v>
      </c>
    </row>
    <row r="853" spans="26:27">
      <c r="Z853" t="s">
        <v>6232</v>
      </c>
      <c r="AA853">
        <v>117</v>
      </c>
    </row>
    <row r="854" spans="26:27">
      <c r="Z854" t="s">
        <v>6232</v>
      </c>
      <c r="AA854">
        <v>118</v>
      </c>
    </row>
    <row r="855" spans="26:27">
      <c r="Z855" t="s">
        <v>6232</v>
      </c>
      <c r="AA855">
        <v>119</v>
      </c>
    </row>
    <row r="856" spans="26:27">
      <c r="Z856" t="s">
        <v>6232</v>
      </c>
      <c r="AA856">
        <v>120</v>
      </c>
    </row>
    <row r="857" spans="26:27">
      <c r="Z857" t="s">
        <v>6232</v>
      </c>
      <c r="AA857">
        <v>121</v>
      </c>
    </row>
    <row r="858" spans="26:27">
      <c r="Z858" t="s">
        <v>6232</v>
      </c>
      <c r="AA858">
        <v>122</v>
      </c>
    </row>
    <row r="859" spans="26:27">
      <c r="Z859" t="s">
        <v>6232</v>
      </c>
      <c r="AA859">
        <v>123</v>
      </c>
    </row>
    <row r="860" spans="26:27">
      <c r="Z860" t="s">
        <v>6232</v>
      </c>
      <c r="AA860">
        <v>124</v>
      </c>
    </row>
    <row r="861" spans="26:27">
      <c r="Z861" t="s">
        <v>6232</v>
      </c>
      <c r="AA861">
        <v>125</v>
      </c>
    </row>
    <row r="862" spans="26:27">
      <c r="Z862" t="s">
        <v>6232</v>
      </c>
      <c r="AA862">
        <v>126</v>
      </c>
    </row>
    <row r="863" spans="26:27">
      <c r="Z863" t="s">
        <v>6232</v>
      </c>
      <c r="AA863">
        <v>127</v>
      </c>
    </row>
    <row r="864" spans="26:27">
      <c r="Z864" t="s">
        <v>6232</v>
      </c>
      <c r="AA864">
        <v>128</v>
      </c>
    </row>
    <row r="865" spans="26:27">
      <c r="Z865" t="s">
        <v>6232</v>
      </c>
      <c r="AA865">
        <v>129</v>
      </c>
    </row>
    <row r="866" spans="26:27">
      <c r="Z866" t="s">
        <v>6232</v>
      </c>
      <c r="AA866">
        <v>130</v>
      </c>
    </row>
    <row r="867" spans="26:27">
      <c r="Z867" t="s">
        <v>6232</v>
      </c>
      <c r="AA867">
        <v>131</v>
      </c>
    </row>
    <row r="868" spans="26:27">
      <c r="Z868" t="s">
        <v>6232</v>
      </c>
      <c r="AA868">
        <v>132</v>
      </c>
    </row>
    <row r="869" spans="26:27">
      <c r="Z869" t="s">
        <v>6232</v>
      </c>
      <c r="AA869">
        <v>133</v>
      </c>
    </row>
    <row r="870" spans="26:27">
      <c r="Z870" t="s">
        <v>6232</v>
      </c>
      <c r="AA870">
        <v>134</v>
      </c>
    </row>
    <row r="871" spans="26:27">
      <c r="Z871" t="s">
        <v>6232</v>
      </c>
      <c r="AA871">
        <v>135</v>
      </c>
    </row>
    <row r="872" spans="26:27">
      <c r="Z872" t="s">
        <v>6232</v>
      </c>
      <c r="AA872">
        <v>136</v>
      </c>
    </row>
    <row r="873" spans="26:27">
      <c r="Z873" t="s">
        <v>6232</v>
      </c>
      <c r="AA873">
        <v>137</v>
      </c>
    </row>
    <row r="874" spans="26:27">
      <c r="Z874" t="s">
        <v>6232</v>
      </c>
      <c r="AA874">
        <v>138</v>
      </c>
    </row>
    <row r="875" spans="26:27">
      <c r="Z875" t="s">
        <v>6232</v>
      </c>
      <c r="AA875">
        <v>139</v>
      </c>
    </row>
    <row r="876" spans="26:27">
      <c r="Z876" t="s">
        <v>6232</v>
      </c>
      <c r="AA876">
        <v>140</v>
      </c>
    </row>
    <row r="877" spans="26:27">
      <c r="Z877" t="s">
        <v>6232</v>
      </c>
      <c r="AA877">
        <v>141</v>
      </c>
    </row>
    <row r="878" spans="26:27">
      <c r="Z878" t="s">
        <v>6232</v>
      </c>
      <c r="AA878">
        <v>142</v>
      </c>
    </row>
    <row r="879" spans="26:27">
      <c r="Z879" t="s">
        <v>6232</v>
      </c>
      <c r="AA879">
        <v>143</v>
      </c>
    </row>
    <row r="880" spans="26:27">
      <c r="Z880" t="s">
        <v>6232</v>
      </c>
      <c r="AA880">
        <v>144</v>
      </c>
    </row>
    <row r="881" spans="26:27">
      <c r="Z881" t="s">
        <v>6232</v>
      </c>
      <c r="AA881">
        <v>145</v>
      </c>
    </row>
    <row r="882" spans="26:27">
      <c r="Z882" t="s">
        <v>6232</v>
      </c>
      <c r="AA882">
        <v>146</v>
      </c>
    </row>
    <row r="883" spans="26:27">
      <c r="Z883" t="s">
        <v>6232</v>
      </c>
      <c r="AA883">
        <v>147</v>
      </c>
    </row>
    <row r="884" spans="26:27">
      <c r="Z884" t="s">
        <v>6232</v>
      </c>
      <c r="AA884">
        <v>148</v>
      </c>
    </row>
    <row r="885" spans="26:27">
      <c r="Z885" t="s">
        <v>6232</v>
      </c>
      <c r="AA885">
        <v>149</v>
      </c>
    </row>
    <row r="886" spans="26:27">
      <c r="Z886" t="s">
        <v>6232</v>
      </c>
      <c r="AA886">
        <v>150</v>
      </c>
    </row>
    <row r="887" spans="26:27">
      <c r="Z887" t="s">
        <v>6232</v>
      </c>
      <c r="AA887">
        <v>151</v>
      </c>
    </row>
    <row r="888" spans="26:27">
      <c r="Z888" t="s">
        <v>6232</v>
      </c>
      <c r="AA888">
        <v>152</v>
      </c>
    </row>
    <row r="889" spans="26:27">
      <c r="Z889" t="s">
        <v>6232</v>
      </c>
      <c r="AA889">
        <v>153</v>
      </c>
    </row>
    <row r="890" spans="26:27">
      <c r="Z890" t="s">
        <v>6232</v>
      </c>
      <c r="AA890">
        <v>154</v>
      </c>
    </row>
    <row r="891" spans="26:27">
      <c r="Z891" t="s">
        <v>6232</v>
      </c>
      <c r="AA891">
        <v>155</v>
      </c>
    </row>
    <row r="892" spans="26:27">
      <c r="Z892" t="s">
        <v>6232</v>
      </c>
      <c r="AA892">
        <v>156</v>
      </c>
    </row>
    <row r="893" spans="26:27">
      <c r="Z893" t="s">
        <v>6232</v>
      </c>
      <c r="AA893">
        <v>157</v>
      </c>
    </row>
    <row r="894" spans="26:27">
      <c r="Z894" t="s">
        <v>6232</v>
      </c>
      <c r="AA894">
        <v>158</v>
      </c>
    </row>
    <row r="895" spans="26:27">
      <c r="Z895" t="s">
        <v>6232</v>
      </c>
      <c r="AA895">
        <v>159</v>
      </c>
    </row>
    <row r="896" spans="26:27">
      <c r="Z896" t="s">
        <v>6232</v>
      </c>
      <c r="AA896">
        <v>160</v>
      </c>
    </row>
    <row r="897" spans="26:27">
      <c r="Z897" t="s">
        <v>6232</v>
      </c>
      <c r="AA897">
        <v>161</v>
      </c>
    </row>
    <row r="898" spans="26:27">
      <c r="Z898" t="s">
        <v>6232</v>
      </c>
      <c r="AA898">
        <v>162</v>
      </c>
    </row>
    <row r="899" spans="26:27">
      <c r="Z899" t="s">
        <v>6232</v>
      </c>
      <c r="AA899">
        <v>163</v>
      </c>
    </row>
    <row r="900" spans="26:27">
      <c r="Z900" t="s">
        <v>6232</v>
      </c>
      <c r="AA900">
        <v>164</v>
      </c>
    </row>
    <row r="901" spans="26:27">
      <c r="Z901" t="s">
        <v>6232</v>
      </c>
      <c r="AA901">
        <v>165</v>
      </c>
    </row>
    <row r="902" spans="26:27">
      <c r="Z902" t="s">
        <v>6232</v>
      </c>
      <c r="AA902">
        <v>166</v>
      </c>
    </row>
    <row r="903" spans="26:27">
      <c r="Z903" t="s">
        <v>6232</v>
      </c>
      <c r="AA903">
        <v>167</v>
      </c>
    </row>
    <row r="904" spans="26:27">
      <c r="Z904" t="s">
        <v>6232</v>
      </c>
      <c r="AA904">
        <v>168</v>
      </c>
    </row>
    <row r="905" spans="26:27">
      <c r="Z905" t="s">
        <v>6232</v>
      </c>
      <c r="AA905">
        <v>169</v>
      </c>
    </row>
    <row r="906" spans="26:27">
      <c r="Z906" t="s">
        <v>6232</v>
      </c>
      <c r="AA906">
        <v>170</v>
      </c>
    </row>
    <row r="907" spans="26:27">
      <c r="Z907" t="s">
        <v>6232</v>
      </c>
      <c r="AA907">
        <v>171</v>
      </c>
    </row>
    <row r="908" spans="26:27">
      <c r="Z908" t="s">
        <v>6232</v>
      </c>
      <c r="AA908">
        <v>172</v>
      </c>
    </row>
    <row r="909" spans="26:27">
      <c r="Z909" t="s">
        <v>6232</v>
      </c>
      <c r="AA909">
        <v>173</v>
      </c>
    </row>
    <row r="910" spans="26:27">
      <c r="Z910" t="s">
        <v>6232</v>
      </c>
      <c r="AA910">
        <v>174</v>
      </c>
    </row>
    <row r="911" spans="26:27">
      <c r="Z911" t="s">
        <v>6232</v>
      </c>
      <c r="AA911">
        <v>175</v>
      </c>
    </row>
    <row r="912" spans="26:27">
      <c r="Z912" t="s">
        <v>6232</v>
      </c>
      <c r="AA912">
        <v>176</v>
      </c>
    </row>
    <row r="913" spans="26:27">
      <c r="Z913" t="s">
        <v>6232</v>
      </c>
      <c r="AA913">
        <v>177</v>
      </c>
    </row>
    <row r="914" spans="26:27">
      <c r="Z914" t="s">
        <v>6232</v>
      </c>
      <c r="AA914">
        <v>178</v>
      </c>
    </row>
    <row r="915" spans="26:27">
      <c r="Z915" t="s">
        <v>6232</v>
      </c>
      <c r="AA915">
        <v>179</v>
      </c>
    </row>
    <row r="916" spans="26:27">
      <c r="Z916" t="s">
        <v>6232</v>
      </c>
      <c r="AA916">
        <v>180</v>
      </c>
    </row>
    <row r="917" spans="26:27">
      <c r="Z917" t="s">
        <v>6232</v>
      </c>
      <c r="AA917">
        <v>181</v>
      </c>
    </row>
    <row r="918" spans="26:27">
      <c r="Z918" t="s">
        <v>6232</v>
      </c>
      <c r="AA918">
        <v>182</v>
      </c>
    </row>
    <row r="919" spans="26:27">
      <c r="Z919" t="s">
        <v>6232</v>
      </c>
      <c r="AA919">
        <v>183</v>
      </c>
    </row>
    <row r="920" spans="26:27">
      <c r="Z920" t="s">
        <v>6232</v>
      </c>
      <c r="AA920">
        <v>184</v>
      </c>
    </row>
    <row r="921" spans="26:27">
      <c r="Z921" t="s">
        <v>6232</v>
      </c>
      <c r="AA921">
        <v>185</v>
      </c>
    </row>
    <row r="922" spans="26:27">
      <c r="Z922" t="s">
        <v>6232</v>
      </c>
      <c r="AA922">
        <v>186</v>
      </c>
    </row>
    <row r="923" spans="26:27">
      <c r="Z923" t="s">
        <v>6232</v>
      </c>
      <c r="AA923">
        <v>187</v>
      </c>
    </row>
    <row r="924" spans="26:27">
      <c r="Z924" t="s">
        <v>6232</v>
      </c>
      <c r="AA924">
        <v>188</v>
      </c>
    </row>
    <row r="925" spans="26:27">
      <c r="Z925" t="s">
        <v>6232</v>
      </c>
      <c r="AA925">
        <v>189</v>
      </c>
    </row>
    <row r="926" spans="26:27">
      <c r="Z926" t="s">
        <v>6232</v>
      </c>
      <c r="AA926">
        <v>190</v>
      </c>
    </row>
    <row r="927" spans="26:27">
      <c r="Z927" t="s">
        <v>6232</v>
      </c>
      <c r="AA927">
        <v>191</v>
      </c>
    </row>
    <row r="928" spans="26:27">
      <c r="Z928" t="s">
        <v>6232</v>
      </c>
      <c r="AA928">
        <v>192</v>
      </c>
    </row>
    <row r="929" spans="26:27">
      <c r="Z929" t="s">
        <v>6232</v>
      </c>
      <c r="AA929">
        <v>193</v>
      </c>
    </row>
    <row r="930" spans="26:27">
      <c r="Z930" t="s">
        <v>6232</v>
      </c>
      <c r="AA930">
        <v>194</v>
      </c>
    </row>
    <row r="931" spans="26:27">
      <c r="Z931" t="s">
        <v>6232</v>
      </c>
      <c r="AA931">
        <v>195</v>
      </c>
    </row>
    <row r="932" spans="26:27">
      <c r="Z932" t="s">
        <v>6232</v>
      </c>
      <c r="AA932">
        <v>196</v>
      </c>
    </row>
    <row r="933" spans="26:27">
      <c r="Z933" t="s">
        <v>6232</v>
      </c>
      <c r="AA933">
        <v>197</v>
      </c>
    </row>
    <row r="934" spans="26:27">
      <c r="Z934" t="s">
        <v>6232</v>
      </c>
      <c r="AA934">
        <v>198</v>
      </c>
    </row>
    <row r="935" spans="26:27">
      <c r="Z935" t="s">
        <v>6232</v>
      </c>
      <c r="AA935">
        <v>199</v>
      </c>
    </row>
    <row r="936" spans="26:27">
      <c r="Z936" t="s">
        <v>6232</v>
      </c>
      <c r="AA936">
        <v>200</v>
      </c>
    </row>
    <row r="937" spans="26:27">
      <c r="Z937" t="s">
        <v>6232</v>
      </c>
      <c r="AA937">
        <v>201</v>
      </c>
    </row>
    <row r="938" spans="26:27">
      <c r="Z938" t="s">
        <v>6232</v>
      </c>
      <c r="AA938">
        <v>202</v>
      </c>
    </row>
    <row r="939" spans="26:27">
      <c r="Z939" t="s">
        <v>6232</v>
      </c>
      <c r="AA939">
        <v>203</v>
      </c>
    </row>
    <row r="940" spans="26:27">
      <c r="Z940" t="s">
        <v>6232</v>
      </c>
      <c r="AA940">
        <v>204</v>
      </c>
    </row>
    <row r="941" spans="26:27">
      <c r="Z941" t="s">
        <v>6232</v>
      </c>
      <c r="AA941">
        <v>205</v>
      </c>
    </row>
    <row r="942" spans="26:27">
      <c r="Z942" t="s">
        <v>6232</v>
      </c>
      <c r="AA942">
        <v>206</v>
      </c>
    </row>
    <row r="943" spans="26:27">
      <c r="Z943" t="s">
        <v>6232</v>
      </c>
      <c r="AA943">
        <v>207</v>
      </c>
    </row>
    <row r="944" spans="26:27">
      <c r="Z944" t="s">
        <v>6232</v>
      </c>
      <c r="AA944">
        <v>208</v>
      </c>
    </row>
    <row r="945" spans="26:27">
      <c r="Z945" t="s">
        <v>6232</v>
      </c>
      <c r="AA945">
        <v>209</v>
      </c>
    </row>
    <row r="946" spans="26:27">
      <c r="Z946" t="s">
        <v>6232</v>
      </c>
      <c r="AA946">
        <v>210</v>
      </c>
    </row>
    <row r="947" spans="26:27">
      <c r="Z947" t="s">
        <v>6232</v>
      </c>
      <c r="AA947">
        <v>211</v>
      </c>
    </row>
    <row r="948" spans="26:27">
      <c r="Z948" t="s">
        <v>6232</v>
      </c>
      <c r="AA948">
        <v>212</v>
      </c>
    </row>
    <row r="949" spans="26:27">
      <c r="Z949" t="s">
        <v>6232</v>
      </c>
      <c r="AA949">
        <v>213</v>
      </c>
    </row>
    <row r="950" spans="26:27">
      <c r="Z950" t="s">
        <v>6232</v>
      </c>
      <c r="AA950">
        <v>214</v>
      </c>
    </row>
    <row r="951" spans="26:27">
      <c r="Z951" t="s">
        <v>6232</v>
      </c>
      <c r="AA951">
        <v>215</v>
      </c>
    </row>
    <row r="952" spans="26:27">
      <c r="Z952" t="s">
        <v>6232</v>
      </c>
      <c r="AA952">
        <v>216</v>
      </c>
    </row>
    <row r="953" spans="26:27">
      <c r="Z953" t="s">
        <v>6232</v>
      </c>
      <c r="AA953">
        <v>217</v>
      </c>
    </row>
    <row r="954" spans="26:27">
      <c r="Z954" t="s">
        <v>6232</v>
      </c>
      <c r="AA954">
        <v>218</v>
      </c>
    </row>
    <row r="955" spans="26:27">
      <c r="Z955" t="s">
        <v>6232</v>
      </c>
      <c r="AA955">
        <v>219</v>
      </c>
    </row>
    <row r="956" spans="26:27">
      <c r="Z956" t="s">
        <v>6232</v>
      </c>
      <c r="AA956">
        <v>220</v>
      </c>
    </row>
    <row r="957" spans="26:27">
      <c r="Z957" t="s">
        <v>6232</v>
      </c>
      <c r="AA957">
        <v>221</v>
      </c>
    </row>
    <row r="958" spans="26:27">
      <c r="Z958" t="s">
        <v>6232</v>
      </c>
      <c r="AA958">
        <v>222</v>
      </c>
    </row>
    <row r="959" spans="26:27">
      <c r="Z959" t="s">
        <v>6232</v>
      </c>
      <c r="AA959">
        <v>223</v>
      </c>
    </row>
    <row r="960" spans="26:27">
      <c r="Z960" t="s">
        <v>6232</v>
      </c>
      <c r="AA960">
        <v>224</v>
      </c>
    </row>
    <row r="961" spans="26:27">
      <c r="Z961" t="s">
        <v>6232</v>
      </c>
      <c r="AA961">
        <v>225</v>
      </c>
    </row>
    <row r="962" spans="26:27">
      <c r="Z962" t="s">
        <v>6232</v>
      </c>
      <c r="AA962">
        <v>226</v>
      </c>
    </row>
    <row r="963" spans="26:27">
      <c r="Z963" t="s">
        <v>6232</v>
      </c>
      <c r="AA963">
        <v>227</v>
      </c>
    </row>
    <row r="964" spans="26:27">
      <c r="Z964" t="s">
        <v>6232</v>
      </c>
      <c r="AA964">
        <v>228</v>
      </c>
    </row>
    <row r="965" spans="26:27">
      <c r="Z965" t="s">
        <v>6232</v>
      </c>
      <c r="AA965">
        <v>229</v>
      </c>
    </row>
    <row r="966" spans="26:27">
      <c r="Z966" t="s">
        <v>6232</v>
      </c>
      <c r="AA966">
        <v>230</v>
      </c>
    </row>
    <row r="967" spans="26:27">
      <c r="Z967" t="s">
        <v>6232</v>
      </c>
      <c r="AA967">
        <v>231</v>
      </c>
    </row>
    <row r="968" spans="26:27">
      <c r="Z968" t="s">
        <v>6232</v>
      </c>
      <c r="AA968">
        <v>232</v>
      </c>
    </row>
    <row r="969" spans="26:27">
      <c r="Z969" t="s">
        <v>6232</v>
      </c>
      <c r="AA969">
        <v>233</v>
      </c>
    </row>
    <row r="970" spans="26:27">
      <c r="Z970" t="s">
        <v>6232</v>
      </c>
      <c r="AA970">
        <v>234</v>
      </c>
    </row>
    <row r="971" spans="26:27">
      <c r="Z971" t="s">
        <v>6232</v>
      </c>
      <c r="AA971">
        <v>235</v>
      </c>
    </row>
    <row r="972" spans="26:27">
      <c r="Z972" t="s">
        <v>6232</v>
      </c>
      <c r="AA972">
        <v>236</v>
      </c>
    </row>
    <row r="973" spans="26:27">
      <c r="Z973" t="s">
        <v>6232</v>
      </c>
      <c r="AA973">
        <v>237</v>
      </c>
    </row>
    <row r="974" spans="26:27">
      <c r="Z974" t="s">
        <v>6232</v>
      </c>
      <c r="AA974">
        <v>238</v>
      </c>
    </row>
    <row r="975" spans="26:27">
      <c r="Z975" t="s">
        <v>6232</v>
      </c>
      <c r="AA975">
        <v>239</v>
      </c>
    </row>
    <row r="976" spans="26:27">
      <c r="Z976" t="s">
        <v>6232</v>
      </c>
      <c r="AA976">
        <v>240</v>
      </c>
    </row>
    <row r="977" spans="26:27">
      <c r="Z977" t="s">
        <v>6232</v>
      </c>
      <c r="AA977">
        <v>241</v>
      </c>
    </row>
    <row r="978" spans="26:27">
      <c r="Z978" t="s">
        <v>6232</v>
      </c>
      <c r="AA978">
        <v>242</v>
      </c>
    </row>
    <row r="979" spans="26:27">
      <c r="Z979" t="s">
        <v>6232</v>
      </c>
      <c r="AA979">
        <v>243</v>
      </c>
    </row>
    <row r="980" spans="26:27">
      <c r="Z980" t="s">
        <v>6232</v>
      </c>
      <c r="AA980">
        <v>244</v>
      </c>
    </row>
    <row r="981" spans="26:27">
      <c r="Z981" t="s">
        <v>6232</v>
      </c>
      <c r="AA981">
        <v>245</v>
      </c>
    </row>
    <row r="982" spans="26:27">
      <c r="Z982" t="s">
        <v>6232</v>
      </c>
      <c r="AA982">
        <v>246</v>
      </c>
    </row>
    <row r="983" spans="26:27">
      <c r="Z983" t="s">
        <v>6232</v>
      </c>
      <c r="AA983">
        <v>247</v>
      </c>
    </row>
    <row r="984" spans="26:27">
      <c r="Z984" t="s">
        <v>6232</v>
      </c>
      <c r="AA984">
        <v>248</v>
      </c>
    </row>
    <row r="985" spans="26:27">
      <c r="Z985" t="s">
        <v>6232</v>
      </c>
      <c r="AA985">
        <v>249</v>
      </c>
    </row>
    <row r="986" spans="26:27">
      <c r="Z986" t="s">
        <v>6232</v>
      </c>
      <c r="AA986">
        <v>250</v>
      </c>
    </row>
    <row r="987" spans="26:27">
      <c r="Z987" t="s">
        <v>6235</v>
      </c>
      <c r="AA987">
        <v>5</v>
      </c>
    </row>
    <row r="988" spans="26:27">
      <c r="Z988" t="s">
        <v>6235</v>
      </c>
      <c r="AA988">
        <v>6</v>
      </c>
    </row>
    <row r="989" spans="26:27">
      <c r="Z989" t="s">
        <v>6235</v>
      </c>
      <c r="AA989">
        <v>7</v>
      </c>
    </row>
    <row r="990" spans="26:27">
      <c r="Z990" t="s">
        <v>6235</v>
      </c>
      <c r="AA990">
        <v>8</v>
      </c>
    </row>
    <row r="991" spans="26:27">
      <c r="Z991" t="s">
        <v>6235</v>
      </c>
      <c r="AA991">
        <v>9</v>
      </c>
    </row>
    <row r="992" spans="26:27">
      <c r="Z992" t="s">
        <v>6235</v>
      </c>
      <c r="AA992">
        <v>10</v>
      </c>
    </row>
    <row r="993" spans="26:27">
      <c r="Z993" t="s">
        <v>6235</v>
      </c>
      <c r="AA993">
        <v>11</v>
      </c>
    </row>
    <row r="994" spans="26:27">
      <c r="Z994" t="s">
        <v>6235</v>
      </c>
      <c r="AA994">
        <v>12</v>
      </c>
    </row>
    <row r="995" spans="26:27">
      <c r="Z995" t="s">
        <v>6235</v>
      </c>
      <c r="AA995">
        <v>13</v>
      </c>
    </row>
    <row r="996" spans="26:27">
      <c r="Z996" t="s">
        <v>6235</v>
      </c>
      <c r="AA996">
        <v>14</v>
      </c>
    </row>
    <row r="997" spans="26:27">
      <c r="Z997" t="s">
        <v>6235</v>
      </c>
      <c r="AA997">
        <v>15</v>
      </c>
    </row>
    <row r="998" spans="26:27">
      <c r="Z998" t="s">
        <v>6235</v>
      </c>
      <c r="AA998">
        <v>16</v>
      </c>
    </row>
    <row r="999" spans="26:27">
      <c r="Z999" t="s">
        <v>6235</v>
      </c>
      <c r="AA999">
        <v>17</v>
      </c>
    </row>
    <row r="1000" spans="26:27">
      <c r="Z1000" t="s">
        <v>6235</v>
      </c>
      <c r="AA1000">
        <v>18</v>
      </c>
    </row>
    <row r="1001" spans="26:27">
      <c r="Z1001" t="s">
        <v>6235</v>
      </c>
      <c r="AA1001">
        <v>19</v>
      </c>
    </row>
    <row r="1002" spans="26:27">
      <c r="Z1002" t="s">
        <v>6235</v>
      </c>
      <c r="AA1002">
        <v>20</v>
      </c>
    </row>
    <row r="1003" spans="26:27">
      <c r="Z1003" t="s">
        <v>6235</v>
      </c>
      <c r="AA1003">
        <v>21</v>
      </c>
    </row>
    <row r="1004" spans="26:27">
      <c r="Z1004" t="s">
        <v>6235</v>
      </c>
      <c r="AA1004">
        <v>22</v>
      </c>
    </row>
    <row r="1005" spans="26:27">
      <c r="Z1005" t="s">
        <v>6235</v>
      </c>
      <c r="AA1005">
        <v>23</v>
      </c>
    </row>
    <row r="1006" spans="26:27">
      <c r="Z1006" t="s">
        <v>6235</v>
      </c>
      <c r="AA1006">
        <v>24</v>
      </c>
    </row>
    <row r="1007" spans="26:27">
      <c r="Z1007" t="s">
        <v>6235</v>
      </c>
      <c r="AA1007">
        <v>25</v>
      </c>
    </row>
    <row r="1008" spans="26:27">
      <c r="Z1008" t="s">
        <v>6235</v>
      </c>
      <c r="AA1008">
        <v>26</v>
      </c>
    </row>
    <row r="1009" spans="26:27">
      <c r="Z1009" t="s">
        <v>6235</v>
      </c>
      <c r="AA1009">
        <v>27</v>
      </c>
    </row>
    <row r="1010" spans="26:27">
      <c r="Z1010" t="s">
        <v>6235</v>
      </c>
      <c r="AA1010">
        <v>28</v>
      </c>
    </row>
    <row r="1011" spans="26:27">
      <c r="Z1011" t="s">
        <v>6235</v>
      </c>
      <c r="AA1011">
        <v>29</v>
      </c>
    </row>
    <row r="1012" spans="26:27">
      <c r="Z1012" t="s">
        <v>6235</v>
      </c>
      <c r="AA1012">
        <v>30</v>
      </c>
    </row>
    <row r="1013" spans="26:27">
      <c r="Z1013" t="s">
        <v>6235</v>
      </c>
      <c r="AA1013">
        <v>31</v>
      </c>
    </row>
    <row r="1014" spans="26:27">
      <c r="Z1014" t="s">
        <v>6235</v>
      </c>
      <c r="AA1014">
        <v>32</v>
      </c>
    </row>
    <row r="1015" spans="26:27">
      <c r="Z1015" t="s">
        <v>6235</v>
      </c>
      <c r="AA1015">
        <v>33</v>
      </c>
    </row>
    <row r="1016" spans="26:27">
      <c r="Z1016" t="s">
        <v>6235</v>
      </c>
      <c r="AA1016">
        <v>34</v>
      </c>
    </row>
    <row r="1017" spans="26:27">
      <c r="Z1017" t="s">
        <v>6235</v>
      </c>
      <c r="AA1017">
        <v>35</v>
      </c>
    </row>
    <row r="1018" spans="26:27">
      <c r="Z1018" t="s">
        <v>6235</v>
      </c>
      <c r="AA1018">
        <v>36</v>
      </c>
    </row>
    <row r="1019" spans="26:27">
      <c r="Z1019" t="s">
        <v>6235</v>
      </c>
      <c r="AA1019">
        <v>37</v>
      </c>
    </row>
    <row r="1020" spans="26:27">
      <c r="Z1020" t="s">
        <v>6235</v>
      </c>
      <c r="AA1020">
        <v>38</v>
      </c>
    </row>
    <row r="1021" spans="26:27">
      <c r="Z1021" t="s">
        <v>6235</v>
      </c>
      <c r="AA1021">
        <v>39</v>
      </c>
    </row>
    <row r="1022" spans="26:27">
      <c r="Z1022" t="s">
        <v>6235</v>
      </c>
      <c r="AA1022">
        <v>40</v>
      </c>
    </row>
    <row r="1023" spans="26:27">
      <c r="Z1023" t="s">
        <v>6235</v>
      </c>
      <c r="AA1023">
        <v>41</v>
      </c>
    </row>
    <row r="1024" spans="26:27">
      <c r="Z1024" t="s">
        <v>6235</v>
      </c>
      <c r="AA1024">
        <v>42</v>
      </c>
    </row>
    <row r="1025" spans="26:27">
      <c r="Z1025" t="s">
        <v>6235</v>
      </c>
      <c r="AA1025">
        <v>43</v>
      </c>
    </row>
    <row r="1026" spans="26:27">
      <c r="Z1026" t="s">
        <v>6235</v>
      </c>
      <c r="AA1026">
        <v>44</v>
      </c>
    </row>
    <row r="1027" spans="26:27">
      <c r="Z1027" t="s">
        <v>6235</v>
      </c>
      <c r="AA1027">
        <v>45</v>
      </c>
    </row>
    <row r="1028" spans="26:27">
      <c r="Z1028" t="s">
        <v>6235</v>
      </c>
      <c r="AA1028">
        <v>46</v>
      </c>
    </row>
    <row r="1029" spans="26:27">
      <c r="Z1029" t="s">
        <v>6235</v>
      </c>
      <c r="AA1029">
        <v>47</v>
      </c>
    </row>
    <row r="1030" spans="26:27">
      <c r="Z1030" t="s">
        <v>6235</v>
      </c>
      <c r="AA1030">
        <v>48</v>
      </c>
    </row>
    <row r="1031" spans="26:27">
      <c r="Z1031" t="s">
        <v>6235</v>
      </c>
      <c r="AA1031">
        <v>49</v>
      </c>
    </row>
    <row r="1032" spans="26:27">
      <c r="Z1032" t="s">
        <v>6235</v>
      </c>
      <c r="AA1032">
        <v>50</v>
      </c>
    </row>
    <row r="1033" spans="26:27">
      <c r="Z1033" t="s">
        <v>6235</v>
      </c>
      <c r="AA1033">
        <v>51</v>
      </c>
    </row>
    <row r="1034" spans="26:27">
      <c r="Z1034" t="s">
        <v>6235</v>
      </c>
      <c r="AA1034">
        <v>52</v>
      </c>
    </row>
    <row r="1035" spans="26:27">
      <c r="Z1035" t="s">
        <v>6235</v>
      </c>
      <c r="AA1035">
        <v>53</v>
      </c>
    </row>
    <row r="1036" spans="26:27">
      <c r="Z1036" t="s">
        <v>6235</v>
      </c>
      <c r="AA1036">
        <v>54</v>
      </c>
    </row>
    <row r="1037" spans="26:27">
      <c r="Z1037" t="s">
        <v>6235</v>
      </c>
      <c r="AA1037">
        <v>55</v>
      </c>
    </row>
    <row r="1038" spans="26:27">
      <c r="Z1038" t="s">
        <v>6235</v>
      </c>
      <c r="AA1038">
        <v>56</v>
      </c>
    </row>
    <row r="1039" spans="26:27">
      <c r="Z1039" t="s">
        <v>6235</v>
      </c>
      <c r="AA1039">
        <v>57</v>
      </c>
    </row>
    <row r="1040" spans="26:27">
      <c r="Z1040" t="s">
        <v>6235</v>
      </c>
      <c r="AA1040">
        <v>58</v>
      </c>
    </row>
    <row r="1041" spans="26:27">
      <c r="Z1041" t="s">
        <v>6235</v>
      </c>
      <c r="AA1041">
        <v>59</v>
      </c>
    </row>
    <row r="1042" spans="26:27">
      <c r="Z1042" t="s">
        <v>6235</v>
      </c>
      <c r="AA1042">
        <v>60</v>
      </c>
    </row>
    <row r="1043" spans="26:27">
      <c r="Z1043" t="s">
        <v>6235</v>
      </c>
      <c r="AA1043">
        <v>61</v>
      </c>
    </row>
    <row r="1044" spans="26:27">
      <c r="Z1044" t="s">
        <v>6235</v>
      </c>
      <c r="AA1044">
        <v>62</v>
      </c>
    </row>
    <row r="1045" spans="26:27">
      <c r="Z1045" t="s">
        <v>6235</v>
      </c>
      <c r="AA1045">
        <v>63</v>
      </c>
    </row>
    <row r="1046" spans="26:27">
      <c r="Z1046" t="s">
        <v>6235</v>
      </c>
      <c r="AA1046">
        <v>64</v>
      </c>
    </row>
    <row r="1047" spans="26:27">
      <c r="Z1047" t="s">
        <v>6235</v>
      </c>
      <c r="AA1047">
        <v>65</v>
      </c>
    </row>
    <row r="1048" spans="26:27">
      <c r="Z1048" t="s">
        <v>6235</v>
      </c>
      <c r="AA1048">
        <v>66</v>
      </c>
    </row>
    <row r="1049" spans="26:27">
      <c r="Z1049" t="s">
        <v>6235</v>
      </c>
      <c r="AA1049">
        <v>67</v>
      </c>
    </row>
    <row r="1050" spans="26:27">
      <c r="Z1050" t="s">
        <v>6235</v>
      </c>
      <c r="AA1050">
        <v>68</v>
      </c>
    </row>
    <row r="1051" spans="26:27">
      <c r="Z1051" t="s">
        <v>6235</v>
      </c>
      <c r="AA1051">
        <v>69</v>
      </c>
    </row>
    <row r="1052" spans="26:27">
      <c r="Z1052" t="s">
        <v>6235</v>
      </c>
      <c r="AA1052">
        <v>70</v>
      </c>
    </row>
    <row r="1053" spans="26:27">
      <c r="Z1053" t="s">
        <v>6235</v>
      </c>
      <c r="AA1053">
        <v>71</v>
      </c>
    </row>
    <row r="1054" spans="26:27">
      <c r="Z1054" t="s">
        <v>6235</v>
      </c>
      <c r="AA1054">
        <v>72</v>
      </c>
    </row>
    <row r="1055" spans="26:27">
      <c r="Z1055" t="s">
        <v>6235</v>
      </c>
      <c r="AA1055">
        <v>73</v>
      </c>
    </row>
    <row r="1056" spans="26:27">
      <c r="Z1056" t="s">
        <v>6235</v>
      </c>
      <c r="AA1056">
        <v>74</v>
      </c>
    </row>
    <row r="1057" spans="26:27">
      <c r="Z1057" t="s">
        <v>6235</v>
      </c>
      <c r="AA1057">
        <v>75</v>
      </c>
    </row>
    <row r="1058" spans="26:27">
      <c r="Z1058" t="s">
        <v>6235</v>
      </c>
      <c r="AA1058">
        <v>76</v>
      </c>
    </row>
    <row r="1059" spans="26:27">
      <c r="Z1059" t="s">
        <v>6235</v>
      </c>
      <c r="AA1059">
        <v>77</v>
      </c>
    </row>
    <row r="1060" spans="26:27">
      <c r="Z1060" t="s">
        <v>6235</v>
      </c>
      <c r="AA1060">
        <v>78</v>
      </c>
    </row>
    <row r="1061" spans="26:27">
      <c r="Z1061" t="s">
        <v>6235</v>
      </c>
      <c r="AA1061">
        <v>79</v>
      </c>
    </row>
    <row r="1062" spans="26:27">
      <c r="Z1062" t="s">
        <v>6235</v>
      </c>
      <c r="AA1062">
        <v>80</v>
      </c>
    </row>
    <row r="1063" spans="26:27">
      <c r="Z1063" t="s">
        <v>6235</v>
      </c>
      <c r="AA1063">
        <v>81</v>
      </c>
    </row>
    <row r="1064" spans="26:27">
      <c r="Z1064" t="s">
        <v>6235</v>
      </c>
      <c r="AA1064">
        <v>82</v>
      </c>
    </row>
    <row r="1065" spans="26:27">
      <c r="Z1065" t="s">
        <v>6235</v>
      </c>
      <c r="AA1065">
        <v>83</v>
      </c>
    </row>
    <row r="1066" spans="26:27">
      <c r="Z1066" t="s">
        <v>6235</v>
      </c>
      <c r="AA1066">
        <v>84</v>
      </c>
    </row>
    <row r="1067" spans="26:27">
      <c r="Z1067" t="s">
        <v>6235</v>
      </c>
      <c r="AA1067">
        <v>85</v>
      </c>
    </row>
    <row r="1068" spans="26:27">
      <c r="Z1068" t="s">
        <v>6235</v>
      </c>
      <c r="AA1068">
        <v>86</v>
      </c>
    </row>
    <row r="1069" spans="26:27">
      <c r="Z1069" t="s">
        <v>6235</v>
      </c>
      <c r="AA1069">
        <v>87</v>
      </c>
    </row>
    <row r="1070" spans="26:27">
      <c r="Z1070" t="s">
        <v>6235</v>
      </c>
      <c r="AA1070">
        <v>88</v>
      </c>
    </row>
    <row r="1071" spans="26:27">
      <c r="Z1071" t="s">
        <v>6235</v>
      </c>
      <c r="AA1071">
        <v>89</v>
      </c>
    </row>
    <row r="1072" spans="26:27">
      <c r="Z1072" t="s">
        <v>6235</v>
      </c>
      <c r="AA1072">
        <v>90</v>
      </c>
    </row>
    <row r="1073" spans="26:27">
      <c r="Z1073" t="s">
        <v>6235</v>
      </c>
      <c r="AA1073">
        <v>91</v>
      </c>
    </row>
    <row r="1074" spans="26:27">
      <c r="Z1074" t="s">
        <v>6235</v>
      </c>
      <c r="AA1074">
        <v>92</v>
      </c>
    </row>
    <row r="1075" spans="26:27">
      <c r="Z1075" t="s">
        <v>6235</v>
      </c>
      <c r="AA1075">
        <v>93</v>
      </c>
    </row>
    <row r="1076" spans="26:27">
      <c r="Z1076" t="s">
        <v>6235</v>
      </c>
      <c r="AA1076">
        <v>94</v>
      </c>
    </row>
    <row r="1077" spans="26:27">
      <c r="Z1077" t="s">
        <v>6235</v>
      </c>
      <c r="AA1077">
        <v>95</v>
      </c>
    </row>
    <row r="1078" spans="26:27">
      <c r="Z1078" t="s">
        <v>6235</v>
      </c>
      <c r="AA1078">
        <v>96</v>
      </c>
    </row>
    <row r="1079" spans="26:27">
      <c r="Z1079" t="s">
        <v>6235</v>
      </c>
      <c r="AA1079">
        <v>97</v>
      </c>
    </row>
    <row r="1080" spans="26:27">
      <c r="Z1080" t="s">
        <v>6235</v>
      </c>
      <c r="AA1080">
        <v>98</v>
      </c>
    </row>
    <row r="1081" spans="26:27">
      <c r="Z1081" t="s">
        <v>6235</v>
      </c>
      <c r="AA1081">
        <v>99</v>
      </c>
    </row>
    <row r="1082" spans="26:27">
      <c r="Z1082" t="s">
        <v>6235</v>
      </c>
      <c r="AA1082">
        <v>100</v>
      </c>
    </row>
    <row r="1083" spans="26:27">
      <c r="Z1083" t="s">
        <v>6235</v>
      </c>
      <c r="AA1083">
        <v>101</v>
      </c>
    </row>
    <row r="1084" spans="26:27">
      <c r="Z1084" t="s">
        <v>6235</v>
      </c>
      <c r="AA1084">
        <v>102</v>
      </c>
    </row>
    <row r="1085" spans="26:27">
      <c r="Z1085" t="s">
        <v>6235</v>
      </c>
      <c r="AA1085">
        <v>103</v>
      </c>
    </row>
    <row r="1086" spans="26:27">
      <c r="Z1086" t="s">
        <v>6235</v>
      </c>
      <c r="AA1086">
        <v>104</v>
      </c>
    </row>
    <row r="1087" spans="26:27">
      <c r="Z1087" t="s">
        <v>6235</v>
      </c>
      <c r="AA1087">
        <v>105</v>
      </c>
    </row>
    <row r="1088" spans="26:27">
      <c r="Z1088" t="s">
        <v>6235</v>
      </c>
      <c r="AA1088">
        <v>106</v>
      </c>
    </row>
    <row r="1089" spans="26:27">
      <c r="Z1089" t="s">
        <v>6235</v>
      </c>
      <c r="AA1089">
        <v>107</v>
      </c>
    </row>
    <row r="1090" spans="26:27">
      <c r="Z1090" t="s">
        <v>6235</v>
      </c>
      <c r="AA1090">
        <v>108</v>
      </c>
    </row>
    <row r="1091" spans="26:27">
      <c r="Z1091" t="s">
        <v>6235</v>
      </c>
      <c r="AA1091">
        <v>109</v>
      </c>
    </row>
    <row r="1092" spans="26:27">
      <c r="Z1092" t="s">
        <v>6235</v>
      </c>
      <c r="AA1092">
        <v>110</v>
      </c>
    </row>
    <row r="1093" spans="26:27">
      <c r="Z1093" t="s">
        <v>6235</v>
      </c>
      <c r="AA1093">
        <v>111</v>
      </c>
    </row>
    <row r="1094" spans="26:27">
      <c r="Z1094" t="s">
        <v>6235</v>
      </c>
      <c r="AA1094">
        <v>112</v>
      </c>
    </row>
    <row r="1095" spans="26:27">
      <c r="Z1095" t="s">
        <v>6235</v>
      </c>
      <c r="AA1095">
        <v>113</v>
      </c>
    </row>
    <row r="1096" spans="26:27">
      <c r="Z1096" t="s">
        <v>6235</v>
      </c>
      <c r="AA1096">
        <v>114</v>
      </c>
    </row>
    <row r="1097" spans="26:27">
      <c r="Z1097" t="s">
        <v>6235</v>
      </c>
      <c r="AA1097">
        <v>115</v>
      </c>
    </row>
    <row r="1098" spans="26:27">
      <c r="Z1098" t="s">
        <v>6235</v>
      </c>
      <c r="AA1098">
        <v>116</v>
      </c>
    </row>
    <row r="1099" spans="26:27">
      <c r="Z1099" t="s">
        <v>6235</v>
      </c>
      <c r="AA1099">
        <v>117</v>
      </c>
    </row>
    <row r="1100" spans="26:27">
      <c r="Z1100" t="s">
        <v>6235</v>
      </c>
      <c r="AA1100">
        <v>118</v>
      </c>
    </row>
    <row r="1101" spans="26:27">
      <c r="Z1101" t="s">
        <v>6235</v>
      </c>
      <c r="AA1101">
        <v>119</v>
      </c>
    </row>
    <row r="1102" spans="26:27">
      <c r="Z1102" t="s">
        <v>6235</v>
      </c>
      <c r="AA1102">
        <v>120</v>
      </c>
    </row>
    <row r="1103" spans="26:27">
      <c r="Z1103" t="s">
        <v>6235</v>
      </c>
      <c r="AA1103">
        <v>121</v>
      </c>
    </row>
    <row r="1104" spans="26:27">
      <c r="Z1104" t="s">
        <v>6235</v>
      </c>
      <c r="AA1104">
        <v>122</v>
      </c>
    </row>
    <row r="1105" spans="26:27">
      <c r="Z1105" t="s">
        <v>6235</v>
      </c>
      <c r="AA1105">
        <v>123</v>
      </c>
    </row>
    <row r="1106" spans="26:27">
      <c r="Z1106" t="s">
        <v>6235</v>
      </c>
      <c r="AA1106">
        <v>124</v>
      </c>
    </row>
    <row r="1107" spans="26:27">
      <c r="Z1107" t="s">
        <v>6235</v>
      </c>
      <c r="AA1107">
        <v>125</v>
      </c>
    </row>
    <row r="1108" spans="26:27">
      <c r="Z1108" t="s">
        <v>6235</v>
      </c>
      <c r="AA1108">
        <v>126</v>
      </c>
    </row>
    <row r="1109" spans="26:27">
      <c r="Z1109" t="s">
        <v>6235</v>
      </c>
      <c r="AA1109">
        <v>127</v>
      </c>
    </row>
    <row r="1110" spans="26:27">
      <c r="Z1110" t="s">
        <v>6235</v>
      </c>
      <c r="AA1110">
        <v>128</v>
      </c>
    </row>
    <row r="1111" spans="26:27">
      <c r="Z1111" t="s">
        <v>6235</v>
      </c>
      <c r="AA1111">
        <v>129</v>
      </c>
    </row>
    <row r="1112" spans="26:27">
      <c r="Z1112" t="s">
        <v>6235</v>
      </c>
      <c r="AA1112">
        <v>130</v>
      </c>
    </row>
    <row r="1113" spans="26:27">
      <c r="Z1113" t="s">
        <v>6235</v>
      </c>
      <c r="AA1113">
        <v>131</v>
      </c>
    </row>
    <row r="1114" spans="26:27">
      <c r="Z1114" t="s">
        <v>6235</v>
      </c>
      <c r="AA1114">
        <v>132</v>
      </c>
    </row>
    <row r="1115" spans="26:27">
      <c r="Z1115" t="s">
        <v>6235</v>
      </c>
      <c r="AA1115">
        <v>133</v>
      </c>
    </row>
    <row r="1116" spans="26:27">
      <c r="Z1116" t="s">
        <v>6235</v>
      </c>
      <c r="AA1116">
        <v>134</v>
      </c>
    </row>
    <row r="1117" spans="26:27">
      <c r="Z1117" t="s">
        <v>6235</v>
      </c>
      <c r="AA1117">
        <v>135</v>
      </c>
    </row>
    <row r="1118" spans="26:27">
      <c r="Z1118" t="s">
        <v>6235</v>
      </c>
      <c r="AA1118">
        <v>136</v>
      </c>
    </row>
    <row r="1119" spans="26:27">
      <c r="Z1119" t="s">
        <v>6235</v>
      </c>
      <c r="AA1119">
        <v>137</v>
      </c>
    </row>
    <row r="1120" spans="26:27">
      <c r="Z1120" t="s">
        <v>6235</v>
      </c>
      <c r="AA1120">
        <v>138</v>
      </c>
    </row>
    <row r="1121" spans="26:27">
      <c r="Z1121" t="s">
        <v>6235</v>
      </c>
      <c r="AA1121">
        <v>139</v>
      </c>
    </row>
    <row r="1122" spans="26:27">
      <c r="Z1122" t="s">
        <v>6235</v>
      </c>
      <c r="AA1122">
        <v>140</v>
      </c>
    </row>
    <row r="1123" spans="26:27">
      <c r="Z1123" t="s">
        <v>6235</v>
      </c>
      <c r="AA1123">
        <v>141</v>
      </c>
    </row>
    <row r="1124" spans="26:27">
      <c r="Z1124" t="s">
        <v>6235</v>
      </c>
      <c r="AA1124">
        <v>142</v>
      </c>
    </row>
    <row r="1125" spans="26:27">
      <c r="Z1125" t="s">
        <v>6235</v>
      </c>
      <c r="AA1125">
        <v>143</v>
      </c>
    </row>
    <row r="1126" spans="26:27">
      <c r="Z1126" t="s">
        <v>6235</v>
      </c>
      <c r="AA1126">
        <v>144</v>
      </c>
    </row>
    <row r="1127" spans="26:27">
      <c r="Z1127" t="s">
        <v>6235</v>
      </c>
      <c r="AA1127">
        <v>145</v>
      </c>
    </row>
    <row r="1128" spans="26:27">
      <c r="Z1128" t="s">
        <v>6235</v>
      </c>
      <c r="AA1128">
        <v>146</v>
      </c>
    </row>
    <row r="1129" spans="26:27">
      <c r="Z1129" t="s">
        <v>6235</v>
      </c>
      <c r="AA1129">
        <v>147</v>
      </c>
    </row>
    <row r="1130" spans="26:27">
      <c r="Z1130" t="s">
        <v>6235</v>
      </c>
      <c r="AA1130">
        <v>148</v>
      </c>
    </row>
    <row r="1131" spans="26:27">
      <c r="Z1131" t="s">
        <v>6235</v>
      </c>
      <c r="AA1131">
        <v>149</v>
      </c>
    </row>
    <row r="1132" spans="26:27">
      <c r="Z1132" t="s">
        <v>6235</v>
      </c>
      <c r="AA1132">
        <v>150</v>
      </c>
    </row>
    <row r="1133" spans="26:27">
      <c r="Z1133" t="s">
        <v>6235</v>
      </c>
      <c r="AA1133">
        <v>151</v>
      </c>
    </row>
    <row r="1134" spans="26:27">
      <c r="Z1134" t="s">
        <v>6235</v>
      </c>
      <c r="AA1134">
        <v>152</v>
      </c>
    </row>
    <row r="1135" spans="26:27">
      <c r="Z1135" t="s">
        <v>6235</v>
      </c>
      <c r="AA1135">
        <v>153</v>
      </c>
    </row>
    <row r="1136" spans="26:27">
      <c r="Z1136" t="s">
        <v>6235</v>
      </c>
      <c r="AA1136">
        <v>154</v>
      </c>
    </row>
    <row r="1137" spans="26:27">
      <c r="Z1137" t="s">
        <v>6235</v>
      </c>
      <c r="AA1137">
        <v>155</v>
      </c>
    </row>
    <row r="1138" spans="26:27">
      <c r="Z1138" t="s">
        <v>6235</v>
      </c>
      <c r="AA1138">
        <v>156</v>
      </c>
    </row>
    <row r="1139" spans="26:27">
      <c r="Z1139" t="s">
        <v>6235</v>
      </c>
      <c r="AA1139">
        <v>157</v>
      </c>
    </row>
    <row r="1140" spans="26:27">
      <c r="Z1140" t="s">
        <v>6235</v>
      </c>
      <c r="AA1140">
        <v>158</v>
      </c>
    </row>
    <row r="1141" spans="26:27">
      <c r="Z1141" t="s">
        <v>6235</v>
      </c>
      <c r="AA1141">
        <v>159</v>
      </c>
    </row>
    <row r="1142" spans="26:27">
      <c r="Z1142" t="s">
        <v>6235</v>
      </c>
      <c r="AA1142">
        <v>160</v>
      </c>
    </row>
    <row r="1143" spans="26:27">
      <c r="Z1143" t="s">
        <v>6235</v>
      </c>
      <c r="AA1143">
        <v>161</v>
      </c>
    </row>
    <row r="1144" spans="26:27">
      <c r="Z1144" t="s">
        <v>6235</v>
      </c>
      <c r="AA1144">
        <v>162</v>
      </c>
    </row>
    <row r="1145" spans="26:27">
      <c r="Z1145" t="s">
        <v>6235</v>
      </c>
      <c r="AA1145">
        <v>163</v>
      </c>
    </row>
    <row r="1146" spans="26:27">
      <c r="Z1146" t="s">
        <v>6235</v>
      </c>
      <c r="AA1146">
        <v>164</v>
      </c>
    </row>
    <row r="1147" spans="26:27">
      <c r="Z1147" t="s">
        <v>6235</v>
      </c>
      <c r="AA1147">
        <v>165</v>
      </c>
    </row>
    <row r="1148" spans="26:27">
      <c r="Z1148" t="s">
        <v>6235</v>
      </c>
      <c r="AA1148">
        <v>166</v>
      </c>
    </row>
    <row r="1149" spans="26:27">
      <c r="Z1149" t="s">
        <v>6235</v>
      </c>
      <c r="AA1149">
        <v>167</v>
      </c>
    </row>
    <row r="1150" spans="26:27">
      <c r="Z1150" t="s">
        <v>6235</v>
      </c>
      <c r="AA1150">
        <v>168</v>
      </c>
    </row>
    <row r="1151" spans="26:27">
      <c r="Z1151" t="s">
        <v>6235</v>
      </c>
      <c r="AA1151">
        <v>169</v>
      </c>
    </row>
    <row r="1152" spans="26:27">
      <c r="Z1152" t="s">
        <v>6235</v>
      </c>
      <c r="AA1152">
        <v>170</v>
      </c>
    </row>
    <row r="1153" spans="26:27">
      <c r="Z1153" t="s">
        <v>6235</v>
      </c>
      <c r="AA1153">
        <v>171</v>
      </c>
    </row>
    <row r="1154" spans="26:27">
      <c r="Z1154" t="s">
        <v>6235</v>
      </c>
      <c r="AA1154">
        <v>172</v>
      </c>
    </row>
    <row r="1155" spans="26:27">
      <c r="Z1155" t="s">
        <v>6235</v>
      </c>
      <c r="AA1155">
        <v>173</v>
      </c>
    </row>
    <row r="1156" spans="26:27">
      <c r="Z1156" t="s">
        <v>6235</v>
      </c>
      <c r="AA1156">
        <v>174</v>
      </c>
    </row>
    <row r="1157" spans="26:27">
      <c r="Z1157" t="s">
        <v>6235</v>
      </c>
      <c r="AA1157">
        <v>175</v>
      </c>
    </row>
    <row r="1158" spans="26:27">
      <c r="Z1158" t="s">
        <v>6235</v>
      </c>
      <c r="AA1158">
        <v>176</v>
      </c>
    </row>
    <row r="1159" spans="26:27">
      <c r="Z1159" t="s">
        <v>6235</v>
      </c>
      <c r="AA1159">
        <v>177</v>
      </c>
    </row>
    <row r="1160" spans="26:27">
      <c r="Z1160" t="s">
        <v>6235</v>
      </c>
      <c r="AA1160">
        <v>178</v>
      </c>
    </row>
    <row r="1161" spans="26:27">
      <c r="Z1161" t="s">
        <v>6235</v>
      </c>
      <c r="AA1161">
        <v>179</v>
      </c>
    </row>
    <row r="1162" spans="26:27">
      <c r="Z1162" t="s">
        <v>6235</v>
      </c>
      <c r="AA1162">
        <v>180</v>
      </c>
    </row>
    <row r="1163" spans="26:27">
      <c r="Z1163" t="s">
        <v>6235</v>
      </c>
      <c r="AA1163">
        <v>181</v>
      </c>
    </row>
    <row r="1164" spans="26:27">
      <c r="Z1164" t="s">
        <v>6235</v>
      </c>
      <c r="AA1164">
        <v>182</v>
      </c>
    </row>
    <row r="1165" spans="26:27">
      <c r="Z1165" t="s">
        <v>6235</v>
      </c>
      <c r="AA1165">
        <v>183</v>
      </c>
    </row>
    <row r="1166" spans="26:27">
      <c r="Z1166" t="s">
        <v>6235</v>
      </c>
      <c r="AA1166">
        <v>184</v>
      </c>
    </row>
    <row r="1167" spans="26:27">
      <c r="Z1167" t="s">
        <v>6235</v>
      </c>
      <c r="AA1167">
        <v>185</v>
      </c>
    </row>
    <row r="1168" spans="26:27">
      <c r="Z1168" t="s">
        <v>6235</v>
      </c>
      <c r="AA1168">
        <v>186</v>
      </c>
    </row>
    <row r="1169" spans="26:27">
      <c r="Z1169" t="s">
        <v>6235</v>
      </c>
      <c r="AA1169">
        <v>187</v>
      </c>
    </row>
    <row r="1170" spans="26:27">
      <c r="Z1170" t="s">
        <v>6235</v>
      </c>
      <c r="AA1170">
        <v>188</v>
      </c>
    </row>
    <row r="1171" spans="26:27">
      <c r="Z1171" t="s">
        <v>6235</v>
      </c>
      <c r="AA1171">
        <v>189</v>
      </c>
    </row>
    <row r="1172" spans="26:27">
      <c r="Z1172" t="s">
        <v>6235</v>
      </c>
      <c r="AA1172">
        <v>190</v>
      </c>
    </row>
    <row r="1173" spans="26:27">
      <c r="Z1173" t="s">
        <v>6235</v>
      </c>
      <c r="AA1173">
        <v>191</v>
      </c>
    </row>
    <row r="1174" spans="26:27">
      <c r="Z1174" t="s">
        <v>6235</v>
      </c>
      <c r="AA1174">
        <v>192</v>
      </c>
    </row>
    <row r="1175" spans="26:27">
      <c r="Z1175" t="s">
        <v>6235</v>
      </c>
      <c r="AA1175">
        <v>193</v>
      </c>
    </row>
    <row r="1176" spans="26:27">
      <c r="Z1176" t="s">
        <v>6235</v>
      </c>
      <c r="AA1176">
        <v>194</v>
      </c>
    </row>
    <row r="1177" spans="26:27">
      <c r="Z1177" t="s">
        <v>6235</v>
      </c>
      <c r="AA1177">
        <v>195</v>
      </c>
    </row>
    <row r="1178" spans="26:27">
      <c r="Z1178" t="s">
        <v>6235</v>
      </c>
      <c r="AA1178">
        <v>196</v>
      </c>
    </row>
    <row r="1179" spans="26:27">
      <c r="Z1179" t="s">
        <v>6235</v>
      </c>
      <c r="AA1179">
        <v>197</v>
      </c>
    </row>
    <row r="1180" spans="26:27">
      <c r="Z1180" t="s">
        <v>6235</v>
      </c>
      <c r="AA1180">
        <v>198</v>
      </c>
    </row>
    <row r="1181" spans="26:27">
      <c r="Z1181" t="s">
        <v>6235</v>
      </c>
      <c r="AA1181">
        <v>199</v>
      </c>
    </row>
    <row r="1182" spans="26:27">
      <c r="Z1182" t="s">
        <v>6235</v>
      </c>
      <c r="AA1182">
        <v>200</v>
      </c>
    </row>
    <row r="1183" spans="26:27">
      <c r="Z1183" t="s">
        <v>6235</v>
      </c>
      <c r="AA1183">
        <v>201</v>
      </c>
    </row>
    <row r="1184" spans="26:27">
      <c r="Z1184" t="s">
        <v>6235</v>
      </c>
      <c r="AA1184">
        <v>202</v>
      </c>
    </row>
    <row r="1185" spans="26:27">
      <c r="Z1185" t="s">
        <v>6235</v>
      </c>
      <c r="AA1185">
        <v>203</v>
      </c>
    </row>
    <row r="1186" spans="26:27">
      <c r="Z1186" t="s">
        <v>6235</v>
      </c>
      <c r="AA1186">
        <v>204</v>
      </c>
    </row>
    <row r="1187" spans="26:27">
      <c r="Z1187" t="s">
        <v>6235</v>
      </c>
      <c r="AA1187">
        <v>205</v>
      </c>
    </row>
    <row r="1188" spans="26:27">
      <c r="Z1188" t="s">
        <v>6235</v>
      </c>
      <c r="AA1188">
        <v>206</v>
      </c>
    </row>
    <row r="1189" spans="26:27">
      <c r="Z1189" t="s">
        <v>6235</v>
      </c>
      <c r="AA1189">
        <v>207</v>
      </c>
    </row>
    <row r="1190" spans="26:27">
      <c r="Z1190" t="s">
        <v>6235</v>
      </c>
      <c r="AA1190">
        <v>208</v>
      </c>
    </row>
    <row r="1191" spans="26:27">
      <c r="Z1191" t="s">
        <v>6235</v>
      </c>
      <c r="AA1191">
        <v>209</v>
      </c>
    </row>
    <row r="1192" spans="26:27">
      <c r="Z1192" t="s">
        <v>6235</v>
      </c>
      <c r="AA1192">
        <v>210</v>
      </c>
    </row>
    <row r="1193" spans="26:27">
      <c r="Z1193" t="s">
        <v>6235</v>
      </c>
      <c r="AA1193">
        <v>211</v>
      </c>
    </row>
    <row r="1194" spans="26:27">
      <c r="Z1194" t="s">
        <v>6235</v>
      </c>
      <c r="AA1194">
        <v>212</v>
      </c>
    </row>
    <row r="1195" spans="26:27">
      <c r="Z1195" t="s">
        <v>6235</v>
      </c>
      <c r="AA1195">
        <v>213</v>
      </c>
    </row>
    <row r="1196" spans="26:27">
      <c r="Z1196" t="s">
        <v>6235</v>
      </c>
      <c r="AA1196">
        <v>214</v>
      </c>
    </row>
    <row r="1197" spans="26:27">
      <c r="Z1197" t="s">
        <v>6235</v>
      </c>
      <c r="AA1197">
        <v>215</v>
      </c>
    </row>
    <row r="1198" spans="26:27">
      <c r="Z1198" t="s">
        <v>6235</v>
      </c>
      <c r="AA1198">
        <v>216</v>
      </c>
    </row>
    <row r="1199" spans="26:27">
      <c r="Z1199" t="s">
        <v>6235</v>
      </c>
      <c r="AA1199">
        <v>217</v>
      </c>
    </row>
    <row r="1200" spans="26:27">
      <c r="Z1200" t="s">
        <v>6235</v>
      </c>
      <c r="AA1200">
        <v>218</v>
      </c>
    </row>
    <row r="1201" spans="26:27">
      <c r="Z1201" t="s">
        <v>6235</v>
      </c>
      <c r="AA1201">
        <v>219</v>
      </c>
    </row>
    <row r="1202" spans="26:27">
      <c r="Z1202" t="s">
        <v>6235</v>
      </c>
      <c r="AA1202">
        <v>220</v>
      </c>
    </row>
    <row r="1203" spans="26:27">
      <c r="Z1203" t="s">
        <v>6235</v>
      </c>
      <c r="AA1203">
        <v>221</v>
      </c>
    </row>
    <row r="1204" spans="26:27">
      <c r="Z1204" t="s">
        <v>6235</v>
      </c>
      <c r="AA1204">
        <v>222</v>
      </c>
    </row>
    <row r="1205" spans="26:27">
      <c r="Z1205" t="s">
        <v>6235</v>
      </c>
      <c r="AA1205">
        <v>223</v>
      </c>
    </row>
    <row r="1206" spans="26:27">
      <c r="Z1206" t="s">
        <v>6235</v>
      </c>
      <c r="AA1206">
        <v>224</v>
      </c>
    </row>
    <row r="1207" spans="26:27">
      <c r="Z1207" t="s">
        <v>6235</v>
      </c>
      <c r="AA1207">
        <v>225</v>
      </c>
    </row>
    <row r="1208" spans="26:27">
      <c r="Z1208" t="s">
        <v>6235</v>
      </c>
      <c r="AA1208">
        <v>226</v>
      </c>
    </row>
    <row r="1209" spans="26:27">
      <c r="Z1209" t="s">
        <v>6235</v>
      </c>
      <c r="AA1209">
        <v>227</v>
      </c>
    </row>
    <row r="1210" spans="26:27">
      <c r="Z1210" t="s">
        <v>6235</v>
      </c>
      <c r="AA1210">
        <v>228</v>
      </c>
    </row>
    <row r="1211" spans="26:27">
      <c r="Z1211" t="s">
        <v>6235</v>
      </c>
      <c r="AA1211">
        <v>229</v>
      </c>
    </row>
    <row r="1212" spans="26:27">
      <c r="Z1212" t="s">
        <v>6235</v>
      </c>
      <c r="AA1212">
        <v>230</v>
      </c>
    </row>
    <row r="1213" spans="26:27">
      <c r="Z1213" t="s">
        <v>6235</v>
      </c>
      <c r="AA1213">
        <v>231</v>
      </c>
    </row>
    <row r="1214" spans="26:27">
      <c r="Z1214" t="s">
        <v>6235</v>
      </c>
      <c r="AA1214">
        <v>232</v>
      </c>
    </row>
    <row r="1215" spans="26:27">
      <c r="Z1215" t="s">
        <v>6235</v>
      </c>
      <c r="AA1215">
        <v>233</v>
      </c>
    </row>
    <row r="1216" spans="26:27">
      <c r="Z1216" t="s">
        <v>6235</v>
      </c>
      <c r="AA1216">
        <v>234</v>
      </c>
    </row>
    <row r="1217" spans="26:27">
      <c r="Z1217" t="s">
        <v>6235</v>
      </c>
      <c r="AA1217">
        <v>235</v>
      </c>
    </row>
    <row r="1218" spans="26:27">
      <c r="Z1218" t="s">
        <v>6235</v>
      </c>
      <c r="AA1218">
        <v>236</v>
      </c>
    </row>
    <row r="1219" spans="26:27">
      <c r="Z1219" t="s">
        <v>6235</v>
      </c>
      <c r="AA1219">
        <v>237</v>
      </c>
    </row>
    <row r="1220" spans="26:27">
      <c r="Z1220" t="s">
        <v>6235</v>
      </c>
      <c r="AA1220">
        <v>238</v>
      </c>
    </row>
    <row r="1221" spans="26:27">
      <c r="Z1221" t="s">
        <v>6235</v>
      </c>
      <c r="AA1221">
        <v>239</v>
      </c>
    </row>
    <row r="1222" spans="26:27">
      <c r="Z1222" t="s">
        <v>6235</v>
      </c>
      <c r="AA1222">
        <v>240</v>
      </c>
    </row>
    <row r="1223" spans="26:27">
      <c r="Z1223" t="s">
        <v>6235</v>
      </c>
      <c r="AA1223">
        <v>241</v>
      </c>
    </row>
    <row r="1224" spans="26:27">
      <c r="Z1224" t="s">
        <v>6235</v>
      </c>
      <c r="AA1224">
        <v>242</v>
      </c>
    </row>
    <row r="1225" spans="26:27">
      <c r="Z1225" t="s">
        <v>6235</v>
      </c>
      <c r="AA1225">
        <v>243</v>
      </c>
    </row>
    <row r="1226" spans="26:27">
      <c r="Z1226" t="s">
        <v>6235</v>
      </c>
      <c r="AA1226">
        <v>244</v>
      </c>
    </row>
    <row r="1227" spans="26:27">
      <c r="Z1227" t="s">
        <v>6235</v>
      </c>
      <c r="AA1227">
        <v>245</v>
      </c>
    </row>
    <row r="1228" spans="26:27">
      <c r="Z1228" t="s">
        <v>6235</v>
      </c>
      <c r="AA1228">
        <v>246</v>
      </c>
    </row>
    <row r="1229" spans="26:27">
      <c r="Z1229" t="s">
        <v>6235</v>
      </c>
      <c r="AA1229">
        <v>247</v>
      </c>
    </row>
    <row r="1230" spans="26:27">
      <c r="Z1230" t="s">
        <v>6235</v>
      </c>
      <c r="AA1230">
        <v>248</v>
      </c>
    </row>
    <row r="1231" spans="26:27">
      <c r="Z1231" t="s">
        <v>6235</v>
      </c>
      <c r="AA1231">
        <v>249</v>
      </c>
    </row>
    <row r="1232" spans="26:27">
      <c r="Z1232" t="s">
        <v>6235</v>
      </c>
      <c r="AA1232">
        <v>250</v>
      </c>
    </row>
    <row r="1233" spans="26:27">
      <c r="Z1233" s="116" t="s">
        <v>6237</v>
      </c>
      <c r="AA1233">
        <v>5</v>
      </c>
    </row>
    <row r="1234" spans="26:27">
      <c r="Z1234" s="116" t="s">
        <v>6237</v>
      </c>
      <c r="AA1234">
        <v>6</v>
      </c>
    </row>
    <row r="1235" spans="26:27">
      <c r="Z1235" s="116" t="s">
        <v>6237</v>
      </c>
      <c r="AA1235">
        <v>7</v>
      </c>
    </row>
    <row r="1236" spans="26:27">
      <c r="Z1236" s="116" t="s">
        <v>6237</v>
      </c>
      <c r="AA1236">
        <v>8</v>
      </c>
    </row>
    <row r="1237" spans="26:27">
      <c r="Z1237" s="116" t="s">
        <v>6237</v>
      </c>
      <c r="AA1237">
        <v>9</v>
      </c>
    </row>
    <row r="1238" spans="26:27">
      <c r="Z1238" s="116" t="s">
        <v>6237</v>
      </c>
      <c r="AA1238">
        <v>10</v>
      </c>
    </row>
    <row r="1239" spans="26:27">
      <c r="Z1239" s="116" t="s">
        <v>6237</v>
      </c>
      <c r="AA1239">
        <v>11</v>
      </c>
    </row>
    <row r="1240" spans="26:27">
      <c r="Z1240" s="116" t="s">
        <v>6237</v>
      </c>
      <c r="AA1240">
        <v>12</v>
      </c>
    </row>
    <row r="1241" spans="26:27">
      <c r="Z1241" s="116" t="s">
        <v>6237</v>
      </c>
      <c r="AA1241">
        <v>13</v>
      </c>
    </row>
    <row r="1242" spans="26:27">
      <c r="Z1242" s="116" t="s">
        <v>6237</v>
      </c>
      <c r="AA1242">
        <v>14</v>
      </c>
    </row>
    <row r="1243" spans="26:27">
      <c r="Z1243" s="116" t="s">
        <v>6237</v>
      </c>
      <c r="AA1243">
        <v>15</v>
      </c>
    </row>
    <row r="1244" spans="26:27">
      <c r="Z1244" s="116" t="s">
        <v>6237</v>
      </c>
      <c r="AA1244">
        <v>16</v>
      </c>
    </row>
    <row r="1245" spans="26:27">
      <c r="Z1245" s="116" t="s">
        <v>6237</v>
      </c>
      <c r="AA1245">
        <v>17</v>
      </c>
    </row>
    <row r="1246" spans="26:27">
      <c r="Z1246" s="116" t="s">
        <v>6237</v>
      </c>
      <c r="AA1246">
        <v>18</v>
      </c>
    </row>
    <row r="1247" spans="26:27">
      <c r="Z1247" s="116" t="s">
        <v>6237</v>
      </c>
      <c r="AA1247">
        <v>19</v>
      </c>
    </row>
    <row r="1248" spans="26:27">
      <c r="Z1248" s="116" t="s">
        <v>6237</v>
      </c>
      <c r="AA1248">
        <v>20</v>
      </c>
    </row>
    <row r="1249" spans="26:27">
      <c r="Z1249" s="116" t="s">
        <v>6237</v>
      </c>
      <c r="AA1249">
        <v>21</v>
      </c>
    </row>
    <row r="1250" spans="26:27">
      <c r="Z1250" s="116" t="s">
        <v>6237</v>
      </c>
      <c r="AA1250">
        <v>22</v>
      </c>
    </row>
    <row r="1251" spans="26:27">
      <c r="Z1251" s="116" t="s">
        <v>6237</v>
      </c>
      <c r="AA1251">
        <v>23</v>
      </c>
    </row>
    <row r="1252" spans="26:27">
      <c r="Z1252" s="116" t="s">
        <v>6237</v>
      </c>
      <c r="AA1252">
        <v>24</v>
      </c>
    </row>
    <row r="1253" spans="26:27">
      <c r="Z1253" s="116" t="s">
        <v>6237</v>
      </c>
      <c r="AA1253">
        <v>25</v>
      </c>
    </row>
    <row r="1254" spans="26:27">
      <c r="Z1254" s="116" t="s">
        <v>6237</v>
      </c>
      <c r="AA1254">
        <v>26</v>
      </c>
    </row>
    <row r="1255" spans="26:27">
      <c r="Z1255" s="116" t="s">
        <v>6237</v>
      </c>
      <c r="AA1255">
        <v>27</v>
      </c>
    </row>
    <row r="1256" spans="26:27">
      <c r="Z1256" s="116" t="s">
        <v>6237</v>
      </c>
      <c r="AA1256">
        <v>28</v>
      </c>
    </row>
    <row r="1257" spans="26:27">
      <c r="Z1257" s="116" t="s">
        <v>6237</v>
      </c>
      <c r="AA1257">
        <v>29</v>
      </c>
    </row>
    <row r="1258" spans="26:27">
      <c r="Z1258" s="116" t="s">
        <v>6237</v>
      </c>
      <c r="AA1258">
        <v>30</v>
      </c>
    </row>
    <row r="1259" spans="26:27">
      <c r="Z1259" s="116" t="s">
        <v>6237</v>
      </c>
      <c r="AA1259">
        <v>31</v>
      </c>
    </row>
    <row r="1260" spans="26:27">
      <c r="Z1260" s="116" t="s">
        <v>6237</v>
      </c>
      <c r="AA1260">
        <v>32</v>
      </c>
    </row>
    <row r="1261" spans="26:27">
      <c r="Z1261" s="116" t="s">
        <v>6237</v>
      </c>
      <c r="AA1261">
        <v>33</v>
      </c>
    </row>
    <row r="1262" spans="26:27">
      <c r="Z1262" s="116" t="s">
        <v>6237</v>
      </c>
      <c r="AA1262">
        <v>34</v>
      </c>
    </row>
    <row r="1263" spans="26:27">
      <c r="Z1263" s="116" t="s">
        <v>6237</v>
      </c>
      <c r="AA1263">
        <v>35</v>
      </c>
    </row>
    <row r="1264" spans="26:27">
      <c r="Z1264" s="116" t="s">
        <v>6237</v>
      </c>
      <c r="AA1264">
        <v>36</v>
      </c>
    </row>
    <row r="1265" spans="26:27">
      <c r="Z1265" s="116" t="s">
        <v>6237</v>
      </c>
      <c r="AA1265">
        <v>37</v>
      </c>
    </row>
    <row r="1266" spans="26:27">
      <c r="Z1266" s="116" t="s">
        <v>6237</v>
      </c>
      <c r="AA1266">
        <v>38</v>
      </c>
    </row>
    <row r="1267" spans="26:27">
      <c r="Z1267" s="116" t="s">
        <v>6237</v>
      </c>
      <c r="AA1267">
        <v>39</v>
      </c>
    </row>
    <row r="1268" spans="26:27">
      <c r="Z1268" s="116" t="s">
        <v>6237</v>
      </c>
      <c r="AA1268">
        <v>40</v>
      </c>
    </row>
    <row r="1269" spans="26:27">
      <c r="Z1269" s="116" t="s">
        <v>6237</v>
      </c>
      <c r="AA1269">
        <v>41</v>
      </c>
    </row>
    <row r="1270" spans="26:27">
      <c r="Z1270" s="116" t="s">
        <v>6237</v>
      </c>
      <c r="AA1270">
        <v>42</v>
      </c>
    </row>
    <row r="1271" spans="26:27">
      <c r="Z1271" s="116" t="s">
        <v>6237</v>
      </c>
      <c r="AA1271">
        <v>43</v>
      </c>
    </row>
    <row r="1272" spans="26:27">
      <c r="Z1272" s="116" t="s">
        <v>6237</v>
      </c>
      <c r="AA1272">
        <v>44</v>
      </c>
    </row>
    <row r="1273" spans="26:27">
      <c r="Z1273" s="116" t="s">
        <v>6237</v>
      </c>
      <c r="AA1273">
        <v>45</v>
      </c>
    </row>
    <row r="1274" spans="26:27">
      <c r="Z1274" s="116" t="s">
        <v>6237</v>
      </c>
      <c r="AA1274">
        <v>46</v>
      </c>
    </row>
    <row r="1275" spans="26:27">
      <c r="Z1275" s="116" t="s">
        <v>6237</v>
      </c>
      <c r="AA1275">
        <v>47</v>
      </c>
    </row>
    <row r="1276" spans="26:27">
      <c r="Z1276" s="116" t="s">
        <v>6237</v>
      </c>
      <c r="AA1276">
        <v>48</v>
      </c>
    </row>
    <row r="1277" spans="26:27">
      <c r="Z1277" s="116" t="s">
        <v>6237</v>
      </c>
      <c r="AA1277">
        <v>49</v>
      </c>
    </row>
    <row r="1278" spans="26:27">
      <c r="Z1278" s="116" t="s">
        <v>6237</v>
      </c>
      <c r="AA1278">
        <v>50</v>
      </c>
    </row>
    <row r="1279" spans="26:27">
      <c r="Z1279" s="116" t="s">
        <v>6237</v>
      </c>
      <c r="AA1279">
        <v>51</v>
      </c>
    </row>
    <row r="1280" spans="26:27">
      <c r="Z1280" s="116" t="s">
        <v>6237</v>
      </c>
      <c r="AA1280">
        <v>52</v>
      </c>
    </row>
    <row r="1281" spans="26:27">
      <c r="Z1281" s="116" t="s">
        <v>6237</v>
      </c>
      <c r="AA1281">
        <v>53</v>
      </c>
    </row>
    <row r="1282" spans="26:27">
      <c r="Z1282" s="116" t="s">
        <v>6237</v>
      </c>
      <c r="AA1282">
        <v>54</v>
      </c>
    </row>
    <row r="1283" spans="26:27">
      <c r="Z1283" s="116" t="s">
        <v>6237</v>
      </c>
      <c r="AA1283">
        <v>55</v>
      </c>
    </row>
    <row r="1284" spans="26:27">
      <c r="Z1284" s="116" t="s">
        <v>6237</v>
      </c>
      <c r="AA1284">
        <v>56</v>
      </c>
    </row>
    <row r="1285" spans="26:27">
      <c r="Z1285" s="116" t="s">
        <v>6237</v>
      </c>
      <c r="AA1285">
        <v>57</v>
      </c>
    </row>
    <row r="1286" spans="26:27">
      <c r="Z1286" s="116" t="s">
        <v>6237</v>
      </c>
      <c r="AA1286">
        <v>58</v>
      </c>
    </row>
    <row r="1287" spans="26:27">
      <c r="Z1287" s="116" t="s">
        <v>6237</v>
      </c>
      <c r="AA1287">
        <v>59</v>
      </c>
    </row>
    <row r="1288" spans="26:27">
      <c r="Z1288" s="116" t="s">
        <v>6237</v>
      </c>
      <c r="AA1288">
        <v>60</v>
      </c>
    </row>
    <row r="1289" spans="26:27">
      <c r="Z1289" s="116" t="s">
        <v>6237</v>
      </c>
      <c r="AA1289">
        <v>61</v>
      </c>
    </row>
    <row r="1290" spans="26:27">
      <c r="Z1290" s="116" t="s">
        <v>6237</v>
      </c>
      <c r="AA1290">
        <v>62</v>
      </c>
    </row>
    <row r="1291" spans="26:27">
      <c r="Z1291" s="116" t="s">
        <v>6237</v>
      </c>
      <c r="AA1291">
        <v>63</v>
      </c>
    </row>
    <row r="1292" spans="26:27">
      <c r="Z1292" s="116" t="s">
        <v>6237</v>
      </c>
      <c r="AA1292">
        <v>64</v>
      </c>
    </row>
    <row r="1293" spans="26:27">
      <c r="Z1293" s="116" t="s">
        <v>6237</v>
      </c>
      <c r="AA1293">
        <v>65</v>
      </c>
    </row>
    <row r="1294" spans="26:27">
      <c r="Z1294" s="116" t="s">
        <v>6237</v>
      </c>
      <c r="AA1294">
        <v>66</v>
      </c>
    </row>
    <row r="1295" spans="26:27">
      <c r="Z1295" s="116" t="s">
        <v>6237</v>
      </c>
      <c r="AA1295">
        <v>67</v>
      </c>
    </row>
    <row r="1296" spans="26:27">
      <c r="Z1296" s="116" t="s">
        <v>6237</v>
      </c>
      <c r="AA1296">
        <v>68</v>
      </c>
    </row>
    <row r="1297" spans="26:27">
      <c r="Z1297" s="116" t="s">
        <v>6237</v>
      </c>
      <c r="AA1297">
        <v>69</v>
      </c>
    </row>
    <row r="1298" spans="26:27">
      <c r="Z1298" s="116" t="s">
        <v>6237</v>
      </c>
      <c r="AA1298">
        <v>70</v>
      </c>
    </row>
    <row r="1299" spans="26:27">
      <c r="Z1299" s="116" t="s">
        <v>6237</v>
      </c>
      <c r="AA1299">
        <v>71</v>
      </c>
    </row>
    <row r="1300" spans="26:27">
      <c r="Z1300" s="116" t="s">
        <v>6237</v>
      </c>
      <c r="AA1300">
        <v>72</v>
      </c>
    </row>
    <row r="1301" spans="26:27">
      <c r="Z1301" s="116" t="s">
        <v>6237</v>
      </c>
      <c r="AA1301">
        <v>73</v>
      </c>
    </row>
    <row r="1302" spans="26:27">
      <c r="Z1302" s="116" t="s">
        <v>6237</v>
      </c>
      <c r="AA1302">
        <v>74</v>
      </c>
    </row>
    <row r="1303" spans="26:27">
      <c r="Z1303" s="116" t="s">
        <v>6237</v>
      </c>
      <c r="AA1303">
        <v>75</v>
      </c>
    </row>
    <row r="1304" spans="26:27">
      <c r="Z1304" s="116" t="s">
        <v>6237</v>
      </c>
      <c r="AA1304">
        <v>76</v>
      </c>
    </row>
    <row r="1305" spans="26:27">
      <c r="Z1305" s="116" t="s">
        <v>6237</v>
      </c>
      <c r="AA1305">
        <v>77</v>
      </c>
    </row>
    <row r="1306" spans="26:27">
      <c r="Z1306" s="116" t="s">
        <v>6237</v>
      </c>
      <c r="AA1306">
        <v>78</v>
      </c>
    </row>
    <row r="1307" spans="26:27">
      <c r="Z1307" s="116" t="s">
        <v>6237</v>
      </c>
      <c r="AA1307">
        <v>79</v>
      </c>
    </row>
    <row r="1308" spans="26:27">
      <c r="Z1308" s="116" t="s">
        <v>6237</v>
      </c>
      <c r="AA1308">
        <v>80</v>
      </c>
    </row>
    <row r="1309" spans="26:27">
      <c r="Z1309" s="116" t="s">
        <v>6237</v>
      </c>
      <c r="AA1309">
        <v>81</v>
      </c>
    </row>
    <row r="1310" spans="26:27">
      <c r="Z1310" s="116" t="s">
        <v>6237</v>
      </c>
      <c r="AA1310">
        <v>82</v>
      </c>
    </row>
    <row r="1311" spans="26:27">
      <c r="Z1311" s="116" t="s">
        <v>6237</v>
      </c>
      <c r="AA1311">
        <v>83</v>
      </c>
    </row>
    <row r="1312" spans="26:27">
      <c r="Z1312" s="116" t="s">
        <v>6237</v>
      </c>
      <c r="AA1312">
        <v>84</v>
      </c>
    </row>
    <row r="1313" spans="26:27">
      <c r="Z1313" s="116" t="s">
        <v>6237</v>
      </c>
      <c r="AA1313">
        <v>85</v>
      </c>
    </row>
    <row r="1314" spans="26:27">
      <c r="Z1314" s="116" t="s">
        <v>6237</v>
      </c>
      <c r="AA1314">
        <v>86</v>
      </c>
    </row>
    <row r="1315" spans="26:27">
      <c r="Z1315" s="116" t="s">
        <v>6237</v>
      </c>
      <c r="AA1315">
        <v>87</v>
      </c>
    </row>
    <row r="1316" spans="26:27">
      <c r="Z1316" s="116" t="s">
        <v>6237</v>
      </c>
      <c r="AA1316">
        <v>88</v>
      </c>
    </row>
    <row r="1317" spans="26:27">
      <c r="Z1317" s="116" t="s">
        <v>6237</v>
      </c>
      <c r="AA1317">
        <v>89</v>
      </c>
    </row>
    <row r="1318" spans="26:27">
      <c r="Z1318" s="116" t="s">
        <v>6237</v>
      </c>
      <c r="AA1318">
        <v>90</v>
      </c>
    </row>
    <row r="1319" spans="26:27">
      <c r="Z1319" s="116" t="s">
        <v>6237</v>
      </c>
      <c r="AA1319">
        <v>91</v>
      </c>
    </row>
    <row r="1320" spans="26:27">
      <c r="Z1320" s="116" t="s">
        <v>6237</v>
      </c>
      <c r="AA1320">
        <v>92</v>
      </c>
    </row>
    <row r="1321" spans="26:27">
      <c r="Z1321" s="116" t="s">
        <v>6237</v>
      </c>
      <c r="AA1321">
        <v>93</v>
      </c>
    </row>
    <row r="1322" spans="26:27">
      <c r="Z1322" s="116" t="s">
        <v>6237</v>
      </c>
      <c r="AA1322">
        <v>94</v>
      </c>
    </row>
    <row r="1323" spans="26:27">
      <c r="Z1323" s="116" t="s">
        <v>6237</v>
      </c>
      <c r="AA1323">
        <v>95</v>
      </c>
    </row>
    <row r="1324" spans="26:27">
      <c r="Z1324" s="116" t="s">
        <v>6237</v>
      </c>
      <c r="AA1324">
        <v>96</v>
      </c>
    </row>
    <row r="1325" spans="26:27">
      <c r="Z1325" s="116" t="s">
        <v>6237</v>
      </c>
      <c r="AA1325">
        <v>97</v>
      </c>
    </row>
    <row r="1326" spans="26:27">
      <c r="Z1326" s="116" t="s">
        <v>6237</v>
      </c>
      <c r="AA1326">
        <v>98</v>
      </c>
    </row>
    <row r="1327" spans="26:27">
      <c r="Z1327" s="116" t="s">
        <v>6237</v>
      </c>
      <c r="AA1327">
        <v>99</v>
      </c>
    </row>
    <row r="1328" spans="26:27">
      <c r="Z1328" s="116" t="s">
        <v>6237</v>
      </c>
      <c r="AA1328">
        <v>100</v>
      </c>
    </row>
    <row r="1329" spans="26:27">
      <c r="Z1329" s="116" t="s">
        <v>6237</v>
      </c>
      <c r="AA1329">
        <v>101</v>
      </c>
    </row>
    <row r="1330" spans="26:27">
      <c r="Z1330" s="116" t="s">
        <v>6237</v>
      </c>
      <c r="AA1330">
        <v>102</v>
      </c>
    </row>
    <row r="1331" spans="26:27">
      <c r="Z1331" s="116" t="s">
        <v>6237</v>
      </c>
      <c r="AA1331">
        <v>103</v>
      </c>
    </row>
    <row r="1332" spans="26:27">
      <c r="Z1332" s="116" t="s">
        <v>6237</v>
      </c>
      <c r="AA1332">
        <v>104</v>
      </c>
    </row>
    <row r="1333" spans="26:27">
      <c r="Z1333" s="116" t="s">
        <v>6237</v>
      </c>
      <c r="AA1333">
        <v>105</v>
      </c>
    </row>
    <row r="1334" spans="26:27">
      <c r="Z1334" s="116" t="s">
        <v>6237</v>
      </c>
      <c r="AA1334">
        <v>106</v>
      </c>
    </row>
    <row r="1335" spans="26:27">
      <c r="Z1335" s="116" t="s">
        <v>6237</v>
      </c>
      <c r="AA1335">
        <v>107</v>
      </c>
    </row>
    <row r="1336" spans="26:27">
      <c r="Z1336" s="116" t="s">
        <v>6237</v>
      </c>
      <c r="AA1336">
        <v>108</v>
      </c>
    </row>
    <row r="1337" spans="26:27">
      <c r="Z1337" s="116" t="s">
        <v>6237</v>
      </c>
      <c r="AA1337">
        <v>109</v>
      </c>
    </row>
    <row r="1338" spans="26:27">
      <c r="Z1338" s="116" t="s">
        <v>6237</v>
      </c>
      <c r="AA1338">
        <v>110</v>
      </c>
    </row>
    <row r="1339" spans="26:27">
      <c r="Z1339" s="116" t="s">
        <v>6237</v>
      </c>
      <c r="AA1339">
        <v>111</v>
      </c>
    </row>
    <row r="1340" spans="26:27">
      <c r="Z1340" s="116" t="s">
        <v>6237</v>
      </c>
      <c r="AA1340">
        <v>112</v>
      </c>
    </row>
    <row r="1341" spans="26:27">
      <c r="Z1341" s="116" t="s">
        <v>6237</v>
      </c>
      <c r="AA1341">
        <v>113</v>
      </c>
    </row>
    <row r="1342" spans="26:27">
      <c r="Z1342" s="116" t="s">
        <v>6237</v>
      </c>
      <c r="AA1342">
        <v>114</v>
      </c>
    </row>
    <row r="1343" spans="26:27">
      <c r="Z1343" s="116" t="s">
        <v>6237</v>
      </c>
      <c r="AA1343">
        <v>115</v>
      </c>
    </row>
    <row r="1344" spans="26:27">
      <c r="Z1344" s="116" t="s">
        <v>6237</v>
      </c>
      <c r="AA1344">
        <v>116</v>
      </c>
    </row>
    <row r="1345" spans="26:27">
      <c r="Z1345" s="116" t="s">
        <v>6237</v>
      </c>
      <c r="AA1345">
        <v>117</v>
      </c>
    </row>
    <row r="1346" spans="26:27">
      <c r="Z1346" s="116" t="s">
        <v>6237</v>
      </c>
      <c r="AA1346">
        <v>118</v>
      </c>
    </row>
    <row r="1347" spans="26:27">
      <c r="Z1347" s="116" t="s">
        <v>6237</v>
      </c>
      <c r="AA1347">
        <v>119</v>
      </c>
    </row>
    <row r="1348" spans="26:27">
      <c r="Z1348" s="116" t="s">
        <v>6237</v>
      </c>
      <c r="AA1348">
        <v>120</v>
      </c>
    </row>
    <row r="1349" spans="26:27">
      <c r="Z1349" s="116" t="s">
        <v>6237</v>
      </c>
      <c r="AA1349">
        <v>121</v>
      </c>
    </row>
    <row r="1350" spans="26:27">
      <c r="Z1350" s="116" t="s">
        <v>6237</v>
      </c>
      <c r="AA1350">
        <v>122</v>
      </c>
    </row>
    <row r="1351" spans="26:27">
      <c r="Z1351" s="116" t="s">
        <v>6237</v>
      </c>
      <c r="AA1351">
        <v>123</v>
      </c>
    </row>
    <row r="1352" spans="26:27">
      <c r="Z1352" s="116" t="s">
        <v>6237</v>
      </c>
      <c r="AA1352">
        <v>124</v>
      </c>
    </row>
    <row r="1353" spans="26:27">
      <c r="Z1353" s="116" t="s">
        <v>6237</v>
      </c>
      <c r="AA1353">
        <v>125</v>
      </c>
    </row>
    <row r="1354" spans="26:27">
      <c r="Z1354" s="116" t="s">
        <v>6237</v>
      </c>
      <c r="AA1354">
        <v>126</v>
      </c>
    </row>
    <row r="1355" spans="26:27">
      <c r="Z1355" s="116" t="s">
        <v>6237</v>
      </c>
      <c r="AA1355">
        <v>127</v>
      </c>
    </row>
    <row r="1356" spans="26:27">
      <c r="Z1356" s="116" t="s">
        <v>6237</v>
      </c>
      <c r="AA1356">
        <v>128</v>
      </c>
    </row>
    <row r="1357" spans="26:27">
      <c r="Z1357" s="116" t="s">
        <v>6237</v>
      </c>
      <c r="AA1357">
        <v>129</v>
      </c>
    </row>
    <row r="1358" spans="26:27">
      <c r="Z1358" s="116" t="s">
        <v>6237</v>
      </c>
      <c r="AA1358">
        <v>130</v>
      </c>
    </row>
    <row r="1359" spans="26:27">
      <c r="Z1359" s="116" t="s">
        <v>6237</v>
      </c>
      <c r="AA1359">
        <v>131</v>
      </c>
    </row>
    <row r="1360" spans="26:27">
      <c r="Z1360" s="116" t="s">
        <v>6237</v>
      </c>
      <c r="AA1360">
        <v>132</v>
      </c>
    </row>
    <row r="1361" spans="26:27">
      <c r="Z1361" s="116" t="s">
        <v>6237</v>
      </c>
      <c r="AA1361">
        <v>133</v>
      </c>
    </row>
    <row r="1362" spans="26:27">
      <c r="Z1362" s="116" t="s">
        <v>6237</v>
      </c>
      <c r="AA1362">
        <v>134</v>
      </c>
    </row>
    <row r="1363" spans="26:27">
      <c r="Z1363" s="116" t="s">
        <v>6237</v>
      </c>
      <c r="AA1363">
        <v>135</v>
      </c>
    </row>
    <row r="1364" spans="26:27">
      <c r="Z1364" s="116" t="s">
        <v>6237</v>
      </c>
      <c r="AA1364">
        <v>136</v>
      </c>
    </row>
    <row r="1365" spans="26:27">
      <c r="Z1365" s="116" t="s">
        <v>6237</v>
      </c>
      <c r="AA1365">
        <v>137</v>
      </c>
    </row>
    <row r="1366" spans="26:27">
      <c r="Z1366" s="116" t="s">
        <v>6237</v>
      </c>
      <c r="AA1366">
        <v>138</v>
      </c>
    </row>
    <row r="1367" spans="26:27">
      <c r="Z1367" s="116" t="s">
        <v>6237</v>
      </c>
      <c r="AA1367">
        <v>139</v>
      </c>
    </row>
    <row r="1368" spans="26:27">
      <c r="Z1368" s="116" t="s">
        <v>6237</v>
      </c>
      <c r="AA1368">
        <v>140</v>
      </c>
    </row>
    <row r="1369" spans="26:27">
      <c r="Z1369" s="116" t="s">
        <v>6237</v>
      </c>
      <c r="AA1369">
        <v>141</v>
      </c>
    </row>
    <row r="1370" spans="26:27">
      <c r="Z1370" s="116" t="s">
        <v>6237</v>
      </c>
      <c r="AA1370">
        <v>142</v>
      </c>
    </row>
    <row r="1371" spans="26:27">
      <c r="Z1371" s="116" t="s">
        <v>6237</v>
      </c>
      <c r="AA1371">
        <v>143</v>
      </c>
    </row>
    <row r="1372" spans="26:27">
      <c r="Z1372" s="116" t="s">
        <v>6237</v>
      </c>
      <c r="AA1372">
        <v>144</v>
      </c>
    </row>
    <row r="1373" spans="26:27">
      <c r="Z1373" s="116" t="s">
        <v>6237</v>
      </c>
      <c r="AA1373">
        <v>145</v>
      </c>
    </row>
    <row r="1374" spans="26:27">
      <c r="Z1374" s="116" t="s">
        <v>6237</v>
      </c>
      <c r="AA1374">
        <v>146</v>
      </c>
    </row>
    <row r="1375" spans="26:27">
      <c r="Z1375" s="116" t="s">
        <v>6237</v>
      </c>
      <c r="AA1375">
        <v>147</v>
      </c>
    </row>
    <row r="1376" spans="26:27">
      <c r="Z1376" s="116" t="s">
        <v>6237</v>
      </c>
      <c r="AA1376">
        <v>148</v>
      </c>
    </row>
    <row r="1377" spans="26:27">
      <c r="Z1377" s="116" t="s">
        <v>6237</v>
      </c>
      <c r="AA1377">
        <v>149</v>
      </c>
    </row>
    <row r="1378" spans="26:27">
      <c r="Z1378" s="116" t="s">
        <v>6237</v>
      </c>
      <c r="AA1378">
        <v>150</v>
      </c>
    </row>
    <row r="1379" spans="26:27">
      <c r="Z1379" s="116" t="s">
        <v>6237</v>
      </c>
      <c r="AA1379">
        <v>151</v>
      </c>
    </row>
    <row r="1380" spans="26:27">
      <c r="Z1380" s="116" t="s">
        <v>6237</v>
      </c>
      <c r="AA1380">
        <v>152</v>
      </c>
    </row>
    <row r="1381" spans="26:27">
      <c r="Z1381" s="116" t="s">
        <v>6237</v>
      </c>
      <c r="AA1381">
        <v>153</v>
      </c>
    </row>
    <row r="1382" spans="26:27">
      <c r="Z1382" s="116" t="s">
        <v>6237</v>
      </c>
      <c r="AA1382">
        <v>154</v>
      </c>
    </row>
    <row r="1383" spans="26:27">
      <c r="Z1383" s="116" t="s">
        <v>6237</v>
      </c>
      <c r="AA1383">
        <v>155</v>
      </c>
    </row>
    <row r="1384" spans="26:27">
      <c r="Z1384" s="116" t="s">
        <v>6237</v>
      </c>
      <c r="AA1384">
        <v>156</v>
      </c>
    </row>
    <row r="1385" spans="26:27">
      <c r="Z1385" s="116" t="s">
        <v>6237</v>
      </c>
      <c r="AA1385">
        <v>157</v>
      </c>
    </row>
    <row r="1386" spans="26:27">
      <c r="Z1386" s="116" t="s">
        <v>6237</v>
      </c>
      <c r="AA1386">
        <v>158</v>
      </c>
    </row>
    <row r="1387" spans="26:27">
      <c r="Z1387" s="116" t="s">
        <v>6237</v>
      </c>
      <c r="AA1387">
        <v>159</v>
      </c>
    </row>
    <row r="1388" spans="26:27">
      <c r="Z1388" s="116" t="s">
        <v>6237</v>
      </c>
      <c r="AA1388">
        <v>160</v>
      </c>
    </row>
    <row r="1389" spans="26:27">
      <c r="Z1389" s="116" t="s">
        <v>6237</v>
      </c>
      <c r="AA1389">
        <v>161</v>
      </c>
    </row>
    <row r="1390" spans="26:27">
      <c r="Z1390" s="116" t="s">
        <v>6237</v>
      </c>
      <c r="AA1390">
        <v>162</v>
      </c>
    </row>
    <row r="1391" spans="26:27">
      <c r="Z1391" s="116" t="s">
        <v>6237</v>
      </c>
      <c r="AA1391">
        <v>163</v>
      </c>
    </row>
    <row r="1392" spans="26:27">
      <c r="Z1392" s="116" t="s">
        <v>6237</v>
      </c>
      <c r="AA1392">
        <v>164</v>
      </c>
    </row>
    <row r="1393" spans="26:27">
      <c r="Z1393" s="116" t="s">
        <v>6237</v>
      </c>
      <c r="AA1393">
        <v>165</v>
      </c>
    </row>
    <row r="1394" spans="26:27">
      <c r="Z1394" s="116" t="s">
        <v>6237</v>
      </c>
      <c r="AA1394">
        <v>166</v>
      </c>
    </row>
    <row r="1395" spans="26:27">
      <c r="Z1395" s="116" t="s">
        <v>6237</v>
      </c>
      <c r="AA1395">
        <v>167</v>
      </c>
    </row>
    <row r="1396" spans="26:27">
      <c r="Z1396" s="116" t="s">
        <v>6237</v>
      </c>
      <c r="AA1396">
        <v>168</v>
      </c>
    </row>
    <row r="1397" spans="26:27">
      <c r="Z1397" s="116" t="s">
        <v>6237</v>
      </c>
      <c r="AA1397">
        <v>169</v>
      </c>
    </row>
    <row r="1398" spans="26:27">
      <c r="Z1398" s="116" t="s">
        <v>6237</v>
      </c>
      <c r="AA1398">
        <v>170</v>
      </c>
    </row>
    <row r="1399" spans="26:27">
      <c r="Z1399" s="116" t="s">
        <v>6237</v>
      </c>
      <c r="AA1399">
        <v>171</v>
      </c>
    </row>
    <row r="1400" spans="26:27">
      <c r="Z1400" s="116" t="s">
        <v>6237</v>
      </c>
      <c r="AA1400">
        <v>172</v>
      </c>
    </row>
    <row r="1401" spans="26:27">
      <c r="Z1401" s="116" t="s">
        <v>6237</v>
      </c>
      <c r="AA1401">
        <v>173</v>
      </c>
    </row>
    <row r="1402" spans="26:27">
      <c r="Z1402" s="116" t="s">
        <v>6237</v>
      </c>
      <c r="AA1402">
        <v>174</v>
      </c>
    </row>
    <row r="1403" spans="26:27">
      <c r="Z1403" s="116" t="s">
        <v>6237</v>
      </c>
      <c r="AA1403">
        <v>175</v>
      </c>
    </row>
    <row r="1404" spans="26:27">
      <c r="Z1404" s="116" t="s">
        <v>6237</v>
      </c>
      <c r="AA1404">
        <v>176</v>
      </c>
    </row>
    <row r="1405" spans="26:27">
      <c r="Z1405" s="116" t="s">
        <v>6237</v>
      </c>
      <c r="AA1405">
        <v>177</v>
      </c>
    </row>
    <row r="1406" spans="26:27">
      <c r="Z1406" s="116" t="s">
        <v>6237</v>
      </c>
      <c r="AA1406">
        <v>178</v>
      </c>
    </row>
    <row r="1407" spans="26:27">
      <c r="Z1407" s="116" t="s">
        <v>6237</v>
      </c>
      <c r="AA1407">
        <v>179</v>
      </c>
    </row>
    <row r="1408" spans="26:27">
      <c r="Z1408" s="116" t="s">
        <v>6237</v>
      </c>
      <c r="AA1408">
        <v>180</v>
      </c>
    </row>
    <row r="1409" spans="26:27">
      <c r="Z1409" s="116" t="s">
        <v>6237</v>
      </c>
      <c r="AA1409">
        <v>181</v>
      </c>
    </row>
    <row r="1410" spans="26:27">
      <c r="Z1410" s="116" t="s">
        <v>6237</v>
      </c>
      <c r="AA1410">
        <v>182</v>
      </c>
    </row>
    <row r="1411" spans="26:27">
      <c r="Z1411" s="116" t="s">
        <v>6237</v>
      </c>
      <c r="AA1411">
        <v>183</v>
      </c>
    </row>
    <row r="1412" spans="26:27">
      <c r="Z1412" s="116" t="s">
        <v>6237</v>
      </c>
      <c r="AA1412">
        <v>184</v>
      </c>
    </row>
    <row r="1413" spans="26:27">
      <c r="Z1413" s="116" t="s">
        <v>6237</v>
      </c>
      <c r="AA1413">
        <v>185</v>
      </c>
    </row>
    <row r="1414" spans="26:27">
      <c r="Z1414" s="116" t="s">
        <v>6237</v>
      </c>
      <c r="AA1414">
        <v>186</v>
      </c>
    </row>
    <row r="1415" spans="26:27">
      <c r="Z1415" s="116" t="s">
        <v>6237</v>
      </c>
      <c r="AA1415">
        <v>187</v>
      </c>
    </row>
    <row r="1416" spans="26:27">
      <c r="Z1416" s="116" t="s">
        <v>6237</v>
      </c>
      <c r="AA1416">
        <v>188</v>
      </c>
    </row>
    <row r="1417" spans="26:27">
      <c r="Z1417" s="116" t="s">
        <v>6237</v>
      </c>
      <c r="AA1417">
        <v>189</v>
      </c>
    </row>
    <row r="1418" spans="26:27">
      <c r="Z1418" s="116" t="s">
        <v>6237</v>
      </c>
      <c r="AA1418">
        <v>190</v>
      </c>
    </row>
    <row r="1419" spans="26:27">
      <c r="Z1419" s="116" t="s">
        <v>6237</v>
      </c>
      <c r="AA1419">
        <v>191</v>
      </c>
    </row>
    <row r="1420" spans="26:27">
      <c r="Z1420" s="116" t="s">
        <v>6237</v>
      </c>
      <c r="AA1420">
        <v>192</v>
      </c>
    </row>
    <row r="1421" spans="26:27">
      <c r="Z1421" s="116" t="s">
        <v>6237</v>
      </c>
      <c r="AA1421">
        <v>193</v>
      </c>
    </row>
    <row r="1422" spans="26:27">
      <c r="Z1422" s="116" t="s">
        <v>6237</v>
      </c>
      <c r="AA1422">
        <v>194</v>
      </c>
    </row>
    <row r="1423" spans="26:27">
      <c r="Z1423" s="116" t="s">
        <v>6237</v>
      </c>
      <c r="AA1423">
        <v>195</v>
      </c>
    </row>
    <row r="1424" spans="26:27">
      <c r="Z1424" s="116" t="s">
        <v>6237</v>
      </c>
      <c r="AA1424">
        <v>196</v>
      </c>
    </row>
    <row r="1425" spans="26:27">
      <c r="Z1425" s="116" t="s">
        <v>6237</v>
      </c>
      <c r="AA1425">
        <v>197</v>
      </c>
    </row>
    <row r="1426" spans="26:27">
      <c r="Z1426" s="116" t="s">
        <v>6237</v>
      </c>
      <c r="AA1426">
        <v>198</v>
      </c>
    </row>
    <row r="1427" spans="26:27">
      <c r="Z1427" s="116" t="s">
        <v>6237</v>
      </c>
      <c r="AA1427">
        <v>199</v>
      </c>
    </row>
    <row r="1428" spans="26:27">
      <c r="Z1428" s="116" t="s">
        <v>6237</v>
      </c>
      <c r="AA1428">
        <v>200</v>
      </c>
    </row>
    <row r="1429" spans="26:27">
      <c r="Z1429" s="116" t="s">
        <v>6237</v>
      </c>
      <c r="AA1429">
        <v>201</v>
      </c>
    </row>
    <row r="1430" spans="26:27">
      <c r="Z1430" s="116" t="s">
        <v>6237</v>
      </c>
      <c r="AA1430">
        <v>202</v>
      </c>
    </row>
    <row r="1431" spans="26:27">
      <c r="Z1431" s="116" t="s">
        <v>6237</v>
      </c>
      <c r="AA1431">
        <v>203</v>
      </c>
    </row>
    <row r="1432" spans="26:27">
      <c r="Z1432" s="116" t="s">
        <v>6237</v>
      </c>
      <c r="AA1432">
        <v>204</v>
      </c>
    </row>
    <row r="1433" spans="26:27">
      <c r="Z1433" s="116" t="s">
        <v>6237</v>
      </c>
      <c r="AA1433">
        <v>205</v>
      </c>
    </row>
    <row r="1434" spans="26:27">
      <c r="Z1434" s="116" t="s">
        <v>6237</v>
      </c>
      <c r="AA1434">
        <v>206</v>
      </c>
    </row>
    <row r="1435" spans="26:27">
      <c r="Z1435" s="116" t="s">
        <v>6237</v>
      </c>
      <c r="AA1435">
        <v>207</v>
      </c>
    </row>
    <row r="1436" spans="26:27">
      <c r="Z1436" s="116" t="s">
        <v>6237</v>
      </c>
      <c r="AA1436">
        <v>208</v>
      </c>
    </row>
    <row r="1437" spans="26:27">
      <c r="Z1437" s="116" t="s">
        <v>6237</v>
      </c>
      <c r="AA1437">
        <v>209</v>
      </c>
    </row>
    <row r="1438" spans="26:27">
      <c r="Z1438" s="116" t="s">
        <v>6237</v>
      </c>
      <c r="AA1438">
        <v>210</v>
      </c>
    </row>
    <row r="1439" spans="26:27">
      <c r="Z1439" s="116" t="s">
        <v>6237</v>
      </c>
      <c r="AA1439">
        <v>211</v>
      </c>
    </row>
    <row r="1440" spans="26:27">
      <c r="Z1440" s="116" t="s">
        <v>6237</v>
      </c>
      <c r="AA1440">
        <v>212</v>
      </c>
    </row>
    <row r="1441" spans="26:27">
      <c r="Z1441" s="116" t="s">
        <v>6237</v>
      </c>
      <c r="AA1441">
        <v>213</v>
      </c>
    </row>
    <row r="1442" spans="26:27">
      <c r="Z1442" s="116" t="s">
        <v>6237</v>
      </c>
      <c r="AA1442">
        <v>214</v>
      </c>
    </row>
    <row r="1443" spans="26:27">
      <c r="Z1443" s="116" t="s">
        <v>6237</v>
      </c>
      <c r="AA1443">
        <v>215</v>
      </c>
    </row>
    <row r="1444" spans="26:27">
      <c r="Z1444" s="116" t="s">
        <v>6237</v>
      </c>
      <c r="AA1444">
        <v>216</v>
      </c>
    </row>
    <row r="1445" spans="26:27">
      <c r="Z1445" s="116" t="s">
        <v>6237</v>
      </c>
      <c r="AA1445">
        <v>217</v>
      </c>
    </row>
    <row r="1446" spans="26:27">
      <c r="Z1446" s="116" t="s">
        <v>6237</v>
      </c>
      <c r="AA1446">
        <v>218</v>
      </c>
    </row>
    <row r="1447" spans="26:27">
      <c r="Z1447" s="116" t="s">
        <v>6237</v>
      </c>
      <c r="AA1447">
        <v>219</v>
      </c>
    </row>
    <row r="1448" spans="26:27">
      <c r="Z1448" s="116" t="s">
        <v>6237</v>
      </c>
      <c r="AA1448">
        <v>220</v>
      </c>
    </row>
    <row r="1449" spans="26:27">
      <c r="Z1449" s="116" t="s">
        <v>6237</v>
      </c>
      <c r="AA1449">
        <v>221</v>
      </c>
    </row>
    <row r="1450" spans="26:27">
      <c r="Z1450" s="116" t="s">
        <v>6237</v>
      </c>
      <c r="AA1450">
        <v>222</v>
      </c>
    </row>
    <row r="1451" spans="26:27">
      <c r="Z1451" s="116" t="s">
        <v>6237</v>
      </c>
      <c r="AA1451">
        <v>223</v>
      </c>
    </row>
    <row r="1452" spans="26:27">
      <c r="Z1452" s="116" t="s">
        <v>6237</v>
      </c>
      <c r="AA1452">
        <v>224</v>
      </c>
    </row>
    <row r="1453" spans="26:27">
      <c r="Z1453" s="116" t="s">
        <v>6237</v>
      </c>
      <c r="AA1453">
        <v>225</v>
      </c>
    </row>
    <row r="1454" spans="26:27">
      <c r="Z1454" s="116" t="s">
        <v>6237</v>
      </c>
      <c r="AA1454">
        <v>226</v>
      </c>
    </row>
    <row r="1455" spans="26:27">
      <c r="Z1455" s="116" t="s">
        <v>6237</v>
      </c>
      <c r="AA1455">
        <v>227</v>
      </c>
    </row>
    <row r="1456" spans="26:27">
      <c r="Z1456" s="116" t="s">
        <v>6237</v>
      </c>
      <c r="AA1456">
        <v>228</v>
      </c>
    </row>
    <row r="1457" spans="26:27">
      <c r="Z1457" s="116" t="s">
        <v>6237</v>
      </c>
      <c r="AA1457">
        <v>229</v>
      </c>
    </row>
    <row r="1458" spans="26:27">
      <c r="Z1458" s="116" t="s">
        <v>6237</v>
      </c>
      <c r="AA1458">
        <v>230</v>
      </c>
    </row>
    <row r="1459" spans="26:27">
      <c r="Z1459" s="116" t="s">
        <v>6237</v>
      </c>
      <c r="AA1459">
        <v>231</v>
      </c>
    </row>
    <row r="1460" spans="26:27">
      <c r="Z1460" s="116" t="s">
        <v>6237</v>
      </c>
      <c r="AA1460">
        <v>232</v>
      </c>
    </row>
    <row r="1461" spans="26:27">
      <c r="Z1461" s="116" t="s">
        <v>6237</v>
      </c>
      <c r="AA1461">
        <v>233</v>
      </c>
    </row>
    <row r="1462" spans="26:27">
      <c r="Z1462" s="116" t="s">
        <v>6237</v>
      </c>
      <c r="AA1462">
        <v>234</v>
      </c>
    </row>
    <row r="1463" spans="26:27">
      <c r="Z1463" s="116" t="s">
        <v>6237</v>
      </c>
      <c r="AA1463">
        <v>235</v>
      </c>
    </row>
    <row r="1464" spans="26:27">
      <c r="Z1464" s="116" t="s">
        <v>6237</v>
      </c>
      <c r="AA1464">
        <v>236</v>
      </c>
    </row>
    <row r="1465" spans="26:27">
      <c r="Z1465" s="116" t="s">
        <v>6237</v>
      </c>
      <c r="AA1465">
        <v>237</v>
      </c>
    </row>
    <row r="1466" spans="26:27">
      <c r="Z1466" s="116" t="s">
        <v>6237</v>
      </c>
      <c r="AA1466">
        <v>238</v>
      </c>
    </row>
    <row r="1467" spans="26:27">
      <c r="Z1467" s="116" t="s">
        <v>6237</v>
      </c>
      <c r="AA1467">
        <v>239</v>
      </c>
    </row>
    <row r="1468" spans="26:27">
      <c r="Z1468" s="116" t="s">
        <v>6237</v>
      </c>
      <c r="AA1468">
        <v>240</v>
      </c>
    </row>
    <row r="1469" spans="26:27">
      <c r="Z1469" s="116" t="s">
        <v>6237</v>
      </c>
      <c r="AA1469">
        <v>241</v>
      </c>
    </row>
    <row r="1470" spans="26:27">
      <c r="Z1470" s="116" t="s">
        <v>6237</v>
      </c>
      <c r="AA1470">
        <v>242</v>
      </c>
    </row>
    <row r="1471" spans="26:27">
      <c r="Z1471" s="116" t="s">
        <v>6237</v>
      </c>
      <c r="AA1471">
        <v>243</v>
      </c>
    </row>
    <row r="1472" spans="26:27">
      <c r="Z1472" s="116" t="s">
        <v>6237</v>
      </c>
      <c r="AA1472">
        <v>244</v>
      </c>
    </row>
    <row r="1473" spans="26:27">
      <c r="Z1473" s="116" t="s">
        <v>6237</v>
      </c>
      <c r="AA1473">
        <v>245</v>
      </c>
    </row>
    <row r="1474" spans="26:27">
      <c r="Z1474" s="116" t="s">
        <v>6237</v>
      </c>
      <c r="AA1474">
        <v>246</v>
      </c>
    </row>
    <row r="1475" spans="26:27">
      <c r="Z1475" s="116" t="s">
        <v>6237</v>
      </c>
      <c r="AA1475">
        <v>247</v>
      </c>
    </row>
    <row r="1476" spans="26:27">
      <c r="Z1476" s="116" t="s">
        <v>6237</v>
      </c>
      <c r="AA1476">
        <v>248</v>
      </c>
    </row>
    <row r="1477" spans="26:27">
      <c r="Z1477" s="116" t="s">
        <v>6237</v>
      </c>
      <c r="AA1477">
        <v>249</v>
      </c>
    </row>
    <row r="1478" spans="26:27">
      <c r="Z1478" s="116" t="s">
        <v>6237</v>
      </c>
      <c r="AA1478">
        <v>250</v>
      </c>
    </row>
    <row r="1479" spans="26:27">
      <c r="Z1479" t="s">
        <v>6239</v>
      </c>
      <c r="AA1479">
        <v>4</v>
      </c>
    </row>
    <row r="1480" spans="26:27">
      <c r="Z1480" t="s">
        <v>6239</v>
      </c>
      <c r="AA1480">
        <v>5</v>
      </c>
    </row>
    <row r="1481" spans="26:27">
      <c r="Z1481" t="s">
        <v>6239</v>
      </c>
      <c r="AA1481">
        <v>6</v>
      </c>
    </row>
    <row r="1482" spans="26:27">
      <c r="Z1482" t="s">
        <v>6239</v>
      </c>
      <c r="AA1482">
        <v>7</v>
      </c>
    </row>
    <row r="1483" spans="26:27">
      <c r="Z1483" t="s">
        <v>6239</v>
      </c>
      <c r="AA1483">
        <v>8</v>
      </c>
    </row>
    <row r="1484" spans="26:27">
      <c r="Z1484" t="s">
        <v>6239</v>
      </c>
      <c r="AA1484">
        <v>9</v>
      </c>
    </row>
    <row r="1485" spans="26:27">
      <c r="Z1485" t="s">
        <v>6239</v>
      </c>
      <c r="AA1485">
        <v>10</v>
      </c>
    </row>
    <row r="1486" spans="26:27">
      <c r="Z1486" t="s">
        <v>6239</v>
      </c>
      <c r="AA1486">
        <v>11</v>
      </c>
    </row>
    <row r="1487" spans="26:27">
      <c r="Z1487" t="s">
        <v>6239</v>
      </c>
      <c r="AA1487">
        <v>12</v>
      </c>
    </row>
    <row r="1488" spans="26:27">
      <c r="Z1488" t="s">
        <v>6239</v>
      </c>
      <c r="AA1488">
        <v>13</v>
      </c>
    </row>
    <row r="1489" spans="26:27">
      <c r="Z1489" t="s">
        <v>6239</v>
      </c>
      <c r="AA1489">
        <v>14</v>
      </c>
    </row>
    <row r="1490" spans="26:27">
      <c r="Z1490" t="s">
        <v>6239</v>
      </c>
      <c r="AA1490">
        <v>15</v>
      </c>
    </row>
    <row r="1491" spans="26:27">
      <c r="Z1491" t="s">
        <v>6239</v>
      </c>
      <c r="AA1491">
        <v>16</v>
      </c>
    </row>
    <row r="1492" spans="26:27">
      <c r="Z1492" t="s">
        <v>6239</v>
      </c>
      <c r="AA1492">
        <v>17</v>
      </c>
    </row>
    <row r="1493" spans="26:27">
      <c r="Z1493" t="s">
        <v>6239</v>
      </c>
      <c r="AA1493">
        <v>18</v>
      </c>
    </row>
    <row r="1494" spans="26:27">
      <c r="Z1494" t="s">
        <v>6239</v>
      </c>
      <c r="AA1494">
        <v>19</v>
      </c>
    </row>
    <row r="1495" spans="26:27">
      <c r="Z1495" t="s">
        <v>6239</v>
      </c>
      <c r="AA1495">
        <v>20</v>
      </c>
    </row>
    <row r="1496" spans="26:27">
      <c r="Z1496" t="s">
        <v>6239</v>
      </c>
      <c r="AA1496">
        <v>21</v>
      </c>
    </row>
    <row r="1497" spans="26:27">
      <c r="Z1497" t="s">
        <v>6239</v>
      </c>
      <c r="AA1497">
        <v>22</v>
      </c>
    </row>
    <row r="1498" spans="26:27">
      <c r="Z1498" t="s">
        <v>6239</v>
      </c>
      <c r="AA1498">
        <v>23</v>
      </c>
    </row>
    <row r="1499" spans="26:27">
      <c r="Z1499" t="s">
        <v>6239</v>
      </c>
      <c r="AA1499">
        <v>24</v>
      </c>
    </row>
    <row r="1500" spans="26:27">
      <c r="Z1500" t="s">
        <v>6239</v>
      </c>
      <c r="AA1500">
        <v>25</v>
      </c>
    </row>
    <row r="1501" spans="26:27">
      <c r="Z1501" t="s">
        <v>6239</v>
      </c>
      <c r="AA1501">
        <v>26</v>
      </c>
    </row>
    <row r="1502" spans="26:27">
      <c r="Z1502" t="s">
        <v>6239</v>
      </c>
      <c r="AA1502">
        <v>27</v>
      </c>
    </row>
    <row r="1503" spans="26:27">
      <c r="Z1503" t="s">
        <v>6239</v>
      </c>
      <c r="AA1503">
        <v>28</v>
      </c>
    </row>
    <row r="1504" spans="26:27">
      <c r="Z1504" t="s">
        <v>6239</v>
      </c>
      <c r="AA1504">
        <v>29</v>
      </c>
    </row>
    <row r="1505" spans="26:27">
      <c r="Z1505" t="s">
        <v>6239</v>
      </c>
      <c r="AA1505">
        <v>30</v>
      </c>
    </row>
    <row r="1506" spans="26:27">
      <c r="Z1506" t="s">
        <v>6239</v>
      </c>
      <c r="AA1506">
        <v>31</v>
      </c>
    </row>
    <row r="1507" spans="26:27">
      <c r="Z1507" t="s">
        <v>6239</v>
      </c>
      <c r="AA1507">
        <v>32</v>
      </c>
    </row>
    <row r="1508" spans="26:27">
      <c r="Z1508" t="s">
        <v>6239</v>
      </c>
      <c r="AA1508">
        <v>33</v>
      </c>
    </row>
    <row r="1509" spans="26:27">
      <c r="Z1509" t="s">
        <v>6239</v>
      </c>
      <c r="AA1509">
        <v>34</v>
      </c>
    </row>
    <row r="1510" spans="26:27">
      <c r="Z1510" t="s">
        <v>6239</v>
      </c>
      <c r="AA1510">
        <v>35</v>
      </c>
    </row>
    <row r="1511" spans="26:27">
      <c r="Z1511" t="s">
        <v>6239</v>
      </c>
      <c r="AA1511">
        <v>36</v>
      </c>
    </row>
    <row r="1512" spans="26:27">
      <c r="Z1512" t="s">
        <v>6239</v>
      </c>
      <c r="AA1512">
        <v>37</v>
      </c>
    </row>
    <row r="1513" spans="26:27">
      <c r="Z1513" t="s">
        <v>6239</v>
      </c>
      <c r="AA1513">
        <v>38</v>
      </c>
    </row>
    <row r="1514" spans="26:27">
      <c r="Z1514" t="s">
        <v>6239</v>
      </c>
      <c r="AA1514">
        <v>39</v>
      </c>
    </row>
    <row r="1515" spans="26:27">
      <c r="Z1515" t="s">
        <v>6239</v>
      </c>
      <c r="AA1515">
        <v>40</v>
      </c>
    </row>
    <row r="1516" spans="26:27">
      <c r="Z1516" t="s">
        <v>6239</v>
      </c>
      <c r="AA1516">
        <v>41</v>
      </c>
    </row>
    <row r="1517" spans="26:27">
      <c r="Z1517" t="s">
        <v>6239</v>
      </c>
      <c r="AA1517">
        <v>42</v>
      </c>
    </row>
    <row r="1518" spans="26:27">
      <c r="Z1518" t="s">
        <v>6239</v>
      </c>
      <c r="AA1518">
        <v>43</v>
      </c>
    </row>
    <row r="1519" spans="26:27">
      <c r="Z1519" t="s">
        <v>6239</v>
      </c>
      <c r="AA1519">
        <v>44</v>
      </c>
    </row>
    <row r="1520" spans="26:27">
      <c r="Z1520" t="s">
        <v>6239</v>
      </c>
      <c r="AA1520">
        <v>45</v>
      </c>
    </row>
    <row r="1521" spans="26:27">
      <c r="Z1521" t="s">
        <v>6239</v>
      </c>
      <c r="AA1521">
        <v>46</v>
      </c>
    </row>
    <row r="1522" spans="26:27">
      <c r="Z1522" t="s">
        <v>6239</v>
      </c>
      <c r="AA1522">
        <v>47</v>
      </c>
    </row>
    <row r="1523" spans="26:27">
      <c r="Z1523" t="s">
        <v>6239</v>
      </c>
      <c r="AA1523">
        <v>48</v>
      </c>
    </row>
    <row r="1524" spans="26:27">
      <c r="Z1524" t="s">
        <v>6239</v>
      </c>
      <c r="AA1524">
        <v>49</v>
      </c>
    </row>
    <row r="1525" spans="26:27">
      <c r="Z1525" t="s">
        <v>6239</v>
      </c>
      <c r="AA1525">
        <v>50</v>
      </c>
    </row>
    <row r="1526" spans="26:27">
      <c r="Z1526" t="s">
        <v>6239</v>
      </c>
      <c r="AA1526">
        <v>51</v>
      </c>
    </row>
    <row r="1527" spans="26:27">
      <c r="Z1527" t="s">
        <v>6239</v>
      </c>
      <c r="AA1527">
        <v>52</v>
      </c>
    </row>
    <row r="1528" spans="26:27">
      <c r="Z1528" t="s">
        <v>6239</v>
      </c>
      <c r="AA1528">
        <v>53</v>
      </c>
    </row>
    <row r="1529" spans="26:27">
      <c r="Z1529" t="s">
        <v>6239</v>
      </c>
      <c r="AA1529">
        <v>54</v>
      </c>
    </row>
    <row r="1530" spans="26:27">
      <c r="Z1530" t="s">
        <v>6239</v>
      </c>
      <c r="AA1530">
        <v>55</v>
      </c>
    </row>
    <row r="1531" spans="26:27">
      <c r="Z1531" t="s">
        <v>6239</v>
      </c>
      <c r="AA1531">
        <v>56</v>
      </c>
    </row>
    <row r="1532" spans="26:27">
      <c r="Z1532" t="s">
        <v>6239</v>
      </c>
      <c r="AA1532">
        <v>57</v>
      </c>
    </row>
    <row r="1533" spans="26:27">
      <c r="Z1533" t="s">
        <v>6239</v>
      </c>
      <c r="AA1533">
        <v>58</v>
      </c>
    </row>
    <row r="1534" spans="26:27">
      <c r="Z1534" t="s">
        <v>6239</v>
      </c>
      <c r="AA1534">
        <v>59</v>
      </c>
    </row>
    <row r="1535" spans="26:27">
      <c r="Z1535" t="s">
        <v>6239</v>
      </c>
      <c r="AA1535">
        <v>60</v>
      </c>
    </row>
    <row r="1536" spans="26:27">
      <c r="Z1536" t="s">
        <v>6239</v>
      </c>
      <c r="AA1536">
        <v>61</v>
      </c>
    </row>
    <row r="1537" spans="26:27">
      <c r="Z1537" t="s">
        <v>6239</v>
      </c>
      <c r="AA1537">
        <v>62</v>
      </c>
    </row>
    <row r="1538" spans="26:27">
      <c r="Z1538" t="s">
        <v>6239</v>
      </c>
      <c r="AA1538">
        <v>63</v>
      </c>
    </row>
    <row r="1539" spans="26:27">
      <c r="Z1539" t="s">
        <v>6239</v>
      </c>
      <c r="AA1539">
        <v>64</v>
      </c>
    </row>
    <row r="1540" spans="26:27">
      <c r="Z1540" t="s">
        <v>6239</v>
      </c>
      <c r="AA1540">
        <v>65</v>
      </c>
    </row>
    <row r="1541" spans="26:27">
      <c r="Z1541" t="s">
        <v>6239</v>
      </c>
      <c r="AA1541">
        <v>66</v>
      </c>
    </row>
    <row r="1542" spans="26:27">
      <c r="Z1542" t="s">
        <v>6239</v>
      </c>
      <c r="AA1542">
        <v>67</v>
      </c>
    </row>
    <row r="1543" spans="26:27">
      <c r="Z1543" t="s">
        <v>6239</v>
      </c>
      <c r="AA1543">
        <v>68</v>
      </c>
    </row>
    <row r="1544" spans="26:27">
      <c r="Z1544" t="s">
        <v>6239</v>
      </c>
      <c r="AA1544">
        <v>69</v>
      </c>
    </row>
    <row r="1545" spans="26:27">
      <c r="Z1545" t="s">
        <v>6239</v>
      </c>
      <c r="AA1545">
        <v>70</v>
      </c>
    </row>
    <row r="1546" spans="26:27">
      <c r="Z1546" t="s">
        <v>6239</v>
      </c>
      <c r="AA1546">
        <v>71</v>
      </c>
    </row>
    <row r="1547" spans="26:27">
      <c r="Z1547" t="s">
        <v>6239</v>
      </c>
      <c r="AA1547">
        <v>72</v>
      </c>
    </row>
    <row r="1548" spans="26:27">
      <c r="Z1548" t="s">
        <v>6239</v>
      </c>
      <c r="AA1548">
        <v>73</v>
      </c>
    </row>
    <row r="1549" spans="26:27">
      <c r="Z1549" t="s">
        <v>6239</v>
      </c>
      <c r="AA1549">
        <v>74</v>
      </c>
    </row>
    <row r="1550" spans="26:27">
      <c r="Z1550" t="s">
        <v>6239</v>
      </c>
      <c r="AA1550">
        <v>75</v>
      </c>
    </row>
    <row r="1551" spans="26:27">
      <c r="Z1551" t="s">
        <v>6239</v>
      </c>
      <c r="AA1551">
        <v>76</v>
      </c>
    </row>
    <row r="1552" spans="26:27">
      <c r="Z1552" t="s">
        <v>6239</v>
      </c>
      <c r="AA1552">
        <v>77</v>
      </c>
    </row>
    <row r="1553" spans="26:27">
      <c r="Z1553" t="s">
        <v>6239</v>
      </c>
      <c r="AA1553">
        <v>78</v>
      </c>
    </row>
    <row r="1554" spans="26:27">
      <c r="Z1554" t="s">
        <v>6433</v>
      </c>
      <c r="AA1554">
        <v>4</v>
      </c>
    </row>
    <row r="1555" spans="26:27">
      <c r="Z1555" t="s">
        <v>6433</v>
      </c>
      <c r="AA1555">
        <v>5</v>
      </c>
    </row>
    <row r="1556" spans="26:27">
      <c r="Z1556" t="s">
        <v>6433</v>
      </c>
      <c r="AA1556">
        <v>6</v>
      </c>
    </row>
    <row r="1557" spans="26:27">
      <c r="Z1557" t="s">
        <v>6433</v>
      </c>
      <c r="AA1557">
        <v>7</v>
      </c>
    </row>
    <row r="1558" spans="26:27">
      <c r="Z1558" t="s">
        <v>6433</v>
      </c>
      <c r="AA1558">
        <v>8</v>
      </c>
    </row>
    <row r="1559" spans="26:27">
      <c r="Z1559" t="s">
        <v>6433</v>
      </c>
      <c r="AA1559">
        <v>9</v>
      </c>
    </row>
    <row r="1560" spans="26:27">
      <c r="Z1560" t="s">
        <v>6433</v>
      </c>
      <c r="AA1560">
        <v>10</v>
      </c>
    </row>
    <row r="1561" spans="26:27">
      <c r="Z1561" t="s">
        <v>6433</v>
      </c>
      <c r="AA1561">
        <v>11</v>
      </c>
    </row>
    <row r="1562" spans="26:27">
      <c r="Z1562" t="s">
        <v>6433</v>
      </c>
      <c r="AA1562">
        <v>12</v>
      </c>
    </row>
    <row r="1563" spans="26:27">
      <c r="Z1563" t="s">
        <v>6433</v>
      </c>
      <c r="AA1563">
        <v>13</v>
      </c>
    </row>
    <row r="1564" spans="26:27">
      <c r="Z1564" t="s">
        <v>6433</v>
      </c>
      <c r="AA1564">
        <v>14</v>
      </c>
    </row>
    <row r="1565" spans="26:27">
      <c r="Z1565" t="s">
        <v>6433</v>
      </c>
      <c r="AA1565">
        <v>15</v>
      </c>
    </row>
    <row r="1566" spans="26:27">
      <c r="Z1566" t="s">
        <v>6433</v>
      </c>
      <c r="AA1566">
        <v>16</v>
      </c>
    </row>
    <row r="1567" spans="26:27">
      <c r="Z1567" t="s">
        <v>6433</v>
      </c>
      <c r="AA1567">
        <v>17</v>
      </c>
    </row>
    <row r="1568" spans="26:27">
      <c r="Z1568" t="s">
        <v>6433</v>
      </c>
      <c r="AA1568">
        <v>18</v>
      </c>
    </row>
    <row r="1569" spans="26:27">
      <c r="Z1569" t="s">
        <v>6433</v>
      </c>
      <c r="AA1569">
        <v>19</v>
      </c>
    </row>
    <row r="1570" spans="26:27">
      <c r="Z1570" t="s">
        <v>6433</v>
      </c>
      <c r="AA1570">
        <v>20</v>
      </c>
    </row>
    <row r="1571" spans="26:27">
      <c r="Z1571" t="s">
        <v>6433</v>
      </c>
      <c r="AA1571">
        <v>21</v>
      </c>
    </row>
    <row r="1572" spans="26:27">
      <c r="Z1572" t="s">
        <v>6433</v>
      </c>
      <c r="AA1572">
        <v>22</v>
      </c>
    </row>
    <row r="1573" spans="26:27">
      <c r="Z1573" t="s">
        <v>6433</v>
      </c>
      <c r="AA1573">
        <v>23</v>
      </c>
    </row>
    <row r="1574" spans="26:27">
      <c r="Z1574" t="s">
        <v>6433</v>
      </c>
      <c r="AA1574">
        <v>24</v>
      </c>
    </row>
    <row r="1575" spans="26:27">
      <c r="Z1575" t="s">
        <v>6433</v>
      </c>
      <c r="AA1575">
        <v>25</v>
      </c>
    </row>
    <row r="1576" spans="26:27">
      <c r="Z1576" t="s">
        <v>6433</v>
      </c>
      <c r="AA1576">
        <v>26</v>
      </c>
    </row>
    <row r="1577" spans="26:27">
      <c r="Z1577" t="s">
        <v>6433</v>
      </c>
      <c r="AA1577">
        <v>27</v>
      </c>
    </row>
    <row r="1578" spans="26:27">
      <c r="Z1578" t="s">
        <v>6433</v>
      </c>
      <c r="AA1578">
        <v>28</v>
      </c>
    </row>
    <row r="1579" spans="26:27">
      <c r="Z1579" t="s">
        <v>6433</v>
      </c>
      <c r="AA1579">
        <v>29</v>
      </c>
    </row>
    <row r="1580" spans="26:27">
      <c r="Z1580" t="s">
        <v>6433</v>
      </c>
      <c r="AA1580">
        <v>30</v>
      </c>
    </row>
    <row r="1581" spans="26:27">
      <c r="Z1581" t="s">
        <v>6433</v>
      </c>
      <c r="AA1581">
        <v>31</v>
      </c>
    </row>
    <row r="1582" spans="26:27">
      <c r="Z1582" t="s">
        <v>6433</v>
      </c>
      <c r="AA1582">
        <v>32</v>
      </c>
    </row>
    <row r="1583" spans="26:27">
      <c r="Z1583" t="s">
        <v>6433</v>
      </c>
      <c r="AA1583">
        <v>33</v>
      </c>
    </row>
    <row r="1584" spans="26:27">
      <c r="Z1584" t="s">
        <v>6433</v>
      </c>
      <c r="AA1584">
        <v>34</v>
      </c>
    </row>
    <row r="1585" spans="26:27">
      <c r="Z1585" t="s">
        <v>6433</v>
      </c>
      <c r="AA1585">
        <v>35</v>
      </c>
    </row>
    <row r="1586" spans="26:27">
      <c r="Z1586" t="s">
        <v>6433</v>
      </c>
      <c r="AA1586">
        <v>36</v>
      </c>
    </row>
    <row r="1587" spans="26:27">
      <c r="Z1587" t="s">
        <v>6433</v>
      </c>
      <c r="AA1587">
        <v>37</v>
      </c>
    </row>
    <row r="1588" spans="26:27">
      <c r="Z1588" t="s">
        <v>6433</v>
      </c>
      <c r="AA1588">
        <v>38</v>
      </c>
    </row>
    <row r="1589" spans="26:27">
      <c r="Z1589" t="s">
        <v>6433</v>
      </c>
      <c r="AA1589">
        <v>39</v>
      </c>
    </row>
    <row r="1590" spans="26:27">
      <c r="Z1590" t="s">
        <v>6433</v>
      </c>
      <c r="AA1590">
        <v>40</v>
      </c>
    </row>
    <row r="1591" spans="26:27">
      <c r="Z1591" t="s">
        <v>6433</v>
      </c>
      <c r="AA1591">
        <v>41</v>
      </c>
    </row>
    <row r="1592" spans="26:27">
      <c r="Z1592" t="s">
        <v>6433</v>
      </c>
      <c r="AA1592">
        <v>42</v>
      </c>
    </row>
    <row r="1593" spans="26:27">
      <c r="Z1593" t="s">
        <v>6433</v>
      </c>
      <c r="AA1593">
        <v>43</v>
      </c>
    </row>
    <row r="1594" spans="26:27">
      <c r="Z1594" t="s">
        <v>6433</v>
      </c>
      <c r="AA1594">
        <v>44</v>
      </c>
    </row>
    <row r="1595" spans="26:27">
      <c r="Z1595" t="s">
        <v>6433</v>
      </c>
      <c r="AA1595">
        <v>45</v>
      </c>
    </row>
    <row r="1596" spans="26:27">
      <c r="Z1596" t="s">
        <v>6433</v>
      </c>
      <c r="AA1596">
        <v>46</v>
      </c>
    </row>
    <row r="1597" spans="26:27">
      <c r="Z1597" t="s">
        <v>6433</v>
      </c>
      <c r="AA1597">
        <v>47</v>
      </c>
    </row>
    <row r="1598" spans="26:27">
      <c r="Z1598" t="s">
        <v>6433</v>
      </c>
      <c r="AA1598">
        <v>48</v>
      </c>
    </row>
    <row r="1599" spans="26:27">
      <c r="Z1599" t="s">
        <v>6433</v>
      </c>
      <c r="AA1599">
        <v>49</v>
      </c>
    </row>
    <row r="1600" spans="26:27">
      <c r="Z1600" t="s">
        <v>6433</v>
      </c>
      <c r="AA1600">
        <v>50</v>
      </c>
    </row>
    <row r="1601" spans="26:27">
      <c r="Z1601" t="s">
        <v>6433</v>
      </c>
      <c r="AA1601">
        <v>51</v>
      </c>
    </row>
    <row r="1602" spans="26:27">
      <c r="Z1602" t="s">
        <v>6433</v>
      </c>
      <c r="AA1602">
        <v>52</v>
      </c>
    </row>
    <row r="1603" spans="26:27">
      <c r="Z1603" t="s">
        <v>6433</v>
      </c>
      <c r="AA1603">
        <v>53</v>
      </c>
    </row>
    <row r="1604" spans="26:27">
      <c r="Z1604" t="s">
        <v>6433</v>
      </c>
      <c r="AA1604">
        <v>54</v>
      </c>
    </row>
    <row r="1605" spans="26:27">
      <c r="Z1605" t="s">
        <v>6433</v>
      </c>
      <c r="AA1605">
        <v>55</v>
      </c>
    </row>
    <row r="1606" spans="26:27">
      <c r="Z1606" t="s">
        <v>6433</v>
      </c>
      <c r="AA1606">
        <v>56</v>
      </c>
    </row>
    <row r="1607" spans="26:27">
      <c r="Z1607" t="s">
        <v>6433</v>
      </c>
      <c r="AA1607">
        <v>57</v>
      </c>
    </row>
    <row r="1608" spans="26:27">
      <c r="Z1608" t="s">
        <v>6433</v>
      </c>
      <c r="AA1608">
        <v>58</v>
      </c>
    </row>
    <row r="1609" spans="26:27">
      <c r="Z1609" t="s">
        <v>6433</v>
      </c>
      <c r="AA1609">
        <v>59</v>
      </c>
    </row>
    <row r="1610" spans="26:27">
      <c r="Z1610" t="s">
        <v>6433</v>
      </c>
      <c r="AA1610">
        <v>60</v>
      </c>
    </row>
    <row r="1611" spans="26:27">
      <c r="Z1611" t="s">
        <v>6433</v>
      </c>
      <c r="AA1611">
        <v>61</v>
      </c>
    </row>
    <row r="1612" spans="26:27">
      <c r="Z1612" t="s">
        <v>6433</v>
      </c>
      <c r="AA1612">
        <v>62</v>
      </c>
    </row>
    <row r="1613" spans="26:27">
      <c r="Z1613" t="s">
        <v>6433</v>
      </c>
      <c r="AA1613">
        <v>63</v>
      </c>
    </row>
    <row r="1614" spans="26:27">
      <c r="Z1614" t="s">
        <v>6433</v>
      </c>
      <c r="AA1614">
        <v>64</v>
      </c>
    </row>
    <row r="1615" spans="26:27">
      <c r="Z1615" t="s">
        <v>6433</v>
      </c>
      <c r="AA1615">
        <v>65</v>
      </c>
    </row>
    <row r="1616" spans="26:27">
      <c r="Z1616" t="s">
        <v>6433</v>
      </c>
      <c r="AA1616">
        <v>66</v>
      </c>
    </row>
    <row r="1617" spans="26:27">
      <c r="Z1617" t="s">
        <v>6433</v>
      </c>
      <c r="AA1617">
        <v>67</v>
      </c>
    </row>
    <row r="1618" spans="26:27">
      <c r="Z1618" t="s">
        <v>6433</v>
      </c>
      <c r="AA1618">
        <v>68</v>
      </c>
    </row>
    <row r="1619" spans="26:27">
      <c r="Z1619" t="s">
        <v>6433</v>
      </c>
      <c r="AA1619">
        <v>69</v>
      </c>
    </row>
    <row r="1620" spans="26:27">
      <c r="Z1620" t="s">
        <v>6433</v>
      </c>
      <c r="AA1620">
        <v>70</v>
      </c>
    </row>
    <row r="1621" spans="26:27">
      <c r="Z1621" t="s">
        <v>6433</v>
      </c>
      <c r="AA1621">
        <v>71</v>
      </c>
    </row>
    <row r="1622" spans="26:27">
      <c r="Z1622" t="s">
        <v>6433</v>
      </c>
      <c r="AA1622">
        <v>72</v>
      </c>
    </row>
    <row r="1623" spans="26:27">
      <c r="Z1623" t="s">
        <v>6433</v>
      </c>
      <c r="AA1623">
        <v>73</v>
      </c>
    </row>
    <row r="1624" spans="26:27">
      <c r="Z1624" t="s">
        <v>6433</v>
      </c>
      <c r="AA1624">
        <v>74</v>
      </c>
    </row>
    <row r="1625" spans="26:27">
      <c r="Z1625" t="s">
        <v>6433</v>
      </c>
      <c r="AA1625">
        <v>75</v>
      </c>
    </row>
    <row r="1626" spans="26:27">
      <c r="Z1626" t="s">
        <v>6433</v>
      </c>
      <c r="AA1626">
        <v>76</v>
      </c>
    </row>
    <row r="1627" spans="26:27">
      <c r="Z1627" t="s">
        <v>6433</v>
      </c>
      <c r="AA1627">
        <v>77</v>
      </c>
    </row>
    <row r="1628" spans="26:27">
      <c r="Z1628" t="s">
        <v>6433</v>
      </c>
      <c r="AA1628">
        <v>78</v>
      </c>
    </row>
    <row r="1629" spans="26:27">
      <c r="Z1629" t="s">
        <v>6433</v>
      </c>
      <c r="AA1629">
        <v>79</v>
      </c>
    </row>
    <row r="1630" spans="26:27">
      <c r="Z1630" t="s">
        <v>6433</v>
      </c>
      <c r="AA1630">
        <v>80</v>
      </c>
    </row>
    <row r="1631" spans="26:27">
      <c r="Z1631" t="s">
        <v>6433</v>
      </c>
      <c r="AA1631">
        <v>81</v>
      </c>
    </row>
    <row r="1632" spans="26:27">
      <c r="Z1632" t="s">
        <v>6433</v>
      </c>
      <c r="AA1632">
        <v>82</v>
      </c>
    </row>
    <row r="1633" spans="26:27">
      <c r="Z1633" t="s">
        <v>6433</v>
      </c>
      <c r="AA1633">
        <v>83</v>
      </c>
    </row>
    <row r="1634" spans="26:27">
      <c r="Z1634" t="s">
        <v>6433</v>
      </c>
      <c r="AA1634">
        <v>84</v>
      </c>
    </row>
    <row r="1635" spans="26:27">
      <c r="Z1635" t="s">
        <v>6433</v>
      </c>
      <c r="AA1635">
        <v>85</v>
      </c>
    </row>
    <row r="1636" spans="26:27">
      <c r="Z1636" t="s">
        <v>6433</v>
      </c>
      <c r="AA1636">
        <v>86</v>
      </c>
    </row>
    <row r="1637" spans="26:27">
      <c r="Z1637" t="s">
        <v>6433</v>
      </c>
      <c r="AA1637">
        <v>87</v>
      </c>
    </row>
    <row r="1638" spans="26:27">
      <c r="Z1638" t="s">
        <v>6433</v>
      </c>
      <c r="AA1638">
        <v>88</v>
      </c>
    </row>
    <row r="1639" spans="26:27">
      <c r="Z1639" t="s">
        <v>6433</v>
      </c>
      <c r="AA1639">
        <v>89</v>
      </c>
    </row>
    <row r="1640" spans="26:27">
      <c r="Z1640" t="s">
        <v>6433</v>
      </c>
      <c r="AA1640">
        <v>90</v>
      </c>
    </row>
    <row r="1641" spans="26:27">
      <c r="Z1641" t="s">
        <v>6433</v>
      </c>
      <c r="AA1641">
        <v>91</v>
      </c>
    </row>
    <row r="1642" spans="26:27">
      <c r="Z1642" t="s">
        <v>6433</v>
      </c>
      <c r="AA1642">
        <v>92</v>
      </c>
    </row>
    <row r="1643" spans="26:27">
      <c r="Z1643" t="s">
        <v>6433</v>
      </c>
      <c r="AA1643">
        <v>93</v>
      </c>
    </row>
    <row r="1644" spans="26:27">
      <c r="Z1644" t="s">
        <v>6433</v>
      </c>
      <c r="AA1644">
        <v>94</v>
      </c>
    </row>
    <row r="1645" spans="26:27">
      <c r="Z1645" t="s">
        <v>6433</v>
      </c>
      <c r="AA1645">
        <v>95</v>
      </c>
    </row>
    <row r="1646" spans="26:27">
      <c r="Z1646" t="s">
        <v>6433</v>
      </c>
      <c r="AA1646">
        <v>96</v>
      </c>
    </row>
    <row r="1647" spans="26:27">
      <c r="Z1647" t="s">
        <v>6433</v>
      </c>
      <c r="AA1647">
        <v>97</v>
      </c>
    </row>
    <row r="1648" spans="26:27">
      <c r="Z1648" t="s">
        <v>6433</v>
      </c>
      <c r="AA1648">
        <v>98</v>
      </c>
    </row>
    <row r="1649" spans="26:27">
      <c r="Z1649" t="s">
        <v>6433</v>
      </c>
      <c r="AA1649">
        <v>99</v>
      </c>
    </row>
    <row r="1650" spans="26:27">
      <c r="Z1650" t="s">
        <v>6433</v>
      </c>
      <c r="AA1650">
        <v>100</v>
      </c>
    </row>
  </sheetData>
  <mergeCells count="8">
    <mergeCell ref="J1:Q1"/>
    <mergeCell ref="U15:X15"/>
    <mergeCell ref="U16:X16"/>
    <mergeCell ref="K27:L27"/>
    <mergeCell ref="J38:M38"/>
    <mergeCell ref="I14:L14"/>
    <mergeCell ref="N14:R14"/>
    <mergeCell ref="S31:T31"/>
  </mergeCells>
  <pageMargins left="0.7" right="0.7" top="0.75" bottom="0.75" header="0.3" footer="0.3"/>
  <headerFooter>
    <oddHeader>&amp;R&amp;"Arial"&amp;11&amp;KFF7300 MANN+HUMMEL - Confidential&amp;1#_x000D_</oddHeader>
  </headerFooter>
  <drawing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0790C3-CBEE-495B-B4ED-5F79FC2CCD4F}">
  <sheetPr codeName="Sheet4">
    <tabColor theme="9" tint="0.39997558519241921"/>
  </sheetPr>
  <dimension ref="C2:H33"/>
  <sheetViews>
    <sheetView showGridLines="0" workbookViewId="0">
      <selection activeCell="F23" sqref="F23"/>
    </sheetView>
  </sheetViews>
  <sheetFormatPr defaultRowHeight="14.5"/>
  <cols>
    <col min="3" max="3" width="8.453125" customWidth="1"/>
    <col min="4" max="4" width="19.81640625" customWidth="1"/>
    <col min="5" max="5" width="5.81640625" customWidth="1"/>
    <col min="6" max="7" width="27.1796875" customWidth="1"/>
    <col min="8" max="8" width="12.26953125" customWidth="1"/>
  </cols>
  <sheetData>
    <row r="2" spans="3:8" ht="15" thickBot="1"/>
    <row r="3" spans="3:8">
      <c r="C3" s="2"/>
      <c r="D3" s="3"/>
      <c r="E3" s="3"/>
      <c r="F3" s="3"/>
      <c r="G3" s="3"/>
      <c r="H3" s="4"/>
    </row>
    <row r="4" spans="3:8" ht="18.5">
      <c r="C4" s="5"/>
      <c r="D4" s="6"/>
      <c r="E4" s="6"/>
      <c r="F4" s="446" t="s">
        <v>6434</v>
      </c>
      <c r="G4" s="446"/>
      <c r="H4" s="493"/>
    </row>
    <row r="5" spans="3:8" ht="18.5">
      <c r="C5" s="5"/>
      <c r="D5" s="6"/>
      <c r="E5" s="6"/>
      <c r="F5" s="446"/>
      <c r="G5" s="446"/>
      <c r="H5" s="493"/>
    </row>
    <row r="6" spans="3:8" ht="18.5">
      <c r="C6" s="5"/>
      <c r="D6" s="6"/>
      <c r="E6" s="6"/>
      <c r="F6" s="446"/>
      <c r="G6" s="446"/>
      <c r="H6" s="493"/>
    </row>
    <row r="7" spans="3:8" ht="18.5">
      <c r="C7" s="5"/>
      <c r="D7" s="6"/>
      <c r="E7" s="6"/>
      <c r="F7" s="6"/>
      <c r="G7" s="6"/>
      <c r="H7" s="7"/>
    </row>
    <row r="8" spans="3:8" ht="18.5">
      <c r="C8" s="5"/>
      <c r="D8" s="8" t="s">
        <v>31</v>
      </c>
      <c r="E8" s="6"/>
      <c r="F8" s="434" t="s">
        <v>6435</v>
      </c>
      <c r="G8" s="435"/>
      <c r="H8" s="7"/>
    </row>
    <row r="9" spans="3:8" ht="18.5">
      <c r="C9" s="5"/>
      <c r="D9" s="6"/>
      <c r="E9" s="6"/>
      <c r="F9" s="6"/>
      <c r="G9" s="6"/>
      <c r="H9" s="7"/>
    </row>
    <row r="10" spans="3:8" ht="18.5">
      <c r="C10" s="5"/>
      <c r="D10" s="8" t="s">
        <v>6171</v>
      </c>
      <c r="E10" s="6"/>
      <c r="F10" s="434" t="s">
        <v>366</v>
      </c>
      <c r="G10" s="435"/>
      <c r="H10" s="7"/>
    </row>
    <row r="11" spans="3:8" ht="18.5">
      <c r="C11" s="5"/>
      <c r="D11" s="6"/>
      <c r="E11" s="6"/>
      <c r="F11" s="6"/>
      <c r="G11" s="6"/>
      <c r="H11" s="7"/>
    </row>
    <row r="12" spans="3:8" ht="18.5">
      <c r="C12" s="5"/>
      <c r="D12" s="6"/>
      <c r="E12" s="6"/>
      <c r="F12" s="9" t="s">
        <v>33</v>
      </c>
      <c r="G12" s="9" t="s">
        <v>34</v>
      </c>
      <c r="H12" s="7"/>
    </row>
    <row r="13" spans="3:8" ht="18.5">
      <c r="C13" s="5"/>
      <c r="D13" s="8" t="s">
        <v>35</v>
      </c>
      <c r="E13" s="6"/>
      <c r="F13" s="1">
        <v>8</v>
      </c>
      <c r="G13" s="109">
        <v>0</v>
      </c>
      <c r="H13" s="7"/>
    </row>
    <row r="14" spans="3:8" ht="18.5">
      <c r="C14" s="5"/>
      <c r="D14" s="8" t="s">
        <v>36</v>
      </c>
      <c r="E14" s="6"/>
      <c r="F14" s="1">
        <v>71</v>
      </c>
      <c r="G14" s="109">
        <v>0.25</v>
      </c>
      <c r="H14" s="7"/>
    </row>
    <row r="15" spans="3:8" ht="18.5">
      <c r="C15" s="5"/>
      <c r="D15" s="6"/>
      <c r="E15" s="6"/>
      <c r="F15" s="6"/>
      <c r="G15" s="6"/>
      <c r="H15" s="7"/>
    </row>
    <row r="16" spans="3:8" ht="18.5">
      <c r="C16" s="5"/>
      <c r="D16" s="8" t="s">
        <v>41</v>
      </c>
      <c r="E16" s="6"/>
      <c r="F16" s="103" t="str">
        <f>'Pricing Logic Sleeves'!N17</f>
        <v>0720871B-4CW</v>
      </c>
      <c r="G16" s="104"/>
      <c r="H16" s="7"/>
    </row>
    <row r="17" spans="3:8">
      <c r="C17" s="5"/>
      <c r="H17" s="10"/>
    </row>
    <row r="18" spans="3:8" ht="18.5">
      <c r="C18" s="5"/>
      <c r="D18" s="8" t="s">
        <v>42</v>
      </c>
      <c r="E18" s="6"/>
      <c r="F18" s="105">
        <f>IF('Pricing Logic Sleeves'!N43="",IFERROR(VLOOKUP('Pricing Logic Sleeves'!R20,'Pricing Logic Sleeves'!$R$24:$S$192,2,FALSE),'Pricing Logic Sleeves'!N18),'Pricing Logic Sleeves'!N43)</f>
        <v>8.3330000000000002</v>
      </c>
      <c r="G18" s="106"/>
      <c r="H18" s="10"/>
    </row>
    <row r="19" spans="3:8" ht="18.5">
      <c r="C19" s="5"/>
      <c r="D19" s="8"/>
      <c r="E19" s="6"/>
      <c r="F19" s="154"/>
      <c r="G19" s="154"/>
      <c r="H19" s="10"/>
    </row>
    <row r="20" spans="3:8" ht="18.5">
      <c r="C20" s="5"/>
      <c r="D20" s="8"/>
      <c r="E20" s="6"/>
      <c r="F20" s="154"/>
      <c r="G20" s="154"/>
      <c r="H20" s="10"/>
    </row>
    <row r="21" spans="3:8" ht="18.5">
      <c r="C21" s="5"/>
      <c r="D21" s="8"/>
      <c r="E21" s="6"/>
      <c r="F21" s="100"/>
      <c r="G21" s="100"/>
      <c r="H21" s="10"/>
    </row>
    <row r="22" spans="3:8" ht="18.5">
      <c r="C22" s="5"/>
      <c r="D22" s="8" t="s">
        <v>43</v>
      </c>
      <c r="E22" s="6"/>
      <c r="F22" s="135" t="str">
        <f>'Pricing Logic Sleeves'!P17</f>
        <v>1</v>
      </c>
      <c r="G22" s="108"/>
      <c r="H22" s="10"/>
    </row>
    <row r="23" spans="3:8" ht="18.5">
      <c r="C23" s="5"/>
      <c r="D23" s="8" t="s">
        <v>44</v>
      </c>
      <c r="E23" s="6"/>
      <c r="F23" s="105">
        <f>IFERROR(F18*F22,F18)</f>
        <v>8.3330000000000002</v>
      </c>
      <c r="G23" s="106"/>
      <c r="H23" s="10"/>
    </row>
    <row r="24" spans="3:8" ht="15" thickBot="1">
      <c r="C24" s="11"/>
      <c r="D24" s="12"/>
      <c r="E24" s="12"/>
      <c r="F24" s="12"/>
      <c r="G24" s="12"/>
      <c r="H24" s="13"/>
    </row>
    <row r="26" spans="3:8" ht="15" thickBot="1"/>
    <row r="27" spans="3:8" ht="36.75" customHeight="1">
      <c r="C27" s="498" t="s">
        <v>6436</v>
      </c>
      <c r="D27" s="499"/>
      <c r="E27" s="499"/>
      <c r="F27" s="499"/>
      <c r="G27" s="499"/>
      <c r="H27" s="500"/>
    </row>
    <row r="28" spans="3:8" ht="34.5" customHeight="1">
      <c r="C28" s="501"/>
      <c r="D28" s="502"/>
      <c r="E28" s="502"/>
      <c r="F28" s="502"/>
      <c r="G28" s="502"/>
      <c r="H28" s="503"/>
    </row>
    <row r="29" spans="3:8" ht="27" customHeight="1">
      <c r="C29" s="501"/>
      <c r="D29" s="502"/>
      <c r="E29" s="502"/>
      <c r="F29" s="502"/>
      <c r="G29" s="502"/>
      <c r="H29" s="503"/>
    </row>
    <row r="30" spans="3:8" ht="22.5" customHeight="1">
      <c r="C30" s="501"/>
      <c r="D30" s="502"/>
      <c r="E30" s="502"/>
      <c r="F30" s="502"/>
      <c r="G30" s="502"/>
      <c r="H30" s="503"/>
    </row>
    <row r="31" spans="3:8">
      <c r="C31" s="501"/>
      <c r="D31" s="502"/>
      <c r="E31" s="502"/>
      <c r="F31" s="502"/>
      <c r="G31" s="502"/>
      <c r="H31" s="503"/>
    </row>
    <row r="32" spans="3:8" ht="33" customHeight="1">
      <c r="C32" s="501"/>
      <c r="D32" s="502"/>
      <c r="E32" s="502"/>
      <c r="F32" s="502"/>
      <c r="G32" s="502"/>
      <c r="H32" s="503"/>
    </row>
    <row r="33" spans="3:8" ht="22.5" customHeight="1" thickBot="1">
      <c r="C33" s="504"/>
      <c r="D33" s="505"/>
      <c r="E33" s="505"/>
      <c r="F33" s="505"/>
      <c r="G33" s="505"/>
      <c r="H33" s="506"/>
    </row>
  </sheetData>
  <protectedRanges>
    <protectedRange sqref="F8:G15" name="Input"/>
  </protectedRanges>
  <mergeCells count="4">
    <mergeCell ref="F4:H6"/>
    <mergeCell ref="F8:G8"/>
    <mergeCell ref="F10:G10"/>
    <mergeCell ref="C27:H33"/>
  </mergeCells>
  <pageMargins left="0.7" right="0.7" top="0.75" bottom="0.75" header="0.3" footer="0.3"/>
  <drawing r:id="rId1"/>
  <extLst>
    <ext xmlns:x14="http://schemas.microsoft.com/office/spreadsheetml/2009/9/main" uri="{CCE6A557-97BC-4b89-ADB6-D9C93CAAB3DF}">
      <x14:dataValidations xmlns:xm="http://schemas.microsoft.com/office/excel/2006/main" disablePrompts="1" count="5">
        <x14:dataValidation type="list" allowBlank="1" showInputMessage="1" showErrorMessage="1" xr:uid="{82EB84E6-AD8D-446D-BD95-2BCD0DD148BF}">
          <x14:formula1>
            <xm:f>'Pricing Logic Sleeves'!$P$8:$P$9</xm:f>
          </x14:formula1>
          <xm:sqref>F10:G10</xm:sqref>
        </x14:dataValidation>
        <x14:dataValidation type="list" allowBlank="1" showInputMessage="1" showErrorMessage="1" xr:uid="{175F3BA5-ADC5-4B5F-BB67-C99BB053FE16}">
          <x14:formula1>
            <xm:f>'Pricing Logic Pads'!$V$17:$V$24</xm:f>
          </x14:formula1>
          <xm:sqref>G13:G14</xm:sqref>
        </x14:dataValidation>
        <x14:dataValidation type="list" allowBlank="1" showInputMessage="1" showErrorMessage="1" xr:uid="{B98D61E9-60CD-445B-807C-2AB0A714E364}">
          <x14:formula1>
            <xm:f>'Pricing Logic Sleeves'!$L$3:$L$4</xm:f>
          </x14:formula1>
          <xm:sqref>F8:G8</xm:sqref>
        </x14:dataValidation>
        <x14:dataValidation type="list" allowBlank="1" showInputMessage="1" showErrorMessage="1" xr:uid="{5DE6F465-D266-44AA-9938-06CBC2B19E1D}">
          <x14:formula1>
            <xm:f>'Pricing Logic Sleeves'!$O$23:$O$119</xm:f>
          </x14:formula1>
          <xm:sqref>F14</xm:sqref>
        </x14:dataValidation>
        <x14:dataValidation type="list" allowBlank="1" showInputMessage="1" showErrorMessage="1" xr:uid="{AF74F834-FF6F-42E8-9DE2-04FAC5010C89}">
          <x14:formula1>
            <xm:f>'Pricing Logic Sleeves'!$P$23:$P$79</xm:f>
          </x14:formula1>
          <xm:sqref>F13</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CD50CA-5666-45D2-A754-266BC7A85C05}">
  <sheetPr codeName="Sheet7"/>
  <dimension ref="A1:JS1747"/>
  <sheetViews>
    <sheetView showFormulas="1" showGridLines="0" tabSelected="1" topLeftCell="N1" workbookViewId="0">
      <selection activeCell="O5" sqref="O5"/>
    </sheetView>
  </sheetViews>
  <sheetFormatPr defaultRowHeight="14.5"/>
  <cols>
    <col min="1" max="1" width="10.453125" customWidth="1"/>
    <col min="2" max="2" width="31" bestFit="1" customWidth="1"/>
    <col min="3" max="3" width="11.81640625" bestFit="1" customWidth="1"/>
    <col min="4" max="4" width="7.54296875" customWidth="1"/>
    <col min="5" max="5" width="10.54296875" customWidth="1"/>
    <col min="6" max="7" width="12.54296875" style="72" customWidth="1"/>
    <col min="9" max="9" width="32.26953125" bestFit="1" customWidth="1"/>
    <col min="10" max="10" width="32.1796875" bestFit="1" customWidth="1"/>
    <col min="11" max="11" width="28.453125" bestFit="1" customWidth="1"/>
    <col min="12" max="12" width="42.453125" customWidth="1"/>
    <col min="13" max="13" width="14" bestFit="1" customWidth="1"/>
    <col min="14" max="14" width="26.1796875" customWidth="1"/>
    <col min="15" max="15" width="31.26953125" bestFit="1" customWidth="1"/>
    <col min="16" max="16" width="13.7265625" customWidth="1"/>
    <col min="18" max="18" width="14.81640625" bestFit="1" customWidth="1"/>
    <col min="19" max="19" width="24.54296875" customWidth="1"/>
    <col min="23" max="24" width="10.81640625" customWidth="1"/>
    <col min="25" max="25" width="31.26953125" bestFit="1" customWidth="1"/>
    <col min="28" max="28" width="28.7265625" bestFit="1" customWidth="1"/>
    <col min="32" max="32" width="31.26953125" bestFit="1" customWidth="1"/>
  </cols>
  <sheetData>
    <row r="1" spans="1:279" ht="16">
      <c r="A1" s="549" t="s">
        <v>6174</v>
      </c>
      <c r="B1" s="549" t="s">
        <v>59</v>
      </c>
      <c r="C1" s="549" t="s">
        <v>383</v>
      </c>
      <c r="D1" s="549" t="s">
        <v>6175</v>
      </c>
      <c r="E1" s="549" t="s">
        <v>6176</v>
      </c>
      <c r="F1" s="550" t="s">
        <v>27</v>
      </c>
      <c r="G1" s="550" t="s">
        <v>367</v>
      </c>
      <c r="J1" s="432" t="s">
        <v>6437</v>
      </c>
      <c r="K1" s="432"/>
      <c r="L1" s="432"/>
      <c r="M1" s="432"/>
      <c r="N1" s="432"/>
      <c r="O1" s="432"/>
      <c r="P1" s="432"/>
    </row>
    <row r="2" spans="1:279">
      <c r="A2" s="551" t="s">
        <v>6438</v>
      </c>
      <c r="B2" s="528" t="s">
        <v>6439</v>
      </c>
      <c r="C2" s="528" t="s">
        <v>6440</v>
      </c>
      <c r="D2" s="528">
        <v>0</v>
      </c>
      <c r="E2" s="528">
        <v>143</v>
      </c>
      <c r="F2" s="552">
        <v>2.0299999999999998</v>
      </c>
      <c r="G2" s="552">
        <v>2.19</v>
      </c>
      <c r="H2" s="153">
        <f>(G2-F2)/F2</f>
        <v>7.8817733990147867E-2</v>
      </c>
      <c r="J2" s="535" t="s">
        <v>25</v>
      </c>
      <c r="K2" s="535" t="s">
        <v>248</v>
      </c>
      <c r="L2" s="535" t="s">
        <v>6181</v>
      </c>
      <c r="M2" s="535" t="s">
        <v>6182</v>
      </c>
      <c r="N2" s="535" t="s">
        <v>160</v>
      </c>
      <c r="O2" s="535" t="s">
        <v>6174</v>
      </c>
      <c r="P2" s="535" t="s">
        <v>6183</v>
      </c>
      <c r="Q2" s="535" t="s">
        <v>380</v>
      </c>
      <c r="R2" s="535" t="s">
        <v>381</v>
      </c>
    </row>
    <row r="3" spans="1:279">
      <c r="A3" s="551" t="s">
        <v>6438</v>
      </c>
      <c r="B3" s="528" t="s">
        <v>6439</v>
      </c>
      <c r="C3" s="528" t="s">
        <v>6441</v>
      </c>
      <c r="D3" s="528">
        <v>144</v>
      </c>
      <c r="E3" s="528">
        <v>156</v>
      </c>
      <c r="F3" s="552">
        <v>2.17</v>
      </c>
      <c r="G3" s="552">
        <v>2.34</v>
      </c>
      <c r="H3" s="153">
        <f t="shared" ref="H3:H66" si="0">(G3-F3)/F3</f>
        <v>7.8341013824884759E-2</v>
      </c>
      <c r="J3" s="528" t="s">
        <v>6442</v>
      </c>
      <c r="K3" s="528" t="s">
        <v>6443</v>
      </c>
      <c r="L3" s="528" t="s">
        <v>6444</v>
      </c>
      <c r="M3" s="528">
        <v>2</v>
      </c>
      <c r="N3" s="528"/>
      <c r="O3" s="536" t="s">
        <v>6438</v>
      </c>
      <c r="P3" s="528" t="s">
        <v>90</v>
      </c>
      <c r="Q3" s="528">
        <v>4</v>
      </c>
      <c r="R3" s="528">
        <v>100</v>
      </c>
      <c r="AF3" s="335" t="s">
        <v>6445</v>
      </c>
    </row>
    <row r="4" spans="1:279" ht="15" thickBot="1">
      <c r="A4" s="551" t="s">
        <v>6438</v>
      </c>
      <c r="B4" s="528" t="s">
        <v>6439</v>
      </c>
      <c r="C4" s="528" t="s">
        <v>6446</v>
      </c>
      <c r="D4" s="528">
        <v>157</v>
      </c>
      <c r="E4" s="528">
        <v>168</v>
      </c>
      <c r="F4" s="552">
        <v>2.2999999999999998</v>
      </c>
      <c r="G4" s="552">
        <v>2.48</v>
      </c>
      <c r="H4" s="153">
        <f t="shared" si="0"/>
        <v>7.8260869565217467E-2</v>
      </c>
      <c r="J4" s="537" t="s">
        <v>6447</v>
      </c>
      <c r="K4" s="537" t="s">
        <v>6448</v>
      </c>
      <c r="L4" s="537" t="s">
        <v>6435</v>
      </c>
      <c r="M4" s="537"/>
      <c r="N4" s="537"/>
      <c r="O4" s="538" t="s">
        <v>6449</v>
      </c>
      <c r="P4" s="537" t="s">
        <v>90</v>
      </c>
      <c r="Q4" s="528"/>
      <c r="R4" s="528"/>
      <c r="Y4" t="s">
        <v>6190</v>
      </c>
      <c r="Z4" t="s">
        <v>6191</v>
      </c>
      <c r="AB4" s="338" t="s">
        <v>25</v>
      </c>
      <c r="AC4" s="339" t="s">
        <v>381</v>
      </c>
      <c r="AF4" s="16" t="str" cm="1">
        <f t="array" ref="AF4:AF16">_xlfn.UNIQUE(Table13[[#All],[Level1]])</f>
        <v>Level1</v>
      </c>
    </row>
    <row r="5" spans="1:279" ht="15" thickTop="1">
      <c r="A5" s="551" t="s">
        <v>6438</v>
      </c>
      <c r="B5" s="528" t="s">
        <v>6439</v>
      </c>
      <c r="C5" s="528" t="s">
        <v>6450</v>
      </c>
      <c r="D5" s="528">
        <v>169</v>
      </c>
      <c r="E5" s="528">
        <v>180</v>
      </c>
      <c r="F5" s="552">
        <v>2.4300000000000002</v>
      </c>
      <c r="G5" s="552">
        <v>2.62</v>
      </c>
      <c r="H5" s="153">
        <f t="shared" si="0"/>
        <v>7.8189300411522611E-2</v>
      </c>
      <c r="J5" s="15"/>
      <c r="K5" s="15"/>
      <c r="L5" s="15"/>
      <c r="M5" s="15"/>
      <c r="N5" s="15"/>
      <c r="O5" s="15"/>
      <c r="Y5" t="s">
        <v>6170</v>
      </c>
      <c r="Z5">
        <v>4</v>
      </c>
      <c r="AA5">
        <v>4</v>
      </c>
      <c r="AB5" s="341" t="s">
        <v>6444</v>
      </c>
      <c r="AC5" s="337">
        <v>4</v>
      </c>
      <c r="AF5" t="str">
        <v>Tri-Dek #3 Media Pad</v>
      </c>
      <c r="AG5" cm="1">
        <f t="array" ref="AG5:CU5">_xlfn.TOROW(_xlfn.UNIQUE(_xlfn._xlws.FILTER(Table13[Level2],Table13[Level1]=AF5,"")))</f>
        <v>4</v>
      </c>
      <c r="AH5">
        <v>5</v>
      </c>
      <c r="AI5">
        <v>6</v>
      </c>
      <c r="AJ5">
        <v>7</v>
      </c>
      <c r="AK5">
        <v>8</v>
      </c>
      <c r="AL5">
        <v>9</v>
      </c>
      <c r="AM5">
        <v>10</v>
      </c>
      <c r="AN5">
        <v>11</v>
      </c>
      <c r="AO5">
        <v>12</v>
      </c>
      <c r="AP5">
        <v>13</v>
      </c>
      <c r="AQ5">
        <v>14</v>
      </c>
      <c r="AR5">
        <v>15</v>
      </c>
      <c r="AS5">
        <v>16</v>
      </c>
      <c r="AT5">
        <v>17</v>
      </c>
      <c r="AU5">
        <v>18</v>
      </c>
      <c r="AV5">
        <v>19</v>
      </c>
      <c r="AW5">
        <v>20</v>
      </c>
      <c r="AX5">
        <v>21</v>
      </c>
      <c r="AY5">
        <v>22</v>
      </c>
      <c r="AZ5">
        <v>23</v>
      </c>
      <c r="BA5">
        <v>24</v>
      </c>
      <c r="BB5">
        <v>25</v>
      </c>
      <c r="BC5">
        <v>26</v>
      </c>
      <c r="BD5">
        <v>27</v>
      </c>
      <c r="BE5">
        <v>28</v>
      </c>
      <c r="BF5">
        <v>29</v>
      </c>
      <c r="BG5">
        <v>30</v>
      </c>
      <c r="BH5">
        <v>31</v>
      </c>
      <c r="BI5">
        <v>32</v>
      </c>
      <c r="BJ5">
        <v>33</v>
      </c>
      <c r="BK5">
        <v>34</v>
      </c>
      <c r="BL5">
        <v>35</v>
      </c>
      <c r="BM5">
        <v>36</v>
      </c>
      <c r="BN5">
        <v>37</v>
      </c>
      <c r="BO5">
        <v>38</v>
      </c>
      <c r="BP5">
        <v>39</v>
      </c>
      <c r="BQ5">
        <v>40</v>
      </c>
      <c r="BR5">
        <v>41</v>
      </c>
      <c r="BS5">
        <v>42</v>
      </c>
      <c r="BT5">
        <v>43</v>
      </c>
      <c r="BU5">
        <v>44</v>
      </c>
      <c r="BV5">
        <v>45</v>
      </c>
      <c r="BW5">
        <v>46</v>
      </c>
      <c r="BX5">
        <v>47</v>
      </c>
      <c r="BY5">
        <v>48</v>
      </c>
      <c r="BZ5">
        <v>49</v>
      </c>
      <c r="CA5">
        <v>50</v>
      </c>
      <c r="CB5">
        <v>51</v>
      </c>
      <c r="CC5">
        <v>52</v>
      </c>
      <c r="CD5">
        <v>53</v>
      </c>
      <c r="CE5">
        <v>54</v>
      </c>
      <c r="CF5">
        <v>55</v>
      </c>
      <c r="CG5">
        <v>56</v>
      </c>
      <c r="CH5">
        <v>57</v>
      </c>
      <c r="CI5">
        <v>58</v>
      </c>
      <c r="CJ5">
        <v>59</v>
      </c>
      <c r="CK5">
        <v>60</v>
      </c>
      <c r="CL5">
        <v>61</v>
      </c>
      <c r="CM5">
        <v>62</v>
      </c>
      <c r="CN5">
        <v>63</v>
      </c>
      <c r="CO5">
        <v>64</v>
      </c>
      <c r="CP5">
        <v>65</v>
      </c>
      <c r="CQ5">
        <v>66</v>
      </c>
      <c r="CR5">
        <v>67</v>
      </c>
      <c r="CS5">
        <v>68</v>
      </c>
      <c r="CT5">
        <v>69</v>
      </c>
      <c r="CU5">
        <v>70</v>
      </c>
    </row>
    <row r="6" spans="1:279" ht="16">
      <c r="A6" s="551" t="s">
        <v>6438</v>
      </c>
      <c r="B6" s="528" t="s">
        <v>6439</v>
      </c>
      <c r="C6" s="528" t="s">
        <v>6451</v>
      </c>
      <c r="D6" s="528">
        <v>181</v>
      </c>
      <c r="E6" s="528">
        <v>192</v>
      </c>
      <c r="F6" s="552">
        <v>2.56</v>
      </c>
      <c r="G6" s="552">
        <v>2.76</v>
      </c>
      <c r="H6" s="153">
        <f t="shared" si="0"/>
        <v>7.8124999999999889E-2</v>
      </c>
      <c r="I6" s="523" t="s">
        <v>6214</v>
      </c>
      <c r="J6" s="523"/>
      <c r="K6" s="523"/>
      <c r="L6" s="15"/>
      <c r="M6" s="15"/>
      <c r="N6" s="15"/>
      <c r="O6" s="15"/>
      <c r="Y6" t="s">
        <v>6170</v>
      </c>
      <c r="Z6">
        <v>5</v>
      </c>
      <c r="AA6">
        <v>5</v>
      </c>
      <c r="AB6" s="342" t="s">
        <v>6444</v>
      </c>
      <c r="AC6" s="336">
        <v>5</v>
      </c>
      <c r="AF6" t="str">
        <v>Tri-Dek #5 Media Pad</v>
      </c>
      <c r="AG6" cm="1">
        <f t="array" ref="AG6:DI6">_xlfn.TOROW(_xlfn.UNIQUE(_xlfn._xlws.FILTER(Table13[Level2],Table13[Level1]=AF6,"")))</f>
        <v>4</v>
      </c>
      <c r="AH6">
        <v>5</v>
      </c>
      <c r="AI6">
        <v>6</v>
      </c>
      <c r="AJ6">
        <v>7</v>
      </c>
      <c r="AK6">
        <v>8</v>
      </c>
      <c r="AL6">
        <v>9</v>
      </c>
      <c r="AM6">
        <v>10</v>
      </c>
      <c r="AN6">
        <v>11</v>
      </c>
      <c r="AO6">
        <v>12</v>
      </c>
      <c r="AP6">
        <v>13</v>
      </c>
      <c r="AQ6">
        <v>14</v>
      </c>
      <c r="AR6">
        <v>15</v>
      </c>
      <c r="AS6">
        <v>16</v>
      </c>
      <c r="AT6">
        <v>17</v>
      </c>
      <c r="AU6">
        <v>18</v>
      </c>
      <c r="AV6">
        <v>19</v>
      </c>
      <c r="AW6">
        <v>20</v>
      </c>
      <c r="AX6">
        <v>21</v>
      </c>
      <c r="AY6">
        <v>22</v>
      </c>
      <c r="AZ6">
        <v>23</v>
      </c>
      <c r="BA6">
        <v>24</v>
      </c>
      <c r="BB6">
        <v>25</v>
      </c>
      <c r="BC6">
        <v>26</v>
      </c>
      <c r="BD6">
        <v>27</v>
      </c>
      <c r="BE6">
        <v>28</v>
      </c>
      <c r="BF6">
        <v>29</v>
      </c>
      <c r="BG6">
        <v>30</v>
      </c>
      <c r="BH6">
        <v>31</v>
      </c>
      <c r="BI6">
        <v>32</v>
      </c>
      <c r="BJ6">
        <v>33</v>
      </c>
      <c r="BK6">
        <v>34</v>
      </c>
      <c r="BL6">
        <v>35</v>
      </c>
      <c r="BM6">
        <v>36</v>
      </c>
      <c r="BN6">
        <v>37</v>
      </c>
      <c r="BO6">
        <v>38</v>
      </c>
      <c r="BP6">
        <v>39</v>
      </c>
      <c r="BQ6">
        <v>40</v>
      </c>
      <c r="BR6">
        <v>41</v>
      </c>
      <c r="BS6">
        <v>42</v>
      </c>
      <c r="BT6">
        <v>43</v>
      </c>
      <c r="BU6">
        <v>44</v>
      </c>
      <c r="BV6">
        <v>45</v>
      </c>
      <c r="BW6">
        <v>46</v>
      </c>
      <c r="BX6">
        <v>47</v>
      </c>
      <c r="BY6">
        <v>48</v>
      </c>
      <c r="BZ6">
        <v>49</v>
      </c>
      <c r="CA6">
        <v>50</v>
      </c>
      <c r="CB6">
        <v>51</v>
      </c>
      <c r="CC6">
        <v>52</v>
      </c>
      <c r="CD6">
        <v>53</v>
      </c>
      <c r="CE6">
        <v>54</v>
      </c>
      <c r="CF6">
        <v>55</v>
      </c>
      <c r="CG6">
        <v>56</v>
      </c>
      <c r="CH6">
        <v>57</v>
      </c>
      <c r="CI6">
        <v>58</v>
      </c>
      <c r="CJ6">
        <v>59</v>
      </c>
      <c r="CK6">
        <v>60</v>
      </c>
      <c r="CL6">
        <v>61</v>
      </c>
      <c r="CM6">
        <v>62</v>
      </c>
      <c r="CN6">
        <v>63</v>
      </c>
      <c r="CO6">
        <v>64</v>
      </c>
      <c r="CP6">
        <v>65</v>
      </c>
      <c r="CQ6">
        <v>66</v>
      </c>
      <c r="CR6">
        <v>67</v>
      </c>
      <c r="CS6">
        <v>68</v>
      </c>
      <c r="CT6">
        <v>69</v>
      </c>
      <c r="CU6">
        <v>70</v>
      </c>
      <c r="CV6">
        <v>71</v>
      </c>
      <c r="CW6">
        <v>72</v>
      </c>
      <c r="CX6">
        <v>73</v>
      </c>
      <c r="CY6">
        <v>74</v>
      </c>
      <c r="CZ6">
        <v>75</v>
      </c>
      <c r="DA6">
        <v>76</v>
      </c>
      <c r="DB6">
        <v>77</v>
      </c>
      <c r="DC6">
        <v>78</v>
      </c>
      <c r="DD6">
        <v>79</v>
      </c>
      <c r="DE6">
        <v>80</v>
      </c>
      <c r="DF6">
        <v>81</v>
      </c>
      <c r="DG6">
        <v>82</v>
      </c>
      <c r="DH6">
        <v>83</v>
      </c>
      <c r="DI6">
        <v>84</v>
      </c>
    </row>
    <row r="7" spans="1:279">
      <c r="A7" s="551" t="s">
        <v>6438</v>
      </c>
      <c r="B7" s="528" t="s">
        <v>6439</v>
      </c>
      <c r="C7" s="528" t="s">
        <v>6452</v>
      </c>
      <c r="D7" s="528">
        <v>193</v>
      </c>
      <c r="E7" s="528">
        <v>204</v>
      </c>
      <c r="F7" s="552">
        <v>2.69</v>
      </c>
      <c r="G7" s="552">
        <v>2.91</v>
      </c>
      <c r="H7" s="153">
        <f t="shared" si="0"/>
        <v>8.1784386617100441E-2</v>
      </c>
      <c r="I7" s="524" t="s">
        <v>6217</v>
      </c>
      <c r="J7" s="524" t="s">
        <v>6192</v>
      </c>
      <c r="K7" s="524" t="s">
        <v>60</v>
      </c>
      <c r="L7" s="16"/>
      <c r="M7" s="520" t="s">
        <v>140</v>
      </c>
      <c r="N7" s="519"/>
      <c r="O7" s="117"/>
      <c r="P7" s="520" t="s">
        <v>6219</v>
      </c>
      <c r="Q7" s="120" t="s">
        <v>6220</v>
      </c>
      <c r="T7" s="487" t="s">
        <v>63</v>
      </c>
      <c r="U7" s="488"/>
      <c r="V7" s="488"/>
      <c r="W7" s="489"/>
      <c r="Y7" t="s">
        <v>6170</v>
      </c>
      <c r="Z7">
        <v>6</v>
      </c>
      <c r="AA7">
        <v>6</v>
      </c>
      <c r="AB7" s="341" t="s">
        <v>6444</v>
      </c>
      <c r="AC7" s="337">
        <v>6</v>
      </c>
      <c r="AF7" t="str">
        <v>Tri-Dek #7 Media Pad</v>
      </c>
      <c r="AG7" cm="1">
        <f t="array" ref="AG7:DU7">_xlfn.TOROW(_xlfn.UNIQUE(_xlfn._xlws.FILTER(Table13[Level2],Table13[Level1]=AF7,"")))</f>
        <v>4</v>
      </c>
      <c r="AH7">
        <v>5</v>
      </c>
      <c r="AI7">
        <v>6</v>
      </c>
      <c r="AJ7">
        <v>7</v>
      </c>
      <c r="AK7">
        <v>8</v>
      </c>
      <c r="AL7">
        <v>9</v>
      </c>
      <c r="AM7">
        <v>10</v>
      </c>
      <c r="AN7">
        <v>11</v>
      </c>
      <c r="AO7">
        <v>12</v>
      </c>
      <c r="AP7">
        <v>13</v>
      </c>
      <c r="AQ7">
        <v>14</v>
      </c>
      <c r="AR7">
        <v>15</v>
      </c>
      <c r="AS7">
        <v>16</v>
      </c>
      <c r="AT7">
        <v>17</v>
      </c>
      <c r="AU7">
        <v>18</v>
      </c>
      <c r="AV7">
        <v>19</v>
      </c>
      <c r="AW7">
        <v>20</v>
      </c>
      <c r="AX7">
        <v>21</v>
      </c>
      <c r="AY7">
        <v>22</v>
      </c>
      <c r="AZ7">
        <v>23</v>
      </c>
      <c r="BA7">
        <v>24</v>
      </c>
      <c r="BB7">
        <v>25</v>
      </c>
      <c r="BC7">
        <v>26</v>
      </c>
      <c r="BD7">
        <v>27</v>
      </c>
      <c r="BE7">
        <v>28</v>
      </c>
      <c r="BF7">
        <v>29</v>
      </c>
      <c r="BG7">
        <v>30</v>
      </c>
      <c r="BH7">
        <v>31</v>
      </c>
      <c r="BI7">
        <v>32</v>
      </c>
      <c r="BJ7">
        <v>33</v>
      </c>
      <c r="BK7">
        <v>34</v>
      </c>
      <c r="BL7">
        <v>35</v>
      </c>
      <c r="BM7">
        <v>36</v>
      </c>
      <c r="BN7">
        <v>37</v>
      </c>
      <c r="BO7">
        <v>38</v>
      </c>
      <c r="BP7">
        <v>39</v>
      </c>
      <c r="BQ7">
        <v>40</v>
      </c>
      <c r="BR7">
        <v>41</v>
      </c>
      <c r="BS7">
        <v>42</v>
      </c>
      <c r="BT7">
        <v>43</v>
      </c>
      <c r="BU7">
        <v>44</v>
      </c>
      <c r="BV7">
        <v>45</v>
      </c>
      <c r="BW7">
        <v>46</v>
      </c>
      <c r="BX7">
        <v>47</v>
      </c>
      <c r="BY7">
        <v>48</v>
      </c>
      <c r="BZ7">
        <v>49</v>
      </c>
      <c r="CA7">
        <v>50</v>
      </c>
      <c r="CB7">
        <v>51</v>
      </c>
      <c r="CC7">
        <v>52</v>
      </c>
      <c r="CD7">
        <v>53</v>
      </c>
      <c r="CE7">
        <v>54</v>
      </c>
      <c r="CF7">
        <v>55</v>
      </c>
      <c r="CG7">
        <v>56</v>
      </c>
      <c r="CH7">
        <v>57</v>
      </c>
      <c r="CI7">
        <v>58</v>
      </c>
      <c r="CJ7">
        <v>59</v>
      </c>
      <c r="CK7">
        <v>60</v>
      </c>
      <c r="CL7">
        <v>61</v>
      </c>
      <c r="CM7">
        <v>62</v>
      </c>
      <c r="CN7">
        <v>63</v>
      </c>
      <c r="CO7">
        <v>64</v>
      </c>
      <c r="CP7">
        <v>65</v>
      </c>
      <c r="CQ7">
        <v>66</v>
      </c>
      <c r="CR7">
        <v>67</v>
      </c>
      <c r="CS7">
        <v>68</v>
      </c>
      <c r="CT7">
        <v>69</v>
      </c>
      <c r="CU7">
        <v>70</v>
      </c>
      <c r="CV7">
        <v>71</v>
      </c>
      <c r="CW7">
        <v>72</v>
      </c>
      <c r="CX7">
        <v>73</v>
      </c>
      <c r="CY7">
        <v>74</v>
      </c>
      <c r="CZ7">
        <v>75</v>
      </c>
      <c r="DA7">
        <v>76</v>
      </c>
      <c r="DB7">
        <v>77</v>
      </c>
      <c r="DC7">
        <v>78</v>
      </c>
      <c r="DD7">
        <v>79</v>
      </c>
      <c r="DE7">
        <v>80</v>
      </c>
      <c r="DF7">
        <v>81</v>
      </c>
      <c r="DG7">
        <v>82</v>
      </c>
      <c r="DH7">
        <v>83</v>
      </c>
      <c r="DI7">
        <v>84</v>
      </c>
      <c r="DJ7">
        <v>85</v>
      </c>
      <c r="DK7">
        <v>86</v>
      </c>
      <c r="DL7">
        <v>87</v>
      </c>
      <c r="DM7">
        <v>88</v>
      </c>
      <c r="DN7">
        <v>89</v>
      </c>
      <c r="DO7">
        <v>90</v>
      </c>
      <c r="DP7">
        <v>91</v>
      </c>
      <c r="DQ7">
        <v>92</v>
      </c>
      <c r="DR7">
        <v>93</v>
      </c>
      <c r="DS7">
        <v>94</v>
      </c>
      <c r="DT7">
        <v>95</v>
      </c>
      <c r="DU7">
        <v>96</v>
      </c>
    </row>
    <row r="8" spans="1:279">
      <c r="A8" s="551" t="s">
        <v>6438</v>
      </c>
      <c r="B8" s="528" t="s">
        <v>6439</v>
      </c>
      <c r="C8" s="528" t="s">
        <v>6453</v>
      </c>
      <c r="D8" s="528">
        <v>205</v>
      </c>
      <c r="E8" s="528">
        <v>216</v>
      </c>
      <c r="F8" s="552">
        <v>2.82</v>
      </c>
      <c r="G8" s="552">
        <v>3.05</v>
      </c>
      <c r="H8" s="153">
        <f t="shared" si="0"/>
        <v>8.1560283687943255E-2</v>
      </c>
      <c r="I8" s="519">
        <v>234</v>
      </c>
      <c r="J8" s="519" t="s">
        <v>6444</v>
      </c>
      <c r="K8" s="519" t="str">
        <f>O3</f>
        <v>070</v>
      </c>
      <c r="L8" s="101"/>
      <c r="M8" s="521" t="s">
        <v>25</v>
      </c>
      <c r="N8" s="519" t="str">
        <f>VLOOKUP('Sleeves Calc'!F8,J7:K9,2,FALSE)</f>
        <v>072</v>
      </c>
      <c r="O8" s="117"/>
      <c r="P8" s="519" t="s">
        <v>366</v>
      </c>
      <c r="Q8" s="117" t="s">
        <v>90</v>
      </c>
      <c r="T8" s="541" t="s">
        <v>67</v>
      </c>
      <c r="U8" s="542"/>
      <c r="V8" s="542"/>
      <c r="W8" s="543"/>
      <c r="Y8" t="s">
        <v>6170</v>
      </c>
      <c r="Z8">
        <v>7</v>
      </c>
      <c r="AA8">
        <v>7</v>
      </c>
      <c r="AB8" s="342" t="s">
        <v>6444</v>
      </c>
      <c r="AC8" s="336">
        <v>7</v>
      </c>
      <c r="AF8" t="str">
        <v>Tri-Dek #10 Media Pad</v>
      </c>
      <c r="AG8" cm="1">
        <f t="array" ref="AG8:JS8">_xlfn.TOROW(_xlfn.UNIQUE(_xlfn._xlws.FILTER(Table13[Level2],Table13[Level1]=AF8,"")))</f>
        <v>4</v>
      </c>
      <c r="AH8">
        <v>5</v>
      </c>
      <c r="AI8">
        <v>6</v>
      </c>
      <c r="AJ8">
        <v>7</v>
      </c>
      <c r="AK8">
        <v>8</v>
      </c>
      <c r="AL8">
        <v>9</v>
      </c>
      <c r="AM8">
        <v>10</v>
      </c>
      <c r="AN8">
        <v>11</v>
      </c>
      <c r="AO8">
        <v>12</v>
      </c>
      <c r="AP8">
        <v>13</v>
      </c>
      <c r="AQ8">
        <v>14</v>
      </c>
      <c r="AR8">
        <v>15</v>
      </c>
      <c r="AS8">
        <v>16</v>
      </c>
      <c r="AT8">
        <v>17</v>
      </c>
      <c r="AU8">
        <v>18</v>
      </c>
      <c r="AV8">
        <v>19</v>
      </c>
      <c r="AW8">
        <v>20</v>
      </c>
      <c r="AX8">
        <v>21</v>
      </c>
      <c r="AY8">
        <v>22</v>
      </c>
      <c r="AZ8">
        <v>23</v>
      </c>
      <c r="BA8">
        <v>24</v>
      </c>
      <c r="BB8">
        <v>25</v>
      </c>
      <c r="BC8">
        <v>26</v>
      </c>
      <c r="BD8">
        <v>27</v>
      </c>
      <c r="BE8">
        <v>28</v>
      </c>
      <c r="BF8">
        <v>29</v>
      </c>
      <c r="BG8">
        <v>30</v>
      </c>
      <c r="BH8">
        <v>31</v>
      </c>
      <c r="BI8">
        <v>32</v>
      </c>
      <c r="BJ8">
        <v>33</v>
      </c>
      <c r="BK8">
        <v>34</v>
      </c>
      <c r="BL8">
        <v>35</v>
      </c>
      <c r="BM8">
        <v>36</v>
      </c>
      <c r="BN8">
        <v>37</v>
      </c>
      <c r="BO8">
        <v>38</v>
      </c>
      <c r="BP8">
        <v>39</v>
      </c>
      <c r="BQ8">
        <v>40</v>
      </c>
      <c r="BR8">
        <v>41</v>
      </c>
      <c r="BS8">
        <v>42</v>
      </c>
      <c r="BT8">
        <v>43</v>
      </c>
      <c r="BU8">
        <v>44</v>
      </c>
      <c r="BV8">
        <v>45</v>
      </c>
      <c r="BW8">
        <v>46</v>
      </c>
      <c r="BX8">
        <v>47</v>
      </c>
      <c r="BY8">
        <v>48</v>
      </c>
      <c r="BZ8">
        <v>49</v>
      </c>
      <c r="CA8">
        <v>50</v>
      </c>
      <c r="CB8">
        <v>51</v>
      </c>
      <c r="CC8">
        <v>52</v>
      </c>
      <c r="CD8">
        <v>53</v>
      </c>
      <c r="CE8">
        <v>54</v>
      </c>
      <c r="CF8">
        <v>55</v>
      </c>
      <c r="CG8">
        <v>56</v>
      </c>
      <c r="CH8">
        <v>57</v>
      </c>
      <c r="CI8">
        <v>58</v>
      </c>
      <c r="CJ8">
        <v>59</v>
      </c>
      <c r="CK8">
        <v>60</v>
      </c>
      <c r="CL8">
        <v>61</v>
      </c>
      <c r="CM8">
        <v>62</v>
      </c>
      <c r="CN8">
        <v>63</v>
      </c>
      <c r="CO8">
        <v>64</v>
      </c>
      <c r="CP8">
        <v>65</v>
      </c>
      <c r="CQ8">
        <v>66</v>
      </c>
      <c r="CR8">
        <v>67</v>
      </c>
      <c r="CS8">
        <v>68</v>
      </c>
      <c r="CT8">
        <v>69</v>
      </c>
      <c r="CU8">
        <v>70</v>
      </c>
      <c r="CV8">
        <v>71</v>
      </c>
      <c r="CW8">
        <v>72</v>
      </c>
      <c r="CX8">
        <v>73</v>
      </c>
      <c r="CY8">
        <v>74</v>
      </c>
      <c r="CZ8">
        <v>75</v>
      </c>
      <c r="DA8">
        <v>76</v>
      </c>
      <c r="DB8">
        <v>77</v>
      </c>
      <c r="DC8">
        <v>78</v>
      </c>
      <c r="DD8">
        <v>79</v>
      </c>
      <c r="DE8">
        <v>80</v>
      </c>
      <c r="DF8">
        <v>81</v>
      </c>
      <c r="DG8">
        <v>82</v>
      </c>
      <c r="DH8">
        <v>83</v>
      </c>
      <c r="DI8">
        <v>84</v>
      </c>
      <c r="DJ8">
        <v>85</v>
      </c>
      <c r="DK8">
        <v>86</v>
      </c>
      <c r="DL8">
        <v>87</v>
      </c>
      <c r="DM8">
        <v>88</v>
      </c>
      <c r="DN8">
        <v>89</v>
      </c>
      <c r="DO8">
        <v>90</v>
      </c>
      <c r="DP8">
        <v>91</v>
      </c>
      <c r="DQ8">
        <v>92</v>
      </c>
      <c r="DR8">
        <v>93</v>
      </c>
      <c r="DS8">
        <v>94</v>
      </c>
      <c r="DT8">
        <v>95</v>
      </c>
      <c r="DU8">
        <v>96</v>
      </c>
      <c r="DV8">
        <v>97</v>
      </c>
      <c r="DW8">
        <v>98</v>
      </c>
      <c r="DX8">
        <v>99</v>
      </c>
      <c r="DY8">
        <v>100</v>
      </c>
      <c r="DZ8">
        <v>101</v>
      </c>
      <c r="EA8">
        <v>102</v>
      </c>
      <c r="EB8">
        <v>103</v>
      </c>
      <c r="EC8">
        <v>104</v>
      </c>
      <c r="ED8">
        <v>105</v>
      </c>
      <c r="EE8">
        <v>106</v>
      </c>
      <c r="EF8">
        <v>107</v>
      </c>
      <c r="EG8">
        <v>108</v>
      </c>
      <c r="EH8">
        <v>109</v>
      </c>
      <c r="EI8">
        <v>110</v>
      </c>
      <c r="EJ8">
        <v>111</v>
      </c>
      <c r="EK8">
        <v>112</v>
      </c>
      <c r="EL8">
        <v>113</v>
      </c>
      <c r="EM8">
        <v>114</v>
      </c>
      <c r="EN8">
        <v>115</v>
      </c>
      <c r="EO8">
        <v>116</v>
      </c>
      <c r="EP8">
        <v>117</v>
      </c>
      <c r="EQ8">
        <v>118</v>
      </c>
      <c r="ER8">
        <v>119</v>
      </c>
      <c r="ES8">
        <v>120</v>
      </c>
      <c r="ET8">
        <v>121</v>
      </c>
      <c r="EU8">
        <v>122</v>
      </c>
      <c r="EV8">
        <v>123</v>
      </c>
      <c r="EW8">
        <v>124</v>
      </c>
      <c r="EX8">
        <v>125</v>
      </c>
      <c r="EY8">
        <v>126</v>
      </c>
      <c r="EZ8">
        <v>127</v>
      </c>
      <c r="FA8">
        <v>128</v>
      </c>
      <c r="FB8">
        <v>129</v>
      </c>
      <c r="FC8">
        <v>130</v>
      </c>
      <c r="FD8">
        <v>131</v>
      </c>
      <c r="FE8">
        <v>132</v>
      </c>
      <c r="FF8">
        <v>133</v>
      </c>
      <c r="FG8">
        <v>134</v>
      </c>
      <c r="FH8">
        <v>135</v>
      </c>
      <c r="FI8">
        <v>136</v>
      </c>
      <c r="FJ8">
        <v>137</v>
      </c>
      <c r="FK8">
        <v>138</v>
      </c>
      <c r="FL8">
        <v>139</v>
      </c>
      <c r="FM8">
        <v>140</v>
      </c>
      <c r="FN8">
        <v>141</v>
      </c>
      <c r="FO8">
        <v>142</v>
      </c>
      <c r="FP8">
        <v>143</v>
      </c>
      <c r="FQ8">
        <v>144</v>
      </c>
      <c r="FR8">
        <v>145</v>
      </c>
      <c r="FS8">
        <v>146</v>
      </c>
      <c r="FT8">
        <v>147</v>
      </c>
      <c r="FU8">
        <v>148</v>
      </c>
      <c r="FV8">
        <v>149</v>
      </c>
      <c r="FW8">
        <v>150</v>
      </c>
      <c r="FX8">
        <v>151</v>
      </c>
      <c r="FY8">
        <v>152</v>
      </c>
      <c r="FZ8">
        <v>153</v>
      </c>
      <c r="GA8">
        <v>154</v>
      </c>
      <c r="GB8">
        <v>155</v>
      </c>
      <c r="GC8">
        <v>156</v>
      </c>
      <c r="GD8">
        <v>157</v>
      </c>
      <c r="GE8">
        <v>158</v>
      </c>
      <c r="GF8">
        <v>159</v>
      </c>
      <c r="GG8">
        <v>160</v>
      </c>
      <c r="GH8">
        <v>161</v>
      </c>
      <c r="GI8">
        <v>162</v>
      </c>
      <c r="GJ8">
        <v>163</v>
      </c>
      <c r="GK8">
        <v>164</v>
      </c>
      <c r="GL8">
        <v>165</v>
      </c>
      <c r="GM8">
        <v>166</v>
      </c>
      <c r="GN8">
        <v>167</v>
      </c>
      <c r="GO8">
        <v>168</v>
      </c>
      <c r="GP8">
        <v>169</v>
      </c>
      <c r="GQ8">
        <v>170</v>
      </c>
      <c r="GR8">
        <v>171</v>
      </c>
      <c r="GS8">
        <v>172</v>
      </c>
      <c r="GT8">
        <v>173</v>
      </c>
      <c r="GU8">
        <v>174</v>
      </c>
      <c r="GV8">
        <v>175</v>
      </c>
      <c r="GW8">
        <v>176</v>
      </c>
      <c r="GX8">
        <v>177</v>
      </c>
      <c r="GY8">
        <v>178</v>
      </c>
      <c r="GZ8">
        <v>179</v>
      </c>
      <c r="HA8">
        <v>180</v>
      </c>
      <c r="HB8">
        <v>181</v>
      </c>
      <c r="HC8">
        <v>182</v>
      </c>
      <c r="HD8">
        <v>183</v>
      </c>
      <c r="HE8">
        <v>184</v>
      </c>
      <c r="HF8">
        <v>185</v>
      </c>
      <c r="HG8">
        <v>186</v>
      </c>
      <c r="HH8">
        <v>187</v>
      </c>
      <c r="HI8">
        <v>188</v>
      </c>
      <c r="HJ8">
        <v>189</v>
      </c>
      <c r="HK8">
        <v>190</v>
      </c>
      <c r="HL8">
        <v>191</v>
      </c>
      <c r="HM8">
        <v>192</v>
      </c>
      <c r="HN8">
        <v>193</v>
      </c>
      <c r="HO8">
        <v>194</v>
      </c>
      <c r="HP8">
        <v>195</v>
      </c>
      <c r="HQ8">
        <v>196</v>
      </c>
      <c r="HR8">
        <v>197</v>
      </c>
      <c r="HS8">
        <v>198</v>
      </c>
      <c r="HT8">
        <v>199</v>
      </c>
      <c r="HU8">
        <v>200</v>
      </c>
      <c r="HV8">
        <v>201</v>
      </c>
      <c r="HW8">
        <v>202</v>
      </c>
      <c r="HX8">
        <v>203</v>
      </c>
      <c r="HY8">
        <v>204</v>
      </c>
      <c r="HZ8">
        <v>205</v>
      </c>
      <c r="IA8">
        <v>206</v>
      </c>
      <c r="IB8">
        <v>207</v>
      </c>
      <c r="IC8">
        <v>208</v>
      </c>
      <c r="ID8">
        <v>209</v>
      </c>
      <c r="IE8">
        <v>210</v>
      </c>
      <c r="IF8">
        <v>211</v>
      </c>
      <c r="IG8">
        <v>212</v>
      </c>
      <c r="IH8">
        <v>213</v>
      </c>
      <c r="II8">
        <v>214</v>
      </c>
      <c r="IJ8">
        <v>215</v>
      </c>
      <c r="IK8">
        <v>216</v>
      </c>
      <c r="IL8">
        <v>217</v>
      </c>
      <c r="IM8">
        <v>218</v>
      </c>
      <c r="IN8">
        <v>219</v>
      </c>
      <c r="IO8">
        <v>220</v>
      </c>
      <c r="IP8">
        <v>221</v>
      </c>
      <c r="IQ8">
        <v>222</v>
      </c>
      <c r="IR8">
        <v>223</v>
      </c>
      <c r="IS8">
        <v>224</v>
      </c>
      <c r="IT8">
        <v>225</v>
      </c>
      <c r="IU8">
        <v>226</v>
      </c>
      <c r="IV8">
        <v>227</v>
      </c>
      <c r="IW8">
        <v>228</v>
      </c>
      <c r="IX8">
        <v>229</v>
      </c>
      <c r="IY8">
        <v>230</v>
      </c>
      <c r="IZ8">
        <v>231</v>
      </c>
      <c r="JA8">
        <v>232</v>
      </c>
      <c r="JB8">
        <v>233</v>
      </c>
      <c r="JC8">
        <v>234</v>
      </c>
      <c r="JD8">
        <v>235</v>
      </c>
      <c r="JE8">
        <v>236</v>
      </c>
      <c r="JF8">
        <v>237</v>
      </c>
      <c r="JG8">
        <v>238</v>
      </c>
      <c r="JH8">
        <v>239</v>
      </c>
      <c r="JI8">
        <v>240</v>
      </c>
      <c r="JJ8">
        <v>241</v>
      </c>
      <c r="JK8">
        <v>242</v>
      </c>
      <c r="JL8">
        <v>243</v>
      </c>
      <c r="JM8">
        <v>244</v>
      </c>
      <c r="JN8">
        <v>245</v>
      </c>
      <c r="JO8">
        <v>246</v>
      </c>
      <c r="JP8">
        <v>247</v>
      </c>
      <c r="JQ8">
        <v>248</v>
      </c>
      <c r="JR8">
        <v>249</v>
      </c>
      <c r="JS8">
        <v>250</v>
      </c>
    </row>
    <row r="9" spans="1:279">
      <c r="A9" s="551" t="s">
        <v>6438</v>
      </c>
      <c r="B9" s="528" t="s">
        <v>6439</v>
      </c>
      <c r="C9" s="528" t="s">
        <v>6454</v>
      </c>
      <c r="D9" s="528">
        <v>217</v>
      </c>
      <c r="E9" s="528">
        <v>228</v>
      </c>
      <c r="F9" s="552">
        <v>2.95</v>
      </c>
      <c r="G9" s="552">
        <v>3.19</v>
      </c>
      <c r="H9" s="153">
        <f t="shared" si="0"/>
        <v>8.1355932203389741E-2</v>
      </c>
      <c r="I9" s="519">
        <v>294</v>
      </c>
      <c r="J9" s="525" t="s">
        <v>6435</v>
      </c>
      <c r="K9" s="519" t="str">
        <f>O4</f>
        <v>072</v>
      </c>
      <c r="L9" s="101"/>
      <c r="M9" s="521" t="s">
        <v>154</v>
      </c>
      <c r="N9" s="522">
        <f>ROUND(M15*O15,0)</f>
        <v>570</v>
      </c>
      <c r="O9" s="117"/>
      <c r="P9" s="519" t="str">
        <f>IF(N8=K8,"Antimicrobial","")</f>
        <v/>
      </c>
      <c r="Q9" s="117" t="s">
        <v>38</v>
      </c>
      <c r="T9" s="544">
        <v>0</v>
      </c>
      <c r="U9" s="544">
        <v>0</v>
      </c>
      <c r="V9" s="544">
        <v>0</v>
      </c>
      <c r="W9" s="544">
        <v>0</v>
      </c>
      <c r="Y9" t="s">
        <v>6170</v>
      </c>
      <c r="Z9">
        <v>8</v>
      </c>
      <c r="AA9">
        <v>8</v>
      </c>
      <c r="AB9" s="341" t="s">
        <v>6444</v>
      </c>
      <c r="AC9" s="337">
        <v>8</v>
      </c>
      <c r="AF9" t="str">
        <v>Tri-Dek 2-Ply 15/40 Media Pad</v>
      </c>
      <c r="AG9" cm="1">
        <f t="array" ref="AG9:JS9">_xlfn.TOROW(_xlfn.UNIQUE(_xlfn._xlws.FILTER(Table13[Level2],Table13[Level1]=AF9,"")))</f>
        <v>4</v>
      </c>
      <c r="AH9">
        <v>5</v>
      </c>
      <c r="AI9">
        <v>6</v>
      </c>
      <c r="AJ9">
        <v>7</v>
      </c>
      <c r="AK9">
        <v>8</v>
      </c>
      <c r="AL9">
        <v>9</v>
      </c>
      <c r="AM9">
        <v>10</v>
      </c>
      <c r="AN9">
        <v>11</v>
      </c>
      <c r="AO9">
        <v>12</v>
      </c>
      <c r="AP9">
        <v>13</v>
      </c>
      <c r="AQ9">
        <v>14</v>
      </c>
      <c r="AR9">
        <v>15</v>
      </c>
      <c r="AS9">
        <v>16</v>
      </c>
      <c r="AT9">
        <v>17</v>
      </c>
      <c r="AU9">
        <v>18</v>
      </c>
      <c r="AV9">
        <v>19</v>
      </c>
      <c r="AW9">
        <v>20</v>
      </c>
      <c r="AX9">
        <v>21</v>
      </c>
      <c r="AY9">
        <v>22</v>
      </c>
      <c r="AZ9">
        <v>23</v>
      </c>
      <c r="BA9">
        <v>24</v>
      </c>
      <c r="BB9">
        <v>25</v>
      </c>
      <c r="BC9">
        <v>26</v>
      </c>
      <c r="BD9">
        <v>27</v>
      </c>
      <c r="BE9">
        <v>28</v>
      </c>
      <c r="BF9">
        <v>29</v>
      </c>
      <c r="BG9">
        <v>30</v>
      </c>
      <c r="BH9">
        <v>31</v>
      </c>
      <c r="BI9">
        <v>32</v>
      </c>
      <c r="BJ9">
        <v>33</v>
      </c>
      <c r="BK9">
        <v>34</v>
      </c>
      <c r="BL9">
        <v>35</v>
      </c>
      <c r="BM9">
        <v>36</v>
      </c>
      <c r="BN9">
        <v>37</v>
      </c>
      <c r="BO9">
        <v>38</v>
      </c>
      <c r="BP9">
        <v>39</v>
      </c>
      <c r="BQ9">
        <v>40</v>
      </c>
      <c r="BR9">
        <v>41</v>
      </c>
      <c r="BS9">
        <v>42</v>
      </c>
      <c r="BT9">
        <v>43</v>
      </c>
      <c r="BU9">
        <v>44</v>
      </c>
      <c r="BV9">
        <v>45</v>
      </c>
      <c r="BW9">
        <v>46</v>
      </c>
      <c r="BX9">
        <v>47</v>
      </c>
      <c r="BY9">
        <v>48</v>
      </c>
      <c r="BZ9">
        <v>49</v>
      </c>
      <c r="CA9">
        <v>50</v>
      </c>
      <c r="CB9">
        <v>51</v>
      </c>
      <c r="CC9">
        <v>52</v>
      </c>
      <c r="CD9">
        <v>53</v>
      </c>
      <c r="CE9">
        <v>54</v>
      </c>
      <c r="CF9">
        <v>55</v>
      </c>
      <c r="CG9">
        <v>56</v>
      </c>
      <c r="CH9">
        <v>57</v>
      </c>
      <c r="CI9">
        <v>58</v>
      </c>
      <c r="CJ9">
        <v>59</v>
      </c>
      <c r="CK9">
        <v>60</v>
      </c>
      <c r="CL9">
        <v>61</v>
      </c>
      <c r="CM9">
        <v>62</v>
      </c>
      <c r="CN9">
        <v>63</v>
      </c>
      <c r="CO9">
        <v>64</v>
      </c>
      <c r="CP9">
        <v>65</v>
      </c>
      <c r="CQ9">
        <v>66</v>
      </c>
      <c r="CR9">
        <v>67</v>
      </c>
      <c r="CS9">
        <v>68</v>
      </c>
      <c r="CT9">
        <v>69</v>
      </c>
      <c r="CU9">
        <v>70</v>
      </c>
      <c r="CV9">
        <v>71</v>
      </c>
      <c r="CW9">
        <v>72</v>
      </c>
      <c r="CX9">
        <v>73</v>
      </c>
      <c r="CY9">
        <v>74</v>
      </c>
      <c r="CZ9">
        <v>75</v>
      </c>
      <c r="DA9">
        <v>76</v>
      </c>
      <c r="DB9">
        <v>77</v>
      </c>
      <c r="DC9">
        <v>78</v>
      </c>
      <c r="DD9">
        <v>79</v>
      </c>
      <c r="DE9">
        <v>80</v>
      </c>
      <c r="DF9">
        <v>81</v>
      </c>
      <c r="DG9">
        <v>82</v>
      </c>
      <c r="DH9">
        <v>83</v>
      </c>
      <c r="DI9">
        <v>84</v>
      </c>
      <c r="DJ9">
        <v>85</v>
      </c>
      <c r="DK9">
        <v>86</v>
      </c>
      <c r="DL9">
        <v>87</v>
      </c>
      <c r="DM9">
        <v>88</v>
      </c>
      <c r="DN9">
        <v>89</v>
      </c>
      <c r="DO9">
        <v>90</v>
      </c>
      <c r="DP9">
        <v>91</v>
      </c>
      <c r="DQ9">
        <v>92</v>
      </c>
      <c r="DR9">
        <v>93</v>
      </c>
      <c r="DS9">
        <v>94</v>
      </c>
      <c r="DT9">
        <v>95</v>
      </c>
      <c r="DU9">
        <v>96</v>
      </c>
      <c r="DV9">
        <v>97</v>
      </c>
      <c r="DW9">
        <v>98</v>
      </c>
      <c r="DX9">
        <v>99</v>
      </c>
      <c r="DY9">
        <v>100</v>
      </c>
      <c r="DZ9">
        <v>101</v>
      </c>
      <c r="EA9">
        <v>102</v>
      </c>
      <c r="EB9">
        <v>103</v>
      </c>
      <c r="EC9">
        <v>104</v>
      </c>
      <c r="ED9">
        <v>105</v>
      </c>
      <c r="EE9">
        <v>106</v>
      </c>
      <c r="EF9">
        <v>107</v>
      </c>
      <c r="EG9">
        <v>108</v>
      </c>
      <c r="EH9">
        <v>109</v>
      </c>
      <c r="EI9">
        <v>110</v>
      </c>
      <c r="EJ9">
        <v>111</v>
      </c>
      <c r="EK9">
        <v>112</v>
      </c>
      <c r="EL9">
        <v>113</v>
      </c>
      <c r="EM9">
        <v>114</v>
      </c>
      <c r="EN9">
        <v>115</v>
      </c>
      <c r="EO9">
        <v>116</v>
      </c>
      <c r="EP9">
        <v>117</v>
      </c>
      <c r="EQ9">
        <v>118</v>
      </c>
      <c r="ER9">
        <v>119</v>
      </c>
      <c r="ES9">
        <v>120</v>
      </c>
      <c r="ET9">
        <v>121</v>
      </c>
      <c r="EU9">
        <v>122</v>
      </c>
      <c r="EV9">
        <v>123</v>
      </c>
      <c r="EW9">
        <v>124</v>
      </c>
      <c r="EX9">
        <v>125</v>
      </c>
      <c r="EY9">
        <v>126</v>
      </c>
      <c r="EZ9">
        <v>127</v>
      </c>
      <c r="FA9">
        <v>128</v>
      </c>
      <c r="FB9">
        <v>129</v>
      </c>
      <c r="FC9">
        <v>130</v>
      </c>
      <c r="FD9">
        <v>131</v>
      </c>
      <c r="FE9">
        <v>132</v>
      </c>
      <c r="FF9">
        <v>133</v>
      </c>
      <c r="FG9">
        <v>134</v>
      </c>
      <c r="FH9">
        <v>135</v>
      </c>
      <c r="FI9">
        <v>136</v>
      </c>
      <c r="FJ9">
        <v>137</v>
      </c>
      <c r="FK9">
        <v>138</v>
      </c>
      <c r="FL9">
        <v>139</v>
      </c>
      <c r="FM9">
        <v>140</v>
      </c>
      <c r="FN9">
        <v>141</v>
      </c>
      <c r="FO9">
        <v>142</v>
      </c>
      <c r="FP9">
        <v>143</v>
      </c>
      <c r="FQ9">
        <v>144</v>
      </c>
      <c r="FR9">
        <v>145</v>
      </c>
      <c r="FS9">
        <v>146</v>
      </c>
      <c r="FT9">
        <v>147</v>
      </c>
      <c r="FU9">
        <v>148</v>
      </c>
      <c r="FV9">
        <v>149</v>
      </c>
      <c r="FW9">
        <v>150</v>
      </c>
      <c r="FX9">
        <v>151</v>
      </c>
      <c r="FY9">
        <v>152</v>
      </c>
      <c r="FZ9">
        <v>153</v>
      </c>
      <c r="GA9">
        <v>154</v>
      </c>
      <c r="GB9">
        <v>155</v>
      </c>
      <c r="GC9">
        <v>156</v>
      </c>
      <c r="GD9">
        <v>157</v>
      </c>
      <c r="GE9">
        <v>158</v>
      </c>
      <c r="GF9">
        <v>159</v>
      </c>
      <c r="GG9">
        <v>160</v>
      </c>
      <c r="GH9">
        <v>161</v>
      </c>
      <c r="GI9">
        <v>162</v>
      </c>
      <c r="GJ9">
        <v>163</v>
      </c>
      <c r="GK9">
        <v>164</v>
      </c>
      <c r="GL9">
        <v>165</v>
      </c>
      <c r="GM9">
        <v>166</v>
      </c>
      <c r="GN9">
        <v>167</v>
      </c>
      <c r="GO9">
        <v>168</v>
      </c>
      <c r="GP9">
        <v>169</v>
      </c>
      <c r="GQ9">
        <v>170</v>
      </c>
      <c r="GR9">
        <v>171</v>
      </c>
      <c r="GS9">
        <v>172</v>
      </c>
      <c r="GT9">
        <v>173</v>
      </c>
      <c r="GU9">
        <v>174</v>
      </c>
      <c r="GV9">
        <v>175</v>
      </c>
      <c r="GW9">
        <v>176</v>
      </c>
      <c r="GX9">
        <v>177</v>
      </c>
      <c r="GY9">
        <v>178</v>
      </c>
      <c r="GZ9">
        <v>179</v>
      </c>
      <c r="HA9">
        <v>180</v>
      </c>
      <c r="HB9">
        <v>181</v>
      </c>
      <c r="HC9">
        <v>182</v>
      </c>
      <c r="HD9">
        <v>183</v>
      </c>
      <c r="HE9">
        <v>184</v>
      </c>
      <c r="HF9">
        <v>185</v>
      </c>
      <c r="HG9">
        <v>186</v>
      </c>
      <c r="HH9">
        <v>187</v>
      </c>
      <c r="HI9">
        <v>188</v>
      </c>
      <c r="HJ9">
        <v>189</v>
      </c>
      <c r="HK9">
        <v>190</v>
      </c>
      <c r="HL9">
        <v>191</v>
      </c>
      <c r="HM9">
        <v>192</v>
      </c>
      <c r="HN9">
        <v>193</v>
      </c>
      <c r="HO9">
        <v>194</v>
      </c>
      <c r="HP9">
        <v>195</v>
      </c>
      <c r="HQ9">
        <v>196</v>
      </c>
      <c r="HR9">
        <v>197</v>
      </c>
      <c r="HS9">
        <v>198</v>
      </c>
      <c r="HT9">
        <v>199</v>
      </c>
      <c r="HU9">
        <v>200</v>
      </c>
      <c r="HV9">
        <v>201</v>
      </c>
      <c r="HW9">
        <v>202</v>
      </c>
      <c r="HX9">
        <v>203</v>
      </c>
      <c r="HY9">
        <v>204</v>
      </c>
      <c r="HZ9">
        <v>205</v>
      </c>
      <c r="IA9">
        <v>206</v>
      </c>
      <c r="IB9">
        <v>207</v>
      </c>
      <c r="IC9">
        <v>208</v>
      </c>
      <c r="ID9">
        <v>209</v>
      </c>
      <c r="IE9">
        <v>210</v>
      </c>
      <c r="IF9">
        <v>211</v>
      </c>
      <c r="IG9">
        <v>212</v>
      </c>
      <c r="IH9">
        <v>213</v>
      </c>
      <c r="II9">
        <v>214</v>
      </c>
      <c r="IJ9">
        <v>215</v>
      </c>
      <c r="IK9">
        <v>216</v>
      </c>
      <c r="IL9">
        <v>217</v>
      </c>
      <c r="IM9">
        <v>218</v>
      </c>
      <c r="IN9">
        <v>219</v>
      </c>
      <c r="IO9">
        <v>220</v>
      </c>
      <c r="IP9">
        <v>221</v>
      </c>
      <c r="IQ9">
        <v>222</v>
      </c>
      <c r="IR9">
        <v>223</v>
      </c>
      <c r="IS9">
        <v>224</v>
      </c>
      <c r="IT9">
        <v>225</v>
      </c>
      <c r="IU9">
        <v>226</v>
      </c>
      <c r="IV9">
        <v>227</v>
      </c>
      <c r="IW9">
        <v>228</v>
      </c>
      <c r="IX9">
        <v>229</v>
      </c>
      <c r="IY9">
        <v>230</v>
      </c>
      <c r="IZ9">
        <v>231</v>
      </c>
      <c r="JA9">
        <v>232</v>
      </c>
      <c r="JB9">
        <v>233</v>
      </c>
      <c r="JC9">
        <v>234</v>
      </c>
      <c r="JD9">
        <v>235</v>
      </c>
      <c r="JE9">
        <v>236</v>
      </c>
      <c r="JF9">
        <v>237</v>
      </c>
      <c r="JG9">
        <v>238</v>
      </c>
      <c r="JH9">
        <v>239</v>
      </c>
      <c r="JI9">
        <v>240</v>
      </c>
      <c r="JJ9">
        <v>241</v>
      </c>
      <c r="JK9">
        <v>242</v>
      </c>
      <c r="JL9">
        <v>243</v>
      </c>
      <c r="JM9">
        <v>244</v>
      </c>
      <c r="JN9">
        <v>245</v>
      </c>
      <c r="JO9">
        <v>246</v>
      </c>
      <c r="JP9">
        <v>247</v>
      </c>
      <c r="JQ9">
        <v>248</v>
      </c>
      <c r="JR9">
        <v>249</v>
      </c>
      <c r="JS9">
        <v>250</v>
      </c>
    </row>
    <row r="10" spans="1:279">
      <c r="A10" s="551" t="s">
        <v>6438</v>
      </c>
      <c r="B10" s="528" t="s">
        <v>6439</v>
      </c>
      <c r="C10" s="528" t="s">
        <v>6455</v>
      </c>
      <c r="D10" s="528">
        <v>229</v>
      </c>
      <c r="E10" s="528">
        <v>240</v>
      </c>
      <c r="F10" s="552">
        <v>3.08</v>
      </c>
      <c r="G10" s="552">
        <v>3.45</v>
      </c>
      <c r="H10" s="153">
        <f t="shared" si="0"/>
        <v>0.12012987012987016</v>
      </c>
      <c r="I10" s="101"/>
      <c r="K10" s="101"/>
      <c r="L10" s="101"/>
      <c r="M10" s="519" t="s">
        <v>6226</v>
      </c>
      <c r="N10" s="519" t="str" cm="1">
        <f t="array" ref="N10:O10">'Sleeves Calc'!F10:G10</f>
        <v>Standard</v>
      </c>
      <c r="O10" s="117">
        <v>0</v>
      </c>
      <c r="P10" s="117"/>
      <c r="Q10" s="117"/>
      <c r="T10" s="544">
        <v>0.125</v>
      </c>
      <c r="U10" s="545">
        <v>0.125</v>
      </c>
      <c r="V10" s="544" t="s">
        <v>74</v>
      </c>
      <c r="W10" s="544">
        <v>125</v>
      </c>
      <c r="Y10" t="s">
        <v>6170</v>
      </c>
      <c r="Z10">
        <v>9</v>
      </c>
      <c r="AA10">
        <v>9</v>
      </c>
      <c r="AB10" s="342" t="s">
        <v>6444</v>
      </c>
      <c r="AC10" s="336">
        <v>9</v>
      </c>
      <c r="AF10" t="str">
        <v>Tri-Dek 3-Ply 6/15/40 Media Pad</v>
      </c>
      <c r="AG10" cm="1">
        <f t="array" ref="AG10:JS10">_xlfn.TOROW(_xlfn.UNIQUE(_xlfn._xlws.FILTER(Table13[Level2],Table13[Level1]=AF10,"")))</f>
        <v>4</v>
      </c>
      <c r="AH10">
        <v>5</v>
      </c>
      <c r="AI10">
        <v>6</v>
      </c>
      <c r="AJ10">
        <v>7</v>
      </c>
      <c r="AK10">
        <v>8</v>
      </c>
      <c r="AL10">
        <v>9</v>
      </c>
      <c r="AM10">
        <v>10</v>
      </c>
      <c r="AN10">
        <v>11</v>
      </c>
      <c r="AO10">
        <v>12</v>
      </c>
      <c r="AP10">
        <v>13</v>
      </c>
      <c r="AQ10">
        <v>14</v>
      </c>
      <c r="AR10">
        <v>15</v>
      </c>
      <c r="AS10">
        <v>16</v>
      </c>
      <c r="AT10">
        <v>17</v>
      </c>
      <c r="AU10">
        <v>18</v>
      </c>
      <c r="AV10">
        <v>19</v>
      </c>
      <c r="AW10">
        <v>20</v>
      </c>
      <c r="AX10">
        <v>21</v>
      </c>
      <c r="AY10">
        <v>22</v>
      </c>
      <c r="AZ10">
        <v>23</v>
      </c>
      <c r="BA10">
        <v>24</v>
      </c>
      <c r="BB10">
        <v>25</v>
      </c>
      <c r="BC10">
        <v>26</v>
      </c>
      <c r="BD10">
        <v>27</v>
      </c>
      <c r="BE10">
        <v>28</v>
      </c>
      <c r="BF10">
        <v>29</v>
      </c>
      <c r="BG10">
        <v>30</v>
      </c>
      <c r="BH10">
        <v>31</v>
      </c>
      <c r="BI10">
        <v>32</v>
      </c>
      <c r="BJ10">
        <v>33</v>
      </c>
      <c r="BK10">
        <v>34</v>
      </c>
      <c r="BL10">
        <v>35</v>
      </c>
      <c r="BM10">
        <v>36</v>
      </c>
      <c r="BN10">
        <v>37</v>
      </c>
      <c r="BO10">
        <v>38</v>
      </c>
      <c r="BP10">
        <v>39</v>
      </c>
      <c r="BQ10">
        <v>40</v>
      </c>
      <c r="BR10">
        <v>41</v>
      </c>
      <c r="BS10">
        <v>42</v>
      </c>
      <c r="BT10">
        <v>43</v>
      </c>
      <c r="BU10">
        <v>44</v>
      </c>
      <c r="BV10">
        <v>45</v>
      </c>
      <c r="BW10">
        <v>46</v>
      </c>
      <c r="BX10">
        <v>47</v>
      </c>
      <c r="BY10">
        <v>48</v>
      </c>
      <c r="BZ10">
        <v>49</v>
      </c>
      <c r="CA10">
        <v>50</v>
      </c>
      <c r="CB10">
        <v>51</v>
      </c>
      <c r="CC10">
        <v>52</v>
      </c>
      <c r="CD10">
        <v>53</v>
      </c>
      <c r="CE10">
        <v>54</v>
      </c>
      <c r="CF10">
        <v>55</v>
      </c>
      <c r="CG10">
        <v>56</v>
      </c>
      <c r="CH10">
        <v>57</v>
      </c>
      <c r="CI10">
        <v>58</v>
      </c>
      <c r="CJ10">
        <v>59</v>
      </c>
      <c r="CK10">
        <v>60</v>
      </c>
      <c r="CL10">
        <v>61</v>
      </c>
      <c r="CM10">
        <v>62</v>
      </c>
      <c r="CN10">
        <v>63</v>
      </c>
      <c r="CO10">
        <v>64</v>
      </c>
      <c r="CP10">
        <v>65</v>
      </c>
      <c r="CQ10">
        <v>66</v>
      </c>
      <c r="CR10">
        <v>67</v>
      </c>
      <c r="CS10">
        <v>68</v>
      </c>
      <c r="CT10">
        <v>69</v>
      </c>
      <c r="CU10">
        <v>70</v>
      </c>
      <c r="CV10">
        <v>71</v>
      </c>
      <c r="CW10">
        <v>72</v>
      </c>
      <c r="CX10">
        <v>73</v>
      </c>
      <c r="CY10">
        <v>74</v>
      </c>
      <c r="CZ10">
        <v>75</v>
      </c>
      <c r="DA10">
        <v>76</v>
      </c>
      <c r="DB10">
        <v>77</v>
      </c>
      <c r="DC10">
        <v>78</v>
      </c>
      <c r="DD10">
        <v>79</v>
      </c>
      <c r="DE10">
        <v>80</v>
      </c>
      <c r="DF10">
        <v>81</v>
      </c>
      <c r="DG10">
        <v>82</v>
      </c>
      <c r="DH10">
        <v>83</v>
      </c>
      <c r="DI10">
        <v>84</v>
      </c>
      <c r="DJ10">
        <v>85</v>
      </c>
      <c r="DK10">
        <v>86</v>
      </c>
      <c r="DL10">
        <v>87</v>
      </c>
      <c r="DM10">
        <v>88</v>
      </c>
      <c r="DN10">
        <v>89</v>
      </c>
      <c r="DO10">
        <v>90</v>
      </c>
      <c r="DP10">
        <v>91</v>
      </c>
      <c r="DQ10">
        <v>92</v>
      </c>
      <c r="DR10">
        <v>93</v>
      </c>
      <c r="DS10">
        <v>94</v>
      </c>
      <c r="DT10">
        <v>95</v>
      </c>
      <c r="DU10">
        <v>96</v>
      </c>
      <c r="DV10">
        <v>97</v>
      </c>
      <c r="DW10">
        <v>98</v>
      </c>
      <c r="DX10">
        <v>99</v>
      </c>
      <c r="DY10">
        <v>100</v>
      </c>
      <c r="DZ10">
        <v>101</v>
      </c>
      <c r="EA10">
        <v>102</v>
      </c>
      <c r="EB10">
        <v>103</v>
      </c>
      <c r="EC10">
        <v>104</v>
      </c>
      <c r="ED10">
        <v>105</v>
      </c>
      <c r="EE10">
        <v>106</v>
      </c>
      <c r="EF10">
        <v>107</v>
      </c>
      <c r="EG10">
        <v>108</v>
      </c>
      <c r="EH10">
        <v>109</v>
      </c>
      <c r="EI10">
        <v>110</v>
      </c>
      <c r="EJ10">
        <v>111</v>
      </c>
      <c r="EK10">
        <v>112</v>
      </c>
      <c r="EL10">
        <v>113</v>
      </c>
      <c r="EM10">
        <v>114</v>
      </c>
      <c r="EN10">
        <v>115</v>
      </c>
      <c r="EO10">
        <v>116</v>
      </c>
      <c r="EP10">
        <v>117</v>
      </c>
      <c r="EQ10">
        <v>118</v>
      </c>
      <c r="ER10">
        <v>119</v>
      </c>
      <c r="ES10">
        <v>120</v>
      </c>
      <c r="ET10">
        <v>121</v>
      </c>
      <c r="EU10">
        <v>122</v>
      </c>
      <c r="EV10">
        <v>123</v>
      </c>
      <c r="EW10">
        <v>124</v>
      </c>
      <c r="EX10">
        <v>125</v>
      </c>
      <c r="EY10">
        <v>126</v>
      </c>
      <c r="EZ10">
        <v>127</v>
      </c>
      <c r="FA10">
        <v>128</v>
      </c>
      <c r="FB10">
        <v>129</v>
      </c>
      <c r="FC10">
        <v>130</v>
      </c>
      <c r="FD10">
        <v>131</v>
      </c>
      <c r="FE10">
        <v>132</v>
      </c>
      <c r="FF10">
        <v>133</v>
      </c>
      <c r="FG10">
        <v>134</v>
      </c>
      <c r="FH10">
        <v>135</v>
      </c>
      <c r="FI10">
        <v>136</v>
      </c>
      <c r="FJ10">
        <v>137</v>
      </c>
      <c r="FK10">
        <v>138</v>
      </c>
      <c r="FL10">
        <v>139</v>
      </c>
      <c r="FM10">
        <v>140</v>
      </c>
      <c r="FN10">
        <v>141</v>
      </c>
      <c r="FO10">
        <v>142</v>
      </c>
      <c r="FP10">
        <v>143</v>
      </c>
      <c r="FQ10">
        <v>144</v>
      </c>
      <c r="FR10">
        <v>145</v>
      </c>
      <c r="FS10">
        <v>146</v>
      </c>
      <c r="FT10">
        <v>147</v>
      </c>
      <c r="FU10">
        <v>148</v>
      </c>
      <c r="FV10">
        <v>149</v>
      </c>
      <c r="FW10">
        <v>150</v>
      </c>
      <c r="FX10">
        <v>151</v>
      </c>
      <c r="FY10">
        <v>152</v>
      </c>
      <c r="FZ10">
        <v>153</v>
      </c>
      <c r="GA10">
        <v>154</v>
      </c>
      <c r="GB10">
        <v>155</v>
      </c>
      <c r="GC10">
        <v>156</v>
      </c>
      <c r="GD10">
        <v>157</v>
      </c>
      <c r="GE10">
        <v>158</v>
      </c>
      <c r="GF10">
        <v>159</v>
      </c>
      <c r="GG10">
        <v>160</v>
      </c>
      <c r="GH10">
        <v>161</v>
      </c>
      <c r="GI10">
        <v>162</v>
      </c>
      <c r="GJ10">
        <v>163</v>
      </c>
      <c r="GK10">
        <v>164</v>
      </c>
      <c r="GL10">
        <v>165</v>
      </c>
      <c r="GM10">
        <v>166</v>
      </c>
      <c r="GN10">
        <v>167</v>
      </c>
      <c r="GO10">
        <v>168</v>
      </c>
      <c r="GP10">
        <v>169</v>
      </c>
      <c r="GQ10">
        <v>170</v>
      </c>
      <c r="GR10">
        <v>171</v>
      </c>
      <c r="GS10">
        <v>172</v>
      </c>
      <c r="GT10">
        <v>173</v>
      </c>
      <c r="GU10">
        <v>174</v>
      </c>
      <c r="GV10">
        <v>175</v>
      </c>
      <c r="GW10">
        <v>176</v>
      </c>
      <c r="GX10">
        <v>177</v>
      </c>
      <c r="GY10">
        <v>178</v>
      </c>
      <c r="GZ10">
        <v>179</v>
      </c>
      <c r="HA10">
        <v>180</v>
      </c>
      <c r="HB10">
        <v>181</v>
      </c>
      <c r="HC10">
        <v>182</v>
      </c>
      <c r="HD10">
        <v>183</v>
      </c>
      <c r="HE10">
        <v>184</v>
      </c>
      <c r="HF10">
        <v>185</v>
      </c>
      <c r="HG10">
        <v>186</v>
      </c>
      <c r="HH10">
        <v>187</v>
      </c>
      <c r="HI10">
        <v>188</v>
      </c>
      <c r="HJ10">
        <v>189</v>
      </c>
      <c r="HK10">
        <v>190</v>
      </c>
      <c r="HL10">
        <v>191</v>
      </c>
      <c r="HM10">
        <v>192</v>
      </c>
      <c r="HN10">
        <v>193</v>
      </c>
      <c r="HO10">
        <v>194</v>
      </c>
      <c r="HP10">
        <v>195</v>
      </c>
      <c r="HQ10">
        <v>196</v>
      </c>
      <c r="HR10">
        <v>197</v>
      </c>
      <c r="HS10">
        <v>198</v>
      </c>
      <c r="HT10">
        <v>199</v>
      </c>
      <c r="HU10">
        <v>200</v>
      </c>
      <c r="HV10">
        <v>201</v>
      </c>
      <c r="HW10">
        <v>202</v>
      </c>
      <c r="HX10">
        <v>203</v>
      </c>
      <c r="HY10">
        <v>204</v>
      </c>
      <c r="HZ10">
        <v>205</v>
      </c>
      <c r="IA10">
        <v>206</v>
      </c>
      <c r="IB10">
        <v>207</v>
      </c>
      <c r="IC10">
        <v>208</v>
      </c>
      <c r="ID10">
        <v>209</v>
      </c>
      <c r="IE10">
        <v>210</v>
      </c>
      <c r="IF10">
        <v>211</v>
      </c>
      <c r="IG10">
        <v>212</v>
      </c>
      <c r="IH10">
        <v>213</v>
      </c>
      <c r="II10">
        <v>214</v>
      </c>
      <c r="IJ10">
        <v>215</v>
      </c>
      <c r="IK10">
        <v>216</v>
      </c>
      <c r="IL10">
        <v>217</v>
      </c>
      <c r="IM10">
        <v>218</v>
      </c>
      <c r="IN10">
        <v>219</v>
      </c>
      <c r="IO10">
        <v>220</v>
      </c>
      <c r="IP10">
        <v>221</v>
      </c>
      <c r="IQ10">
        <v>222</v>
      </c>
      <c r="IR10">
        <v>223</v>
      </c>
      <c r="IS10">
        <v>224</v>
      </c>
      <c r="IT10">
        <v>225</v>
      </c>
      <c r="IU10">
        <v>226</v>
      </c>
      <c r="IV10">
        <v>227</v>
      </c>
      <c r="IW10">
        <v>228</v>
      </c>
      <c r="IX10">
        <v>229</v>
      </c>
      <c r="IY10">
        <v>230</v>
      </c>
      <c r="IZ10">
        <v>231</v>
      </c>
      <c r="JA10">
        <v>232</v>
      </c>
      <c r="JB10">
        <v>233</v>
      </c>
      <c r="JC10">
        <v>234</v>
      </c>
      <c r="JD10">
        <v>235</v>
      </c>
      <c r="JE10">
        <v>236</v>
      </c>
      <c r="JF10">
        <v>237</v>
      </c>
      <c r="JG10">
        <v>238</v>
      </c>
      <c r="JH10">
        <v>239</v>
      </c>
      <c r="JI10">
        <v>240</v>
      </c>
      <c r="JJ10">
        <v>241</v>
      </c>
      <c r="JK10">
        <v>242</v>
      </c>
      <c r="JL10">
        <v>243</v>
      </c>
      <c r="JM10">
        <v>244</v>
      </c>
      <c r="JN10">
        <v>245</v>
      </c>
      <c r="JO10">
        <v>246</v>
      </c>
      <c r="JP10">
        <v>247</v>
      </c>
      <c r="JQ10">
        <v>248</v>
      </c>
      <c r="JR10">
        <v>249</v>
      </c>
      <c r="JS10">
        <v>250</v>
      </c>
    </row>
    <row r="11" spans="1:279">
      <c r="A11" s="551" t="s">
        <v>6438</v>
      </c>
      <c r="B11" s="528" t="s">
        <v>6439</v>
      </c>
      <c r="C11" s="528" t="s">
        <v>6456</v>
      </c>
      <c r="D11" s="528">
        <v>241</v>
      </c>
      <c r="E11" s="528">
        <v>252</v>
      </c>
      <c r="F11" s="552">
        <v>3.21</v>
      </c>
      <c r="G11" s="552">
        <v>3.6</v>
      </c>
      <c r="H11" s="153">
        <f t="shared" si="0"/>
        <v>0.12149532710280378</v>
      </c>
      <c r="I11" s="101"/>
      <c r="K11" s="101"/>
      <c r="L11" s="101"/>
      <c r="M11" s="117"/>
      <c r="N11" s="117"/>
      <c r="O11" s="117"/>
      <c r="P11" s="117"/>
      <c r="Q11" s="117"/>
      <c r="T11" s="544">
        <v>0.25</v>
      </c>
      <c r="U11" s="545">
        <v>0.25</v>
      </c>
      <c r="V11" s="544" t="s">
        <v>79</v>
      </c>
      <c r="W11" s="544">
        <v>25</v>
      </c>
      <c r="Y11" t="s">
        <v>6170</v>
      </c>
      <c r="Z11">
        <v>10</v>
      </c>
      <c r="AA11">
        <v>10</v>
      </c>
      <c r="AB11" s="341" t="s">
        <v>6444</v>
      </c>
      <c r="AC11" s="337">
        <v>10</v>
      </c>
      <c r="AF11" t="str">
        <v>Tri-Dek 3-Ply 15/40+3 Media Pad</v>
      </c>
      <c r="AG11" cm="1">
        <f t="array" ref="AG11:JR11">_xlfn.TOROW(_xlfn.UNIQUE(_xlfn._xlws.FILTER(Table13[Level2],Table13[Level1]=AF11,"")))</f>
        <v>5</v>
      </c>
      <c r="AH11">
        <v>6</v>
      </c>
      <c r="AI11">
        <v>7</v>
      </c>
      <c r="AJ11">
        <v>8</v>
      </c>
      <c r="AK11">
        <v>9</v>
      </c>
      <c r="AL11">
        <v>10</v>
      </c>
      <c r="AM11">
        <v>11</v>
      </c>
      <c r="AN11">
        <v>12</v>
      </c>
      <c r="AO11">
        <v>13</v>
      </c>
      <c r="AP11">
        <v>14</v>
      </c>
      <c r="AQ11">
        <v>15</v>
      </c>
      <c r="AR11">
        <v>16</v>
      </c>
      <c r="AS11">
        <v>17</v>
      </c>
      <c r="AT11">
        <v>18</v>
      </c>
      <c r="AU11">
        <v>19</v>
      </c>
      <c r="AV11">
        <v>20</v>
      </c>
      <c r="AW11">
        <v>21</v>
      </c>
      <c r="AX11">
        <v>22</v>
      </c>
      <c r="AY11">
        <v>23</v>
      </c>
      <c r="AZ11">
        <v>24</v>
      </c>
      <c r="BA11">
        <v>25</v>
      </c>
      <c r="BB11">
        <v>26</v>
      </c>
      <c r="BC11">
        <v>27</v>
      </c>
      <c r="BD11">
        <v>28</v>
      </c>
      <c r="BE11">
        <v>29</v>
      </c>
      <c r="BF11">
        <v>30</v>
      </c>
      <c r="BG11">
        <v>31</v>
      </c>
      <c r="BH11">
        <v>32</v>
      </c>
      <c r="BI11">
        <v>33</v>
      </c>
      <c r="BJ11">
        <v>34</v>
      </c>
      <c r="BK11">
        <v>35</v>
      </c>
      <c r="BL11">
        <v>36</v>
      </c>
      <c r="BM11">
        <v>37</v>
      </c>
      <c r="BN11">
        <v>38</v>
      </c>
      <c r="BO11">
        <v>39</v>
      </c>
      <c r="BP11">
        <v>40</v>
      </c>
      <c r="BQ11">
        <v>41</v>
      </c>
      <c r="BR11">
        <v>42</v>
      </c>
      <c r="BS11">
        <v>43</v>
      </c>
      <c r="BT11">
        <v>44</v>
      </c>
      <c r="BU11">
        <v>45</v>
      </c>
      <c r="BV11">
        <v>46</v>
      </c>
      <c r="BW11">
        <v>47</v>
      </c>
      <c r="BX11">
        <v>48</v>
      </c>
      <c r="BY11">
        <v>49</v>
      </c>
      <c r="BZ11">
        <v>50</v>
      </c>
      <c r="CA11">
        <v>51</v>
      </c>
      <c r="CB11">
        <v>52</v>
      </c>
      <c r="CC11">
        <v>53</v>
      </c>
      <c r="CD11">
        <v>54</v>
      </c>
      <c r="CE11">
        <v>55</v>
      </c>
      <c r="CF11">
        <v>56</v>
      </c>
      <c r="CG11">
        <v>57</v>
      </c>
      <c r="CH11">
        <v>58</v>
      </c>
      <c r="CI11">
        <v>59</v>
      </c>
      <c r="CJ11">
        <v>60</v>
      </c>
      <c r="CK11">
        <v>61</v>
      </c>
      <c r="CL11">
        <v>62</v>
      </c>
      <c r="CM11">
        <v>63</v>
      </c>
      <c r="CN11">
        <v>64</v>
      </c>
      <c r="CO11">
        <v>65</v>
      </c>
      <c r="CP11">
        <v>66</v>
      </c>
      <c r="CQ11">
        <v>67</v>
      </c>
      <c r="CR11">
        <v>68</v>
      </c>
      <c r="CS11">
        <v>69</v>
      </c>
      <c r="CT11">
        <v>70</v>
      </c>
      <c r="CU11">
        <v>71</v>
      </c>
      <c r="CV11">
        <v>72</v>
      </c>
      <c r="CW11">
        <v>73</v>
      </c>
      <c r="CX11">
        <v>74</v>
      </c>
      <c r="CY11">
        <v>75</v>
      </c>
      <c r="CZ11">
        <v>76</v>
      </c>
      <c r="DA11">
        <v>77</v>
      </c>
      <c r="DB11">
        <v>78</v>
      </c>
      <c r="DC11">
        <v>79</v>
      </c>
      <c r="DD11">
        <v>80</v>
      </c>
      <c r="DE11">
        <v>81</v>
      </c>
      <c r="DF11">
        <v>82</v>
      </c>
      <c r="DG11">
        <v>83</v>
      </c>
      <c r="DH11">
        <v>84</v>
      </c>
      <c r="DI11">
        <v>85</v>
      </c>
      <c r="DJ11">
        <v>86</v>
      </c>
      <c r="DK11">
        <v>87</v>
      </c>
      <c r="DL11">
        <v>88</v>
      </c>
      <c r="DM11">
        <v>89</v>
      </c>
      <c r="DN11">
        <v>90</v>
      </c>
      <c r="DO11">
        <v>91</v>
      </c>
      <c r="DP11">
        <v>92</v>
      </c>
      <c r="DQ11">
        <v>93</v>
      </c>
      <c r="DR11">
        <v>94</v>
      </c>
      <c r="DS11">
        <v>95</v>
      </c>
      <c r="DT11">
        <v>96</v>
      </c>
      <c r="DU11">
        <v>97</v>
      </c>
      <c r="DV11">
        <v>98</v>
      </c>
      <c r="DW11">
        <v>99</v>
      </c>
      <c r="DX11">
        <v>100</v>
      </c>
      <c r="DY11">
        <v>101</v>
      </c>
      <c r="DZ11">
        <v>102</v>
      </c>
      <c r="EA11">
        <v>103</v>
      </c>
      <c r="EB11">
        <v>104</v>
      </c>
      <c r="EC11">
        <v>105</v>
      </c>
      <c r="ED11">
        <v>106</v>
      </c>
      <c r="EE11">
        <v>107</v>
      </c>
      <c r="EF11">
        <v>108</v>
      </c>
      <c r="EG11">
        <v>109</v>
      </c>
      <c r="EH11">
        <v>110</v>
      </c>
      <c r="EI11">
        <v>111</v>
      </c>
      <c r="EJ11">
        <v>112</v>
      </c>
      <c r="EK11">
        <v>113</v>
      </c>
      <c r="EL11">
        <v>114</v>
      </c>
      <c r="EM11">
        <v>115</v>
      </c>
      <c r="EN11">
        <v>116</v>
      </c>
      <c r="EO11">
        <v>117</v>
      </c>
      <c r="EP11">
        <v>118</v>
      </c>
      <c r="EQ11">
        <v>119</v>
      </c>
      <c r="ER11">
        <v>120</v>
      </c>
      <c r="ES11">
        <v>121</v>
      </c>
      <c r="ET11">
        <v>122</v>
      </c>
      <c r="EU11">
        <v>123</v>
      </c>
      <c r="EV11">
        <v>124</v>
      </c>
      <c r="EW11">
        <v>125</v>
      </c>
      <c r="EX11">
        <v>126</v>
      </c>
      <c r="EY11">
        <v>127</v>
      </c>
      <c r="EZ11">
        <v>128</v>
      </c>
      <c r="FA11">
        <v>129</v>
      </c>
      <c r="FB11">
        <v>130</v>
      </c>
      <c r="FC11">
        <v>131</v>
      </c>
      <c r="FD11">
        <v>132</v>
      </c>
      <c r="FE11">
        <v>133</v>
      </c>
      <c r="FF11">
        <v>134</v>
      </c>
      <c r="FG11">
        <v>135</v>
      </c>
      <c r="FH11">
        <v>136</v>
      </c>
      <c r="FI11">
        <v>137</v>
      </c>
      <c r="FJ11">
        <v>138</v>
      </c>
      <c r="FK11">
        <v>139</v>
      </c>
      <c r="FL11">
        <v>140</v>
      </c>
      <c r="FM11">
        <v>141</v>
      </c>
      <c r="FN11">
        <v>142</v>
      </c>
      <c r="FO11">
        <v>143</v>
      </c>
      <c r="FP11">
        <v>144</v>
      </c>
      <c r="FQ11">
        <v>145</v>
      </c>
      <c r="FR11">
        <v>146</v>
      </c>
      <c r="FS11">
        <v>147</v>
      </c>
      <c r="FT11">
        <v>148</v>
      </c>
      <c r="FU11">
        <v>149</v>
      </c>
      <c r="FV11">
        <v>150</v>
      </c>
      <c r="FW11">
        <v>151</v>
      </c>
      <c r="FX11">
        <v>152</v>
      </c>
      <c r="FY11">
        <v>153</v>
      </c>
      <c r="FZ11">
        <v>154</v>
      </c>
      <c r="GA11">
        <v>155</v>
      </c>
      <c r="GB11">
        <v>156</v>
      </c>
      <c r="GC11">
        <v>157</v>
      </c>
      <c r="GD11">
        <v>158</v>
      </c>
      <c r="GE11">
        <v>159</v>
      </c>
      <c r="GF11">
        <v>160</v>
      </c>
      <c r="GG11">
        <v>161</v>
      </c>
      <c r="GH11">
        <v>162</v>
      </c>
      <c r="GI11">
        <v>163</v>
      </c>
      <c r="GJ11">
        <v>164</v>
      </c>
      <c r="GK11">
        <v>165</v>
      </c>
      <c r="GL11">
        <v>166</v>
      </c>
      <c r="GM11">
        <v>167</v>
      </c>
      <c r="GN11">
        <v>168</v>
      </c>
      <c r="GO11">
        <v>169</v>
      </c>
      <c r="GP11">
        <v>170</v>
      </c>
      <c r="GQ11">
        <v>171</v>
      </c>
      <c r="GR11">
        <v>172</v>
      </c>
      <c r="GS11">
        <v>173</v>
      </c>
      <c r="GT11">
        <v>174</v>
      </c>
      <c r="GU11">
        <v>175</v>
      </c>
      <c r="GV11">
        <v>176</v>
      </c>
      <c r="GW11">
        <v>177</v>
      </c>
      <c r="GX11">
        <v>178</v>
      </c>
      <c r="GY11">
        <v>179</v>
      </c>
      <c r="GZ11">
        <v>180</v>
      </c>
      <c r="HA11">
        <v>181</v>
      </c>
      <c r="HB11">
        <v>182</v>
      </c>
      <c r="HC11">
        <v>183</v>
      </c>
      <c r="HD11">
        <v>184</v>
      </c>
      <c r="HE11">
        <v>185</v>
      </c>
      <c r="HF11">
        <v>186</v>
      </c>
      <c r="HG11">
        <v>187</v>
      </c>
      <c r="HH11">
        <v>188</v>
      </c>
      <c r="HI11">
        <v>189</v>
      </c>
      <c r="HJ11">
        <v>190</v>
      </c>
      <c r="HK11">
        <v>191</v>
      </c>
      <c r="HL11">
        <v>192</v>
      </c>
      <c r="HM11">
        <v>193</v>
      </c>
      <c r="HN11">
        <v>194</v>
      </c>
      <c r="HO11">
        <v>195</v>
      </c>
      <c r="HP11">
        <v>196</v>
      </c>
      <c r="HQ11">
        <v>197</v>
      </c>
      <c r="HR11">
        <v>198</v>
      </c>
      <c r="HS11">
        <v>199</v>
      </c>
      <c r="HT11">
        <v>200</v>
      </c>
      <c r="HU11">
        <v>201</v>
      </c>
      <c r="HV11">
        <v>202</v>
      </c>
      <c r="HW11">
        <v>203</v>
      </c>
      <c r="HX11">
        <v>204</v>
      </c>
      <c r="HY11">
        <v>205</v>
      </c>
      <c r="HZ11">
        <v>206</v>
      </c>
      <c r="IA11">
        <v>207</v>
      </c>
      <c r="IB11">
        <v>208</v>
      </c>
      <c r="IC11">
        <v>209</v>
      </c>
      <c r="ID11">
        <v>210</v>
      </c>
      <c r="IE11">
        <v>211</v>
      </c>
      <c r="IF11">
        <v>212</v>
      </c>
      <c r="IG11">
        <v>213</v>
      </c>
      <c r="IH11">
        <v>214</v>
      </c>
      <c r="II11">
        <v>215</v>
      </c>
      <c r="IJ11">
        <v>216</v>
      </c>
      <c r="IK11">
        <v>217</v>
      </c>
      <c r="IL11">
        <v>218</v>
      </c>
      <c r="IM11">
        <v>219</v>
      </c>
      <c r="IN11">
        <v>220</v>
      </c>
      <c r="IO11">
        <v>221</v>
      </c>
      <c r="IP11">
        <v>222</v>
      </c>
      <c r="IQ11">
        <v>223</v>
      </c>
      <c r="IR11">
        <v>224</v>
      </c>
      <c r="IS11">
        <v>225</v>
      </c>
      <c r="IT11">
        <v>226</v>
      </c>
      <c r="IU11">
        <v>227</v>
      </c>
      <c r="IV11">
        <v>228</v>
      </c>
      <c r="IW11">
        <v>229</v>
      </c>
      <c r="IX11">
        <v>230</v>
      </c>
      <c r="IY11">
        <v>231</v>
      </c>
      <c r="IZ11">
        <v>232</v>
      </c>
      <c r="JA11">
        <v>233</v>
      </c>
      <c r="JB11">
        <v>234</v>
      </c>
      <c r="JC11">
        <v>235</v>
      </c>
      <c r="JD11">
        <v>236</v>
      </c>
      <c r="JE11">
        <v>237</v>
      </c>
      <c r="JF11">
        <v>238</v>
      </c>
      <c r="JG11">
        <v>239</v>
      </c>
      <c r="JH11">
        <v>240</v>
      </c>
      <c r="JI11">
        <v>241</v>
      </c>
      <c r="JJ11">
        <v>242</v>
      </c>
      <c r="JK11">
        <v>243</v>
      </c>
      <c r="JL11">
        <v>244</v>
      </c>
      <c r="JM11">
        <v>245</v>
      </c>
      <c r="JN11">
        <v>246</v>
      </c>
      <c r="JO11">
        <v>247</v>
      </c>
      <c r="JP11">
        <v>248</v>
      </c>
      <c r="JQ11">
        <v>249</v>
      </c>
      <c r="JR11">
        <v>250</v>
      </c>
    </row>
    <row r="12" spans="1:279">
      <c r="A12" s="551" t="s">
        <v>6438</v>
      </c>
      <c r="B12" s="528" t="s">
        <v>6439</v>
      </c>
      <c r="C12" s="528" t="s">
        <v>6457</v>
      </c>
      <c r="D12" s="528">
        <v>253</v>
      </c>
      <c r="E12" s="528">
        <v>264</v>
      </c>
      <c r="F12" s="552">
        <v>3.34</v>
      </c>
      <c r="G12" s="552">
        <v>3.74</v>
      </c>
      <c r="H12" s="153">
        <f t="shared" si="0"/>
        <v>0.11976047904191628</v>
      </c>
      <c r="I12" s="101"/>
      <c r="K12" s="101"/>
      <c r="L12" s="101"/>
      <c r="M12" s="117"/>
      <c r="N12" s="117"/>
      <c r="O12" s="117"/>
      <c r="P12" s="117"/>
      <c r="Q12" s="117"/>
      <c r="T12" s="544">
        <v>0.375</v>
      </c>
      <c r="U12" s="545">
        <v>0.375</v>
      </c>
      <c r="V12" s="544" t="s">
        <v>83</v>
      </c>
      <c r="W12" s="544">
        <v>375</v>
      </c>
      <c r="Y12" t="s">
        <v>6170</v>
      </c>
      <c r="Z12">
        <v>11</v>
      </c>
      <c r="AA12">
        <v>11</v>
      </c>
      <c r="AB12" s="342" t="s">
        <v>6444</v>
      </c>
      <c r="AC12" s="336">
        <v>11</v>
      </c>
      <c r="AF12" t="str">
        <v>Tri-Dek 4-Ply 6/15/40+3 Media Pad</v>
      </c>
      <c r="AG12" cm="1">
        <f t="array" ref="AG12:JR12">_xlfn.TOROW(_xlfn.UNIQUE(_xlfn._xlws.FILTER(Table13[Level2],Table13[Level1]=AF12,"")))</f>
        <v>5</v>
      </c>
      <c r="AH12">
        <v>6</v>
      </c>
      <c r="AI12">
        <v>7</v>
      </c>
      <c r="AJ12">
        <v>8</v>
      </c>
      <c r="AK12">
        <v>9</v>
      </c>
      <c r="AL12">
        <v>10</v>
      </c>
      <c r="AM12">
        <v>11</v>
      </c>
      <c r="AN12">
        <v>12</v>
      </c>
      <c r="AO12">
        <v>13</v>
      </c>
      <c r="AP12">
        <v>14</v>
      </c>
      <c r="AQ12">
        <v>15</v>
      </c>
      <c r="AR12">
        <v>16</v>
      </c>
      <c r="AS12">
        <v>17</v>
      </c>
      <c r="AT12">
        <v>18</v>
      </c>
      <c r="AU12">
        <v>19</v>
      </c>
      <c r="AV12">
        <v>20</v>
      </c>
      <c r="AW12">
        <v>21</v>
      </c>
      <c r="AX12">
        <v>22</v>
      </c>
      <c r="AY12">
        <v>23</v>
      </c>
      <c r="AZ12">
        <v>24</v>
      </c>
      <c r="BA12">
        <v>25</v>
      </c>
      <c r="BB12">
        <v>26</v>
      </c>
      <c r="BC12">
        <v>27</v>
      </c>
      <c r="BD12">
        <v>28</v>
      </c>
      <c r="BE12">
        <v>29</v>
      </c>
      <c r="BF12">
        <v>30</v>
      </c>
      <c r="BG12">
        <v>31</v>
      </c>
      <c r="BH12">
        <v>32</v>
      </c>
      <c r="BI12">
        <v>33</v>
      </c>
      <c r="BJ12">
        <v>34</v>
      </c>
      <c r="BK12">
        <v>35</v>
      </c>
      <c r="BL12">
        <v>36</v>
      </c>
      <c r="BM12">
        <v>37</v>
      </c>
      <c r="BN12">
        <v>38</v>
      </c>
      <c r="BO12">
        <v>39</v>
      </c>
      <c r="BP12">
        <v>40</v>
      </c>
      <c r="BQ12">
        <v>41</v>
      </c>
      <c r="BR12">
        <v>42</v>
      </c>
      <c r="BS12">
        <v>43</v>
      </c>
      <c r="BT12">
        <v>44</v>
      </c>
      <c r="BU12">
        <v>45</v>
      </c>
      <c r="BV12">
        <v>46</v>
      </c>
      <c r="BW12">
        <v>47</v>
      </c>
      <c r="BX12">
        <v>48</v>
      </c>
      <c r="BY12">
        <v>49</v>
      </c>
      <c r="BZ12">
        <v>50</v>
      </c>
      <c r="CA12">
        <v>51</v>
      </c>
      <c r="CB12">
        <v>52</v>
      </c>
      <c r="CC12">
        <v>53</v>
      </c>
      <c r="CD12">
        <v>54</v>
      </c>
      <c r="CE12">
        <v>55</v>
      </c>
      <c r="CF12">
        <v>56</v>
      </c>
      <c r="CG12">
        <v>57</v>
      </c>
      <c r="CH12">
        <v>58</v>
      </c>
      <c r="CI12">
        <v>59</v>
      </c>
      <c r="CJ12">
        <v>60</v>
      </c>
      <c r="CK12">
        <v>61</v>
      </c>
      <c r="CL12">
        <v>62</v>
      </c>
      <c r="CM12">
        <v>63</v>
      </c>
      <c r="CN12">
        <v>64</v>
      </c>
      <c r="CO12">
        <v>65</v>
      </c>
      <c r="CP12">
        <v>66</v>
      </c>
      <c r="CQ12">
        <v>67</v>
      </c>
      <c r="CR12">
        <v>68</v>
      </c>
      <c r="CS12">
        <v>69</v>
      </c>
      <c r="CT12">
        <v>70</v>
      </c>
      <c r="CU12">
        <v>71</v>
      </c>
      <c r="CV12">
        <v>72</v>
      </c>
      <c r="CW12">
        <v>73</v>
      </c>
      <c r="CX12">
        <v>74</v>
      </c>
      <c r="CY12">
        <v>75</v>
      </c>
      <c r="CZ12">
        <v>76</v>
      </c>
      <c r="DA12">
        <v>77</v>
      </c>
      <c r="DB12">
        <v>78</v>
      </c>
      <c r="DC12">
        <v>79</v>
      </c>
      <c r="DD12">
        <v>80</v>
      </c>
      <c r="DE12">
        <v>81</v>
      </c>
      <c r="DF12">
        <v>82</v>
      </c>
      <c r="DG12">
        <v>83</v>
      </c>
      <c r="DH12">
        <v>84</v>
      </c>
      <c r="DI12">
        <v>85</v>
      </c>
      <c r="DJ12">
        <v>86</v>
      </c>
      <c r="DK12">
        <v>87</v>
      </c>
      <c r="DL12">
        <v>88</v>
      </c>
      <c r="DM12">
        <v>89</v>
      </c>
      <c r="DN12">
        <v>90</v>
      </c>
      <c r="DO12">
        <v>91</v>
      </c>
      <c r="DP12">
        <v>92</v>
      </c>
      <c r="DQ12">
        <v>93</v>
      </c>
      <c r="DR12">
        <v>94</v>
      </c>
      <c r="DS12">
        <v>95</v>
      </c>
      <c r="DT12">
        <v>96</v>
      </c>
      <c r="DU12">
        <v>97</v>
      </c>
      <c r="DV12">
        <v>98</v>
      </c>
      <c r="DW12">
        <v>99</v>
      </c>
      <c r="DX12">
        <v>100</v>
      </c>
      <c r="DY12">
        <v>101</v>
      </c>
      <c r="DZ12">
        <v>102</v>
      </c>
      <c r="EA12">
        <v>103</v>
      </c>
      <c r="EB12">
        <v>104</v>
      </c>
      <c r="EC12">
        <v>105</v>
      </c>
      <c r="ED12">
        <v>106</v>
      </c>
      <c r="EE12">
        <v>107</v>
      </c>
      <c r="EF12">
        <v>108</v>
      </c>
      <c r="EG12">
        <v>109</v>
      </c>
      <c r="EH12">
        <v>110</v>
      </c>
      <c r="EI12">
        <v>111</v>
      </c>
      <c r="EJ12">
        <v>112</v>
      </c>
      <c r="EK12">
        <v>113</v>
      </c>
      <c r="EL12">
        <v>114</v>
      </c>
      <c r="EM12">
        <v>115</v>
      </c>
      <c r="EN12">
        <v>116</v>
      </c>
      <c r="EO12">
        <v>117</v>
      </c>
      <c r="EP12">
        <v>118</v>
      </c>
      <c r="EQ12">
        <v>119</v>
      </c>
      <c r="ER12">
        <v>120</v>
      </c>
      <c r="ES12">
        <v>121</v>
      </c>
      <c r="ET12">
        <v>122</v>
      </c>
      <c r="EU12">
        <v>123</v>
      </c>
      <c r="EV12">
        <v>124</v>
      </c>
      <c r="EW12">
        <v>125</v>
      </c>
      <c r="EX12">
        <v>126</v>
      </c>
      <c r="EY12">
        <v>127</v>
      </c>
      <c r="EZ12">
        <v>128</v>
      </c>
      <c r="FA12">
        <v>129</v>
      </c>
      <c r="FB12">
        <v>130</v>
      </c>
      <c r="FC12">
        <v>131</v>
      </c>
      <c r="FD12">
        <v>132</v>
      </c>
      <c r="FE12">
        <v>133</v>
      </c>
      <c r="FF12">
        <v>134</v>
      </c>
      <c r="FG12">
        <v>135</v>
      </c>
      <c r="FH12">
        <v>136</v>
      </c>
      <c r="FI12">
        <v>137</v>
      </c>
      <c r="FJ12">
        <v>138</v>
      </c>
      <c r="FK12">
        <v>139</v>
      </c>
      <c r="FL12">
        <v>140</v>
      </c>
      <c r="FM12">
        <v>141</v>
      </c>
      <c r="FN12">
        <v>142</v>
      </c>
      <c r="FO12">
        <v>143</v>
      </c>
      <c r="FP12">
        <v>144</v>
      </c>
      <c r="FQ12">
        <v>145</v>
      </c>
      <c r="FR12">
        <v>146</v>
      </c>
      <c r="FS12">
        <v>147</v>
      </c>
      <c r="FT12">
        <v>148</v>
      </c>
      <c r="FU12">
        <v>149</v>
      </c>
      <c r="FV12">
        <v>150</v>
      </c>
      <c r="FW12">
        <v>151</v>
      </c>
      <c r="FX12">
        <v>152</v>
      </c>
      <c r="FY12">
        <v>153</v>
      </c>
      <c r="FZ12">
        <v>154</v>
      </c>
      <c r="GA12">
        <v>155</v>
      </c>
      <c r="GB12">
        <v>156</v>
      </c>
      <c r="GC12">
        <v>157</v>
      </c>
      <c r="GD12">
        <v>158</v>
      </c>
      <c r="GE12">
        <v>159</v>
      </c>
      <c r="GF12">
        <v>160</v>
      </c>
      <c r="GG12">
        <v>161</v>
      </c>
      <c r="GH12">
        <v>162</v>
      </c>
      <c r="GI12">
        <v>163</v>
      </c>
      <c r="GJ12">
        <v>164</v>
      </c>
      <c r="GK12">
        <v>165</v>
      </c>
      <c r="GL12">
        <v>166</v>
      </c>
      <c r="GM12">
        <v>167</v>
      </c>
      <c r="GN12">
        <v>168</v>
      </c>
      <c r="GO12">
        <v>169</v>
      </c>
      <c r="GP12">
        <v>170</v>
      </c>
      <c r="GQ12">
        <v>171</v>
      </c>
      <c r="GR12">
        <v>172</v>
      </c>
      <c r="GS12">
        <v>173</v>
      </c>
      <c r="GT12">
        <v>174</v>
      </c>
      <c r="GU12">
        <v>175</v>
      </c>
      <c r="GV12">
        <v>176</v>
      </c>
      <c r="GW12">
        <v>177</v>
      </c>
      <c r="GX12">
        <v>178</v>
      </c>
      <c r="GY12">
        <v>179</v>
      </c>
      <c r="GZ12">
        <v>180</v>
      </c>
      <c r="HA12">
        <v>181</v>
      </c>
      <c r="HB12">
        <v>182</v>
      </c>
      <c r="HC12">
        <v>183</v>
      </c>
      <c r="HD12">
        <v>184</v>
      </c>
      <c r="HE12">
        <v>185</v>
      </c>
      <c r="HF12">
        <v>186</v>
      </c>
      <c r="HG12">
        <v>187</v>
      </c>
      <c r="HH12">
        <v>188</v>
      </c>
      <c r="HI12">
        <v>189</v>
      </c>
      <c r="HJ12">
        <v>190</v>
      </c>
      <c r="HK12">
        <v>191</v>
      </c>
      <c r="HL12">
        <v>192</v>
      </c>
      <c r="HM12">
        <v>193</v>
      </c>
      <c r="HN12">
        <v>194</v>
      </c>
      <c r="HO12">
        <v>195</v>
      </c>
      <c r="HP12">
        <v>196</v>
      </c>
      <c r="HQ12">
        <v>197</v>
      </c>
      <c r="HR12">
        <v>198</v>
      </c>
      <c r="HS12">
        <v>199</v>
      </c>
      <c r="HT12">
        <v>200</v>
      </c>
      <c r="HU12">
        <v>201</v>
      </c>
      <c r="HV12">
        <v>202</v>
      </c>
      <c r="HW12">
        <v>203</v>
      </c>
      <c r="HX12">
        <v>204</v>
      </c>
      <c r="HY12">
        <v>205</v>
      </c>
      <c r="HZ12">
        <v>206</v>
      </c>
      <c r="IA12">
        <v>207</v>
      </c>
      <c r="IB12">
        <v>208</v>
      </c>
      <c r="IC12">
        <v>209</v>
      </c>
      <c r="ID12">
        <v>210</v>
      </c>
      <c r="IE12">
        <v>211</v>
      </c>
      <c r="IF12">
        <v>212</v>
      </c>
      <c r="IG12">
        <v>213</v>
      </c>
      <c r="IH12">
        <v>214</v>
      </c>
      <c r="II12">
        <v>215</v>
      </c>
      <c r="IJ12">
        <v>216</v>
      </c>
      <c r="IK12">
        <v>217</v>
      </c>
      <c r="IL12">
        <v>218</v>
      </c>
      <c r="IM12">
        <v>219</v>
      </c>
      <c r="IN12">
        <v>220</v>
      </c>
      <c r="IO12">
        <v>221</v>
      </c>
      <c r="IP12">
        <v>222</v>
      </c>
      <c r="IQ12">
        <v>223</v>
      </c>
      <c r="IR12">
        <v>224</v>
      </c>
      <c r="IS12">
        <v>225</v>
      </c>
      <c r="IT12">
        <v>226</v>
      </c>
      <c r="IU12">
        <v>227</v>
      </c>
      <c r="IV12">
        <v>228</v>
      </c>
      <c r="IW12">
        <v>229</v>
      </c>
      <c r="IX12">
        <v>230</v>
      </c>
      <c r="IY12">
        <v>231</v>
      </c>
      <c r="IZ12">
        <v>232</v>
      </c>
      <c r="JA12">
        <v>233</v>
      </c>
      <c r="JB12">
        <v>234</v>
      </c>
      <c r="JC12">
        <v>235</v>
      </c>
      <c r="JD12">
        <v>236</v>
      </c>
      <c r="JE12">
        <v>237</v>
      </c>
      <c r="JF12">
        <v>238</v>
      </c>
      <c r="JG12">
        <v>239</v>
      </c>
      <c r="JH12">
        <v>240</v>
      </c>
      <c r="JI12">
        <v>241</v>
      </c>
      <c r="JJ12">
        <v>242</v>
      </c>
      <c r="JK12">
        <v>243</v>
      </c>
      <c r="JL12">
        <v>244</v>
      </c>
      <c r="JM12">
        <v>245</v>
      </c>
      <c r="JN12">
        <v>246</v>
      </c>
      <c r="JO12">
        <v>247</v>
      </c>
      <c r="JP12">
        <v>248</v>
      </c>
      <c r="JQ12">
        <v>249</v>
      </c>
      <c r="JR12">
        <v>250</v>
      </c>
    </row>
    <row r="13" spans="1:279">
      <c r="A13" s="551" t="s">
        <v>6438</v>
      </c>
      <c r="B13" s="528" t="s">
        <v>6439</v>
      </c>
      <c r="C13" s="528" t="s">
        <v>6458</v>
      </c>
      <c r="D13" s="528">
        <v>265</v>
      </c>
      <c r="E13" s="528">
        <v>276</v>
      </c>
      <c r="F13" s="552">
        <v>3.47</v>
      </c>
      <c r="G13" s="552">
        <v>3.89</v>
      </c>
      <c r="H13" s="153">
        <f t="shared" si="0"/>
        <v>0.12103746397694522</v>
      </c>
      <c r="I13" s="101"/>
      <c r="K13" s="101"/>
      <c r="L13" s="101"/>
      <c r="M13" s="520" t="s">
        <v>6233</v>
      </c>
      <c r="N13" s="520" t="s">
        <v>146</v>
      </c>
      <c r="O13" s="520" t="s">
        <v>229</v>
      </c>
      <c r="P13" s="520" t="s">
        <v>146</v>
      </c>
      <c r="Q13" s="117"/>
      <c r="T13" s="546">
        <v>0.5</v>
      </c>
      <c r="U13" s="547">
        <v>0.5</v>
      </c>
      <c r="V13" s="546" t="s">
        <v>80</v>
      </c>
      <c r="W13" s="546">
        <v>5</v>
      </c>
      <c r="Y13" t="s">
        <v>6170</v>
      </c>
      <c r="Z13">
        <v>12</v>
      </c>
      <c r="AA13">
        <v>12</v>
      </c>
      <c r="AB13" s="341" t="s">
        <v>6444</v>
      </c>
      <c r="AC13" s="337">
        <v>12</v>
      </c>
      <c r="AF13" t="str">
        <v>Tri-Dek #8 MERV 8 Pads</v>
      </c>
      <c r="AG13" cm="1">
        <f t="array" ref="AG13:DC13">_xlfn.TOROW(_xlfn.UNIQUE(_xlfn._xlws.FILTER(Table13[Level2],Table13[Level1]=AF13,"")))</f>
        <v>4</v>
      </c>
      <c r="AH13">
        <v>5</v>
      </c>
      <c r="AI13">
        <v>6</v>
      </c>
      <c r="AJ13">
        <v>7</v>
      </c>
      <c r="AK13">
        <v>8</v>
      </c>
      <c r="AL13">
        <v>9</v>
      </c>
      <c r="AM13">
        <v>10</v>
      </c>
      <c r="AN13">
        <v>11</v>
      </c>
      <c r="AO13">
        <v>12</v>
      </c>
      <c r="AP13">
        <v>13</v>
      </c>
      <c r="AQ13">
        <v>14</v>
      </c>
      <c r="AR13">
        <v>15</v>
      </c>
      <c r="AS13">
        <v>16</v>
      </c>
      <c r="AT13">
        <v>17</v>
      </c>
      <c r="AU13">
        <v>18</v>
      </c>
      <c r="AV13">
        <v>19</v>
      </c>
      <c r="AW13">
        <v>20</v>
      </c>
      <c r="AX13">
        <v>21</v>
      </c>
      <c r="AY13">
        <v>22</v>
      </c>
      <c r="AZ13">
        <v>23</v>
      </c>
      <c r="BA13">
        <v>24</v>
      </c>
      <c r="BB13">
        <v>25</v>
      </c>
      <c r="BC13">
        <v>26</v>
      </c>
      <c r="BD13">
        <v>27</v>
      </c>
      <c r="BE13">
        <v>28</v>
      </c>
      <c r="BF13">
        <v>29</v>
      </c>
      <c r="BG13">
        <v>30</v>
      </c>
      <c r="BH13">
        <v>31</v>
      </c>
      <c r="BI13">
        <v>32</v>
      </c>
      <c r="BJ13">
        <v>33</v>
      </c>
      <c r="BK13">
        <v>34</v>
      </c>
      <c r="BL13">
        <v>35</v>
      </c>
      <c r="BM13">
        <v>36</v>
      </c>
      <c r="BN13">
        <v>37</v>
      </c>
      <c r="BO13">
        <v>38</v>
      </c>
      <c r="BP13">
        <v>39</v>
      </c>
      <c r="BQ13">
        <v>40</v>
      </c>
      <c r="BR13">
        <v>41</v>
      </c>
      <c r="BS13">
        <v>42</v>
      </c>
      <c r="BT13">
        <v>43</v>
      </c>
      <c r="BU13">
        <v>44</v>
      </c>
      <c r="BV13">
        <v>45</v>
      </c>
      <c r="BW13">
        <v>46</v>
      </c>
      <c r="BX13">
        <v>47</v>
      </c>
      <c r="BY13">
        <v>48</v>
      </c>
      <c r="BZ13">
        <v>49</v>
      </c>
      <c r="CA13">
        <v>50</v>
      </c>
      <c r="CB13">
        <v>51</v>
      </c>
      <c r="CC13">
        <v>52</v>
      </c>
      <c r="CD13">
        <v>53</v>
      </c>
      <c r="CE13">
        <v>54</v>
      </c>
      <c r="CF13">
        <v>55</v>
      </c>
      <c r="CG13">
        <v>56</v>
      </c>
      <c r="CH13">
        <v>57</v>
      </c>
      <c r="CI13">
        <v>58</v>
      </c>
      <c r="CJ13">
        <v>59</v>
      </c>
      <c r="CK13">
        <v>60</v>
      </c>
      <c r="CL13">
        <v>61</v>
      </c>
      <c r="CM13">
        <v>62</v>
      </c>
      <c r="CN13">
        <v>63</v>
      </c>
      <c r="CO13">
        <v>64</v>
      </c>
      <c r="CP13">
        <v>65</v>
      </c>
      <c r="CQ13">
        <v>66</v>
      </c>
      <c r="CR13">
        <v>67</v>
      </c>
      <c r="CS13">
        <v>68</v>
      </c>
      <c r="CT13">
        <v>69</v>
      </c>
      <c r="CU13">
        <v>70</v>
      </c>
      <c r="CV13">
        <v>71</v>
      </c>
      <c r="CW13">
        <v>72</v>
      </c>
      <c r="CX13">
        <v>73</v>
      </c>
      <c r="CY13">
        <v>74</v>
      </c>
      <c r="CZ13">
        <v>75</v>
      </c>
      <c r="DA13">
        <v>76</v>
      </c>
      <c r="DB13">
        <v>77</v>
      </c>
      <c r="DC13">
        <v>78</v>
      </c>
    </row>
    <row r="14" spans="1:279">
      <c r="A14" s="551" t="s">
        <v>6438</v>
      </c>
      <c r="B14" s="528" t="s">
        <v>6439</v>
      </c>
      <c r="C14" s="528" t="s">
        <v>6459</v>
      </c>
      <c r="D14" s="528">
        <v>277</v>
      </c>
      <c r="E14" s="528">
        <v>288</v>
      </c>
      <c r="F14" s="552">
        <v>3.6</v>
      </c>
      <c r="G14" s="552">
        <v>4.03</v>
      </c>
      <c r="H14" s="153">
        <f t="shared" si="0"/>
        <v>0.11944444444444449</v>
      </c>
      <c r="I14" s="101"/>
      <c r="K14" s="101"/>
      <c r="L14" s="101"/>
      <c r="M14" s="530">
        <f>'Sleeves Calc'!F13</f>
        <v>8</v>
      </c>
      <c r="N14" s="522">
        <f>'Sleeves Calc'!G13</f>
        <v>0</v>
      </c>
      <c r="O14" s="530">
        <f>'Sleeves Calc'!F14</f>
        <v>71</v>
      </c>
      <c r="P14" s="522">
        <f>'Sleeves Calc'!G14</f>
        <v>0.25</v>
      </c>
      <c r="Q14" s="117"/>
      <c r="T14" s="546">
        <v>0.625</v>
      </c>
      <c r="U14" s="547">
        <v>0.625</v>
      </c>
      <c r="V14" s="546" t="s">
        <v>89</v>
      </c>
      <c r="W14" s="546">
        <v>625</v>
      </c>
      <c r="Y14" t="s">
        <v>6170</v>
      </c>
      <c r="Z14">
        <v>13</v>
      </c>
      <c r="AA14">
        <v>13</v>
      </c>
      <c r="AB14" s="342" t="s">
        <v>6444</v>
      </c>
      <c r="AC14" s="336">
        <v>13</v>
      </c>
      <c r="AF14" t="str">
        <v>Tri-Dek #3 2-Ply Pre-Cut Sleeves</v>
      </c>
      <c r="AG14" cm="1">
        <f t="array" ref="AG14:DY14">_xlfn.TOROW(_xlfn.UNIQUE(_xlfn._xlws.FILTER(Table13[Level2],Table13[Level1]=AF14,"")))</f>
        <v>4</v>
      </c>
      <c r="AH14">
        <v>5</v>
      </c>
      <c r="AI14">
        <v>6</v>
      </c>
      <c r="AJ14">
        <v>7</v>
      </c>
      <c r="AK14">
        <v>8</v>
      </c>
      <c r="AL14">
        <v>9</v>
      </c>
      <c r="AM14">
        <v>10</v>
      </c>
      <c r="AN14">
        <v>11</v>
      </c>
      <c r="AO14">
        <v>12</v>
      </c>
      <c r="AP14">
        <v>13</v>
      </c>
      <c r="AQ14">
        <v>14</v>
      </c>
      <c r="AR14">
        <v>15</v>
      </c>
      <c r="AS14">
        <v>16</v>
      </c>
      <c r="AT14">
        <v>17</v>
      </c>
      <c r="AU14">
        <v>18</v>
      </c>
      <c r="AV14">
        <v>19</v>
      </c>
      <c r="AW14">
        <v>20</v>
      </c>
      <c r="AX14">
        <v>21</v>
      </c>
      <c r="AY14">
        <v>22</v>
      </c>
      <c r="AZ14">
        <v>23</v>
      </c>
      <c r="BA14">
        <v>24</v>
      </c>
      <c r="BB14">
        <v>25</v>
      </c>
      <c r="BC14">
        <v>26</v>
      </c>
      <c r="BD14">
        <v>27</v>
      </c>
      <c r="BE14">
        <v>28</v>
      </c>
      <c r="BF14">
        <v>29</v>
      </c>
      <c r="BG14">
        <v>30</v>
      </c>
      <c r="BH14">
        <v>31</v>
      </c>
      <c r="BI14">
        <v>32</v>
      </c>
      <c r="BJ14">
        <v>33</v>
      </c>
      <c r="BK14">
        <v>34</v>
      </c>
      <c r="BL14">
        <v>35</v>
      </c>
      <c r="BM14">
        <v>36</v>
      </c>
      <c r="BN14">
        <v>37</v>
      </c>
      <c r="BO14">
        <v>38</v>
      </c>
      <c r="BP14">
        <v>39</v>
      </c>
      <c r="BQ14">
        <v>40</v>
      </c>
      <c r="BR14">
        <v>41</v>
      </c>
      <c r="BS14">
        <v>42</v>
      </c>
      <c r="BT14">
        <v>43</v>
      </c>
      <c r="BU14">
        <v>44</v>
      </c>
      <c r="BV14">
        <v>45</v>
      </c>
      <c r="BW14">
        <v>46</v>
      </c>
      <c r="BX14">
        <v>47</v>
      </c>
      <c r="BY14">
        <v>48</v>
      </c>
      <c r="BZ14">
        <v>49</v>
      </c>
      <c r="CA14">
        <v>50</v>
      </c>
      <c r="CB14">
        <v>51</v>
      </c>
      <c r="CC14">
        <v>52</v>
      </c>
      <c r="CD14">
        <v>53</v>
      </c>
      <c r="CE14">
        <v>54</v>
      </c>
      <c r="CF14">
        <v>55</v>
      </c>
      <c r="CG14">
        <v>56</v>
      </c>
      <c r="CH14">
        <v>57</v>
      </c>
      <c r="CI14">
        <v>58</v>
      </c>
      <c r="CJ14">
        <v>59</v>
      </c>
      <c r="CK14">
        <v>60</v>
      </c>
      <c r="CL14">
        <v>61</v>
      </c>
      <c r="CM14">
        <v>62</v>
      </c>
      <c r="CN14">
        <v>63</v>
      </c>
      <c r="CO14">
        <v>64</v>
      </c>
      <c r="CP14">
        <v>65</v>
      </c>
      <c r="CQ14">
        <v>66</v>
      </c>
      <c r="CR14">
        <v>67</v>
      </c>
      <c r="CS14">
        <v>68</v>
      </c>
      <c r="CT14">
        <v>69</v>
      </c>
      <c r="CU14">
        <v>70</v>
      </c>
      <c r="CV14">
        <v>71</v>
      </c>
      <c r="CW14">
        <v>72</v>
      </c>
      <c r="CX14">
        <v>73</v>
      </c>
      <c r="CY14">
        <v>74</v>
      </c>
      <c r="CZ14">
        <v>75</v>
      </c>
      <c r="DA14">
        <v>76</v>
      </c>
      <c r="DB14">
        <v>77</v>
      </c>
      <c r="DC14">
        <v>78</v>
      </c>
      <c r="DD14">
        <v>79</v>
      </c>
      <c r="DE14">
        <v>80</v>
      </c>
      <c r="DF14">
        <v>81</v>
      </c>
      <c r="DG14">
        <v>82</v>
      </c>
      <c r="DH14">
        <v>83</v>
      </c>
      <c r="DI14">
        <v>84</v>
      </c>
      <c r="DJ14">
        <v>85</v>
      </c>
      <c r="DK14">
        <v>86</v>
      </c>
      <c r="DL14">
        <v>87</v>
      </c>
      <c r="DM14">
        <v>88</v>
      </c>
      <c r="DN14">
        <v>89</v>
      </c>
      <c r="DO14">
        <v>90</v>
      </c>
      <c r="DP14">
        <v>91</v>
      </c>
      <c r="DQ14">
        <v>92</v>
      </c>
      <c r="DR14">
        <v>93</v>
      </c>
      <c r="DS14">
        <v>94</v>
      </c>
      <c r="DT14">
        <v>95</v>
      </c>
      <c r="DU14">
        <v>96</v>
      </c>
      <c r="DV14">
        <v>97</v>
      </c>
      <c r="DW14">
        <v>98</v>
      </c>
      <c r="DX14">
        <v>99</v>
      </c>
      <c r="DY14">
        <v>100</v>
      </c>
    </row>
    <row r="15" spans="1:279">
      <c r="A15" s="551" t="s">
        <v>6438</v>
      </c>
      <c r="B15" s="528" t="s">
        <v>6439</v>
      </c>
      <c r="C15" s="528" t="s">
        <v>6460</v>
      </c>
      <c r="D15" s="528">
        <v>289</v>
      </c>
      <c r="E15" s="528">
        <v>300</v>
      </c>
      <c r="F15" s="552">
        <v>3.73</v>
      </c>
      <c r="G15" s="552">
        <v>4.18</v>
      </c>
      <c r="H15" s="153">
        <f t="shared" si="0"/>
        <v>0.12064343163538867</v>
      </c>
      <c r="I15" s="101"/>
      <c r="K15" s="101"/>
      <c r="L15" s="101"/>
      <c r="M15" s="522">
        <f>M14+N14</f>
        <v>8</v>
      </c>
      <c r="N15" s="519">
        <f>VLOOKUP(N14,$T$8:$W$16,3,FALSE)</f>
        <v>0</v>
      </c>
      <c r="O15" s="522">
        <f>O14+P14</f>
        <v>71.25</v>
      </c>
      <c r="P15" s="519" t="str">
        <f>VLOOKUP(P14,$T$8:$W$16,3,FALSE)</f>
        <v>B</v>
      </c>
      <c r="Q15" s="117"/>
      <c r="T15" s="546">
        <v>0.75</v>
      </c>
      <c r="U15" s="547">
        <v>0.75</v>
      </c>
      <c r="V15" s="546" t="s">
        <v>93</v>
      </c>
      <c r="W15" s="546">
        <v>75</v>
      </c>
      <c r="X15" s="98"/>
      <c r="Y15" t="s">
        <v>6170</v>
      </c>
      <c r="Z15">
        <v>14</v>
      </c>
      <c r="AA15">
        <v>14</v>
      </c>
      <c r="AB15" s="341" t="s">
        <v>6444</v>
      </c>
      <c r="AC15" s="337">
        <v>14</v>
      </c>
      <c r="AF15" t="str">
        <v>Wire Ring Frames for Pre-Cut Sleeves</v>
      </c>
      <c r="AG15" cm="1">
        <f t="array" ref="AG15:DB15">_xlfn.TOROW(_xlfn.UNIQUE(_xlfn._xlws.FILTER(Table13[Level2],Table13[Level1]=AF15,"")))</f>
        <v>4</v>
      </c>
      <c r="AH15">
        <v>5</v>
      </c>
      <c r="AI15">
        <v>6</v>
      </c>
      <c r="AJ15">
        <v>7</v>
      </c>
      <c r="AK15">
        <v>8</v>
      </c>
      <c r="AL15">
        <v>9</v>
      </c>
      <c r="AM15">
        <v>10</v>
      </c>
      <c r="AN15">
        <v>11</v>
      </c>
      <c r="AO15">
        <v>12</v>
      </c>
      <c r="AP15">
        <v>13</v>
      </c>
      <c r="AQ15">
        <v>14</v>
      </c>
      <c r="AR15">
        <v>15</v>
      </c>
      <c r="AS15">
        <v>16</v>
      </c>
      <c r="AT15">
        <v>17</v>
      </c>
      <c r="AU15">
        <v>18</v>
      </c>
      <c r="AV15">
        <v>19</v>
      </c>
      <c r="AW15">
        <v>20</v>
      </c>
      <c r="AX15">
        <v>21</v>
      </c>
      <c r="AY15">
        <v>22</v>
      </c>
      <c r="AZ15">
        <v>23</v>
      </c>
      <c r="BA15">
        <v>24</v>
      </c>
      <c r="BB15">
        <v>25</v>
      </c>
      <c r="BC15">
        <v>26</v>
      </c>
      <c r="BD15">
        <v>27</v>
      </c>
      <c r="BE15">
        <v>28</v>
      </c>
      <c r="BF15">
        <v>29</v>
      </c>
      <c r="BG15">
        <v>30</v>
      </c>
      <c r="BH15">
        <v>31</v>
      </c>
      <c r="BI15">
        <v>32</v>
      </c>
      <c r="BJ15">
        <v>33</v>
      </c>
      <c r="BK15">
        <v>34</v>
      </c>
      <c r="BL15">
        <v>35</v>
      </c>
      <c r="BM15">
        <v>36</v>
      </c>
      <c r="BN15">
        <v>37</v>
      </c>
      <c r="BO15">
        <v>38</v>
      </c>
      <c r="BP15">
        <v>39</v>
      </c>
      <c r="BQ15">
        <v>40</v>
      </c>
      <c r="BR15">
        <v>41</v>
      </c>
      <c r="BS15">
        <v>42</v>
      </c>
      <c r="BT15">
        <v>43</v>
      </c>
      <c r="BU15">
        <v>44</v>
      </c>
      <c r="BV15">
        <v>45</v>
      </c>
      <c r="BW15">
        <v>46</v>
      </c>
      <c r="BX15">
        <v>47</v>
      </c>
      <c r="BY15">
        <v>48</v>
      </c>
      <c r="BZ15">
        <v>49</v>
      </c>
      <c r="CA15">
        <v>50</v>
      </c>
      <c r="CB15">
        <v>51</v>
      </c>
      <c r="CC15">
        <v>52</v>
      </c>
      <c r="CD15">
        <v>53</v>
      </c>
      <c r="CE15">
        <v>54</v>
      </c>
      <c r="CF15">
        <v>55</v>
      </c>
      <c r="CG15">
        <v>56</v>
      </c>
      <c r="CH15">
        <v>57</v>
      </c>
      <c r="CI15">
        <v>58</v>
      </c>
      <c r="CJ15">
        <v>59</v>
      </c>
      <c r="CK15">
        <v>60</v>
      </c>
      <c r="CL15">
        <v>61</v>
      </c>
      <c r="CM15">
        <v>62</v>
      </c>
      <c r="CN15">
        <v>63</v>
      </c>
      <c r="CO15">
        <v>64</v>
      </c>
      <c r="CP15">
        <v>65</v>
      </c>
      <c r="CQ15">
        <v>66</v>
      </c>
      <c r="CR15">
        <v>67</v>
      </c>
      <c r="CS15">
        <v>68</v>
      </c>
      <c r="CT15">
        <v>69</v>
      </c>
      <c r="CU15">
        <v>70</v>
      </c>
      <c r="CV15">
        <v>71</v>
      </c>
      <c r="CW15">
        <v>72</v>
      </c>
      <c r="CX15">
        <v>73</v>
      </c>
      <c r="CY15">
        <v>74</v>
      </c>
      <c r="CZ15">
        <v>75</v>
      </c>
      <c r="DA15">
        <v>76</v>
      </c>
      <c r="DB15">
        <v>77</v>
      </c>
    </row>
    <row r="16" spans="1:279">
      <c r="A16" s="551" t="s">
        <v>6438</v>
      </c>
      <c r="B16" s="528" t="s">
        <v>6439</v>
      </c>
      <c r="C16" s="528" t="s">
        <v>6461</v>
      </c>
      <c r="D16" s="528">
        <v>301</v>
      </c>
      <c r="E16" s="528">
        <v>312</v>
      </c>
      <c r="F16" s="552">
        <v>3.87</v>
      </c>
      <c r="G16" s="552">
        <v>4.33</v>
      </c>
      <c r="H16" s="153">
        <f t="shared" si="0"/>
        <v>0.11886304909560723</v>
      </c>
      <c r="I16" s="101"/>
      <c r="K16" s="101"/>
      <c r="L16" s="101"/>
      <c r="M16" s="117"/>
      <c r="N16" s="117"/>
      <c r="O16" s="117"/>
      <c r="P16" s="117"/>
      <c r="Q16" s="117"/>
      <c r="T16" s="546">
        <v>0.875</v>
      </c>
      <c r="U16" s="547">
        <v>0.875</v>
      </c>
      <c r="V16" s="546" t="s">
        <v>96</v>
      </c>
      <c r="W16" s="546">
        <v>875</v>
      </c>
      <c r="X16" s="98"/>
      <c r="Y16" t="s">
        <v>6170</v>
      </c>
      <c r="Z16">
        <v>15</v>
      </c>
      <c r="AA16">
        <v>15</v>
      </c>
      <c r="AB16" s="342" t="s">
        <v>6444</v>
      </c>
      <c r="AC16" s="336">
        <v>15</v>
      </c>
      <c r="AF16">
        <v>0</v>
      </c>
    </row>
    <row r="17" spans="1:89">
      <c r="A17" s="551" t="s">
        <v>6438</v>
      </c>
      <c r="B17" s="528" t="s">
        <v>6439</v>
      </c>
      <c r="C17" s="528" t="s">
        <v>6462</v>
      </c>
      <c r="D17" s="528">
        <v>313</v>
      </c>
      <c r="E17" s="528">
        <v>324</v>
      </c>
      <c r="F17" s="552">
        <v>4.0199999999999996</v>
      </c>
      <c r="G17" s="552">
        <v>4.5</v>
      </c>
      <c r="H17" s="153">
        <f t="shared" si="0"/>
        <v>0.11940298507462699</v>
      </c>
      <c r="L17" s="101"/>
      <c r="M17" s="520" t="s">
        <v>166</v>
      </c>
      <c r="N17" s="519" t="str">
        <f>CONCATENATE(N8,IF(M14&lt;10,CONCATENATE("0",M14),M14),IF(N15=0,"",N15),IF(O14&lt;10,CONCATENATE("0",O14),O14),IF(P15=0,"",P15),IF(N10="Standard","","AT"),IF(N8=K9,N32,""))</f>
        <v>0720871B-4CW</v>
      </c>
      <c r="O17" s="520" t="s">
        <v>370</v>
      </c>
      <c r="P17" s="519" t="str">
        <f>IF(N8=K9,"1",IF(O14&lt;=K29,L29,IF(O14&lt;=K30,L30,IF(O14&lt;=K31,L31,IF(O14&lt;=K32,L32)))))</f>
        <v>1</v>
      </c>
      <c r="Q17" s="117"/>
      <c r="X17" s="98"/>
      <c r="Y17" t="s">
        <v>6170</v>
      </c>
      <c r="Z17">
        <v>16</v>
      </c>
      <c r="AA17">
        <v>16</v>
      </c>
      <c r="AB17" s="341" t="s">
        <v>6444</v>
      </c>
      <c r="AC17" s="337">
        <v>16</v>
      </c>
    </row>
    <row r="18" spans="1:89">
      <c r="A18" s="551" t="s">
        <v>6438</v>
      </c>
      <c r="B18" s="528" t="s">
        <v>6439</v>
      </c>
      <c r="C18" s="528" t="s">
        <v>6463</v>
      </c>
      <c r="D18" s="528">
        <v>325</v>
      </c>
      <c r="E18" s="528">
        <v>336</v>
      </c>
      <c r="F18" s="552">
        <v>4.16</v>
      </c>
      <c r="G18" s="552">
        <v>4.66</v>
      </c>
      <c r="H18" s="153">
        <f t="shared" si="0"/>
        <v>0.12019230769230768</v>
      </c>
      <c r="M18" s="122" t="s">
        <v>27</v>
      </c>
      <c r="N18" s="532">
        <f>IF(AND(N8=K22,N10=P9),M22,IF(AND(N8=K22,N10=P8),L22,IF(N8=K23,L23,"Check Entry")))</f>
        <v>8.3330000000000002</v>
      </c>
      <c r="O18" s="520" t="s">
        <v>29</v>
      </c>
      <c r="P18" s="532">
        <f>N18*P17</f>
        <v>8.3330000000000002</v>
      </c>
      <c r="Q18" s="117"/>
      <c r="X18" s="98"/>
      <c r="Y18" t="s">
        <v>6170</v>
      </c>
      <c r="Z18">
        <v>17</v>
      </c>
      <c r="AA18">
        <v>17</v>
      </c>
      <c r="AB18" s="342" t="s">
        <v>6444</v>
      </c>
      <c r="AC18" s="336">
        <v>17</v>
      </c>
    </row>
    <row r="19" spans="1:89">
      <c r="A19" s="551" t="s">
        <v>6438</v>
      </c>
      <c r="B19" s="528" t="s">
        <v>6439</v>
      </c>
      <c r="C19" s="528" t="s">
        <v>6464</v>
      </c>
      <c r="D19" s="528">
        <v>337</v>
      </c>
      <c r="E19" s="528">
        <v>348</v>
      </c>
      <c r="F19" s="552">
        <v>4.3</v>
      </c>
      <c r="G19" s="552">
        <v>4.82</v>
      </c>
      <c r="H19" s="153">
        <f t="shared" si="0"/>
        <v>0.12093023255813964</v>
      </c>
      <c r="R19" s="16" t="s">
        <v>6244</v>
      </c>
      <c r="S19" s="119" t="s">
        <v>6465</v>
      </c>
      <c r="X19" s="98"/>
      <c r="Y19" t="s">
        <v>6170</v>
      </c>
      <c r="Z19">
        <v>18</v>
      </c>
      <c r="AA19">
        <v>18</v>
      </c>
      <c r="AB19" s="341" t="s">
        <v>6444</v>
      </c>
      <c r="AC19" s="337">
        <v>18</v>
      </c>
    </row>
    <row r="20" spans="1:89" ht="16">
      <c r="A20" s="551" t="s">
        <v>6438</v>
      </c>
      <c r="B20" s="528" t="s">
        <v>6439</v>
      </c>
      <c r="C20" s="528" t="s">
        <v>6466</v>
      </c>
      <c r="D20" s="528">
        <v>349</v>
      </c>
      <c r="E20" s="528">
        <v>360</v>
      </c>
      <c r="F20" s="552">
        <v>4.45</v>
      </c>
      <c r="G20" s="552">
        <v>4.9800000000000004</v>
      </c>
      <c r="H20" s="153">
        <f t="shared" si="0"/>
        <v>0.11910112359550568</v>
      </c>
      <c r="K20" s="531" t="s">
        <v>6467</v>
      </c>
      <c r="L20" s="531"/>
      <c r="M20" s="531"/>
      <c r="R20" t="str">
        <f>CONCATENATE(114,MID(N17,4,10))</f>
        <v>1140871B-4CW</v>
      </c>
      <c r="X20" s="98"/>
      <c r="Y20" t="s">
        <v>6170</v>
      </c>
      <c r="Z20">
        <v>19</v>
      </c>
      <c r="AA20">
        <v>19</v>
      </c>
      <c r="AB20" s="342" t="s">
        <v>6444</v>
      </c>
      <c r="AC20" s="336">
        <v>19</v>
      </c>
      <c r="AF20" s="335" t="s">
        <v>336</v>
      </c>
    </row>
    <row r="21" spans="1:89">
      <c r="A21" s="551" t="s">
        <v>6438</v>
      </c>
      <c r="B21" s="528" t="s">
        <v>6439</v>
      </c>
      <c r="C21" s="528" t="s">
        <v>6468</v>
      </c>
      <c r="D21" s="528">
        <v>361</v>
      </c>
      <c r="E21" s="528">
        <v>372</v>
      </c>
      <c r="F21" s="552">
        <v>4.59</v>
      </c>
      <c r="G21" s="552">
        <v>5.14</v>
      </c>
      <c r="H21" s="153">
        <f t="shared" si="0"/>
        <v>0.11982570806100214</v>
      </c>
      <c r="K21" s="524" t="s">
        <v>6243</v>
      </c>
      <c r="L21" s="524" t="s">
        <v>366</v>
      </c>
      <c r="M21" s="524" t="s">
        <v>367</v>
      </c>
      <c r="O21" s="110" t="s">
        <v>6445</v>
      </c>
      <c r="P21" s="110" t="s">
        <v>336</v>
      </c>
      <c r="X21" s="99"/>
      <c r="Y21" t="s">
        <v>6170</v>
      </c>
      <c r="Z21">
        <v>20</v>
      </c>
      <c r="AA21">
        <v>20</v>
      </c>
      <c r="AB21" s="341" t="s">
        <v>6444</v>
      </c>
      <c r="AC21" s="337">
        <v>20</v>
      </c>
      <c r="AF21" t="str" cm="1">
        <f t="array" ref="AF21:AF23">_xlfn.UNIQUE(Table3[[#All],[Product Family]])</f>
        <v>Product Family</v>
      </c>
    </row>
    <row r="22" spans="1:89" ht="14.25" customHeight="1">
      <c r="A22" s="551" t="s">
        <v>6438</v>
      </c>
      <c r="B22" s="528" t="s">
        <v>6439</v>
      </c>
      <c r="C22" s="528" t="s">
        <v>6469</v>
      </c>
      <c r="D22" s="528">
        <v>373</v>
      </c>
      <c r="E22" s="528">
        <v>384</v>
      </c>
      <c r="F22" s="552">
        <v>4.7300000000000004</v>
      </c>
      <c r="G22" s="552">
        <v>5.3</v>
      </c>
      <c r="H22" s="153">
        <f t="shared" si="0"/>
        <v>0.12050739957716688</v>
      </c>
      <c r="K22" s="519" t="s">
        <v>6438</v>
      </c>
      <c r="L22" s="532" cm="1">
        <f t="array" ref="L22">LOOKUP(N9,1/((N9&gt;=min_070)*(N9&lt;=max_070)),price_070)</f>
        <v>7.02</v>
      </c>
      <c r="M22" s="532" cm="1">
        <f t="array" ref="M22">LOOKUP(N9,1/((N9&gt;=min_070)*(N9&lt;=max_070)),price_070_at)</f>
        <v>7.86</v>
      </c>
      <c r="N22" cm="1">
        <f t="array" ref="N22">LOOKUP(N9,1/((N9&gt;=min_070)*(N9&lt;=max_070)),price_070)</f>
        <v>7.02</v>
      </c>
      <c r="O22" s="16" t="s">
        <v>6249</v>
      </c>
      <c r="P22" s="16" t="s">
        <v>6249</v>
      </c>
      <c r="X22" s="99"/>
      <c r="Y22" t="s">
        <v>6170</v>
      </c>
      <c r="Z22">
        <v>21</v>
      </c>
      <c r="AA22">
        <v>21</v>
      </c>
      <c r="AB22" s="342" t="s">
        <v>6444</v>
      </c>
      <c r="AC22" s="336">
        <v>21</v>
      </c>
      <c r="AF22" t="str">
        <v>Tri-Dek #3 2-Ply Pre-Cut Sleeves</v>
      </c>
      <c r="AG22" cm="1">
        <f t="array" ref="AG22:CK22">_xlfn.TOROW(_xlfn.UNIQUE(_xlfn._xlws.FILTER(Table3[Max],Table3[Product Family]=AF22,"")))</f>
        <v>4</v>
      </c>
      <c r="AH22">
        <v>5</v>
      </c>
      <c r="AI22">
        <v>6</v>
      </c>
      <c r="AJ22">
        <v>7</v>
      </c>
      <c r="AK22">
        <v>8</v>
      </c>
      <c r="AL22">
        <v>9</v>
      </c>
      <c r="AM22">
        <v>10</v>
      </c>
      <c r="AN22">
        <v>11</v>
      </c>
      <c r="AO22">
        <v>12</v>
      </c>
      <c r="AP22">
        <v>13</v>
      </c>
      <c r="AQ22">
        <v>14</v>
      </c>
      <c r="AR22">
        <v>15</v>
      </c>
      <c r="AS22">
        <v>16</v>
      </c>
      <c r="AT22">
        <v>17</v>
      </c>
      <c r="AU22">
        <v>18</v>
      </c>
      <c r="AV22">
        <v>19</v>
      </c>
      <c r="AW22">
        <v>20</v>
      </c>
      <c r="AX22">
        <v>21</v>
      </c>
      <c r="AY22">
        <v>22</v>
      </c>
      <c r="AZ22">
        <v>23</v>
      </c>
      <c r="BA22">
        <v>24</v>
      </c>
      <c r="BB22">
        <v>25</v>
      </c>
      <c r="BC22">
        <v>26</v>
      </c>
      <c r="BD22">
        <v>27</v>
      </c>
      <c r="BE22">
        <v>28</v>
      </c>
      <c r="BF22">
        <v>29</v>
      </c>
      <c r="BG22">
        <v>30</v>
      </c>
      <c r="BH22">
        <v>31</v>
      </c>
      <c r="BI22">
        <v>32</v>
      </c>
      <c r="BJ22">
        <v>33</v>
      </c>
      <c r="BK22">
        <v>34</v>
      </c>
      <c r="BL22">
        <v>35</v>
      </c>
      <c r="BM22">
        <v>36</v>
      </c>
      <c r="BN22">
        <v>37</v>
      </c>
      <c r="BO22">
        <v>38</v>
      </c>
      <c r="BP22">
        <v>39</v>
      </c>
      <c r="BQ22">
        <v>40</v>
      </c>
      <c r="BR22">
        <v>41</v>
      </c>
      <c r="BS22">
        <v>42</v>
      </c>
      <c r="BT22">
        <v>43</v>
      </c>
      <c r="BU22">
        <v>44</v>
      </c>
      <c r="BV22">
        <v>45</v>
      </c>
      <c r="BW22">
        <v>46</v>
      </c>
      <c r="BX22">
        <v>47</v>
      </c>
      <c r="BY22">
        <v>48</v>
      </c>
      <c r="BZ22">
        <v>49</v>
      </c>
      <c r="CA22">
        <v>50</v>
      </c>
      <c r="CB22">
        <v>51</v>
      </c>
      <c r="CC22">
        <v>52</v>
      </c>
      <c r="CD22">
        <v>53</v>
      </c>
      <c r="CE22">
        <v>54</v>
      </c>
      <c r="CF22">
        <v>55</v>
      </c>
      <c r="CG22">
        <v>56</v>
      </c>
      <c r="CH22">
        <v>57</v>
      </c>
      <c r="CI22">
        <v>58</v>
      </c>
      <c r="CJ22">
        <v>59</v>
      </c>
      <c r="CK22">
        <v>60</v>
      </c>
    </row>
    <row r="23" spans="1:89" ht="14.25" customHeight="1" thickBot="1">
      <c r="A23" s="551" t="s">
        <v>6438</v>
      </c>
      <c r="B23" s="528" t="s">
        <v>6439</v>
      </c>
      <c r="C23" s="528" t="s">
        <v>6470</v>
      </c>
      <c r="D23" s="528">
        <v>385</v>
      </c>
      <c r="E23" s="528">
        <v>396</v>
      </c>
      <c r="F23" s="552">
        <v>4.88</v>
      </c>
      <c r="G23" s="552">
        <v>5.47</v>
      </c>
      <c r="H23" s="153">
        <f t="shared" si="0"/>
        <v>0.12090163934426226</v>
      </c>
      <c r="K23" s="533" t="s">
        <v>6449</v>
      </c>
      <c r="L23" s="534">
        <f>IF(AND(M14&gt;=4,M14&lt;=8.88),IF(N9&lt;=E76,F76,IF(N9&lt;=E77,F77,IF(N9&lt;=E78,F78,IF(N9&lt;=E79,F79)))),IF(AND(M14&gt;=8.88,M14&lt;=16.875),IF(N9&lt;=E80,F80,IF(N9&lt;=E81,F81,IF(N9&lt;=E82,F82,IF(N9&lt;=E83,F83,IF(N9&lt;=E84,F84,IF(N9&lt;=E85,F85)))))),IF(AND(M14&gt;=16.875,M14&lt;=33.25),IF(N9&lt;=E86,F86,IF(N9&lt;=E87,F87,IF(N9&lt;=E88,F88,IF(N9&lt;=E89,F89,IF(N9&lt;=E90,F90,IF(N9&lt;=E91,F91,IF(N9&lt;=E92,F92,IF(N9&lt;=E93,F93,IF(N9&lt;=E94,F94,IF(N9&lt;=E95,F95)))))))))))))</f>
        <v>8.3330000000000002</v>
      </c>
      <c r="M23" s="519"/>
      <c r="O23" cm="1">
        <f t="array" ref="O23:O96">_xlfn.TOCOL(_xlfn.ANCHORARRAY(_xlfn.XLOOKUP('Sleeves Calc'!F8,AF5:AF15,AG5:AG15)))</f>
        <v>4</v>
      </c>
      <c r="P23" cm="1">
        <f t="array" ref="P23:P53">_xlfn.TOCOL(_xlfn.ANCHORARRAY(_xlfn.XLOOKUP('Sleeves Calc'!F8,AF22:AF23,AG22:AG23)))</f>
        <v>4</v>
      </c>
      <c r="R23" s="507" t="s">
        <v>6251</v>
      </c>
      <c r="S23" s="507"/>
      <c r="T23" s="102"/>
      <c r="U23" s="102"/>
      <c r="V23" s="102"/>
      <c r="X23" s="99"/>
      <c r="Y23" t="s">
        <v>6170</v>
      </c>
      <c r="Z23">
        <v>22</v>
      </c>
      <c r="AA23">
        <v>22</v>
      </c>
      <c r="AB23" s="341" t="s">
        <v>6444</v>
      </c>
      <c r="AC23" s="337">
        <v>22</v>
      </c>
      <c r="AF23" t="str">
        <v>Wire Ring Frames for Pre-Cut Sleeves</v>
      </c>
      <c r="AG23" cm="1">
        <f t="array" ref="AG23:BK23">_xlfn.TOROW(_xlfn.UNIQUE(_xlfn._xlws.FILTER(Table3[Max],Table3[Product Family]=AF23,"")))</f>
        <v>4</v>
      </c>
      <c r="AH23">
        <v>5</v>
      </c>
      <c r="AI23">
        <v>6</v>
      </c>
      <c r="AJ23">
        <v>7</v>
      </c>
      <c r="AK23">
        <v>8</v>
      </c>
      <c r="AL23">
        <v>9</v>
      </c>
      <c r="AM23">
        <v>10</v>
      </c>
      <c r="AN23">
        <v>11</v>
      </c>
      <c r="AO23">
        <v>12</v>
      </c>
      <c r="AP23">
        <v>13</v>
      </c>
      <c r="AQ23">
        <v>14</v>
      </c>
      <c r="AR23">
        <v>15</v>
      </c>
      <c r="AS23">
        <v>16</v>
      </c>
      <c r="AT23">
        <v>17</v>
      </c>
      <c r="AU23">
        <v>18</v>
      </c>
      <c r="AV23">
        <v>19</v>
      </c>
      <c r="AW23">
        <v>20</v>
      </c>
      <c r="AX23">
        <v>21</v>
      </c>
      <c r="AY23">
        <v>22</v>
      </c>
      <c r="AZ23">
        <v>23</v>
      </c>
      <c r="BA23">
        <v>24</v>
      </c>
      <c r="BB23">
        <v>25</v>
      </c>
      <c r="BC23">
        <v>26</v>
      </c>
      <c r="BD23">
        <v>27</v>
      </c>
      <c r="BE23">
        <v>28</v>
      </c>
      <c r="BF23">
        <v>29</v>
      </c>
      <c r="BG23">
        <v>30</v>
      </c>
      <c r="BH23">
        <v>31</v>
      </c>
      <c r="BI23">
        <v>32</v>
      </c>
      <c r="BJ23">
        <v>33</v>
      </c>
      <c r="BK23">
        <v>34</v>
      </c>
    </row>
    <row r="24" spans="1:89" ht="14.25" customHeight="1">
      <c r="A24" s="551" t="s">
        <v>6438</v>
      </c>
      <c r="B24" s="528" t="s">
        <v>6439</v>
      </c>
      <c r="C24" s="528" t="s">
        <v>6471</v>
      </c>
      <c r="D24" s="528">
        <v>397</v>
      </c>
      <c r="E24" s="528">
        <v>408</v>
      </c>
      <c r="F24" s="552">
        <v>5.0199999999999996</v>
      </c>
      <c r="G24" s="552">
        <v>5.62</v>
      </c>
      <c r="H24" s="153">
        <f t="shared" si="0"/>
        <v>0.11952191235059773</v>
      </c>
      <c r="O24">
        <v>5</v>
      </c>
      <c r="P24">
        <v>5</v>
      </c>
      <c r="R24" s="144" t="s">
        <v>6281</v>
      </c>
      <c r="S24" s="145" t="s">
        <v>333</v>
      </c>
      <c r="U24" s="146"/>
      <c r="X24" s="99"/>
      <c r="Y24" t="s">
        <v>6170</v>
      </c>
      <c r="Z24">
        <v>23</v>
      </c>
      <c r="AA24">
        <v>23</v>
      </c>
      <c r="AB24" s="342" t="s">
        <v>6444</v>
      </c>
      <c r="AC24" s="336">
        <v>23</v>
      </c>
    </row>
    <row r="25" spans="1:89">
      <c r="A25" s="551" t="s">
        <v>6438</v>
      </c>
      <c r="B25" s="528" t="s">
        <v>6439</v>
      </c>
      <c r="C25" s="528" t="s">
        <v>6472</v>
      </c>
      <c r="D25" s="528">
        <v>409</v>
      </c>
      <c r="E25" s="528">
        <v>420</v>
      </c>
      <c r="F25" s="552">
        <v>5.16</v>
      </c>
      <c r="G25" s="552">
        <v>5.78</v>
      </c>
      <c r="H25" s="153">
        <f t="shared" si="0"/>
        <v>0.12015503875968994</v>
      </c>
      <c r="L25" s="72"/>
      <c r="O25">
        <v>6</v>
      </c>
      <c r="P25">
        <v>6</v>
      </c>
      <c r="R25" s="144" t="s">
        <v>6282</v>
      </c>
      <c r="S25" s="145" t="s">
        <v>333</v>
      </c>
      <c r="U25" s="147"/>
      <c r="Y25" t="s">
        <v>6170</v>
      </c>
      <c r="Z25">
        <v>24</v>
      </c>
      <c r="AA25">
        <v>24</v>
      </c>
      <c r="AB25" s="341" t="s">
        <v>6444</v>
      </c>
      <c r="AC25" s="337">
        <v>24</v>
      </c>
    </row>
    <row r="26" spans="1:89">
      <c r="A26" s="551" t="s">
        <v>6438</v>
      </c>
      <c r="B26" s="528" t="s">
        <v>6439</v>
      </c>
      <c r="C26" s="528" t="s">
        <v>6473</v>
      </c>
      <c r="D26" s="528">
        <v>421</v>
      </c>
      <c r="E26" s="528">
        <v>432</v>
      </c>
      <c r="F26" s="552">
        <v>5.3</v>
      </c>
      <c r="G26" s="552">
        <v>5.94</v>
      </c>
      <c r="H26" s="153">
        <f t="shared" si="0"/>
        <v>0.12075471698113219</v>
      </c>
      <c r="L26" s="72"/>
      <c r="O26">
        <v>7</v>
      </c>
      <c r="P26">
        <v>7</v>
      </c>
      <c r="R26" s="144" t="s">
        <v>6284</v>
      </c>
      <c r="S26" s="145" t="s">
        <v>333</v>
      </c>
      <c r="U26" s="147"/>
      <c r="Y26" t="s">
        <v>6170</v>
      </c>
      <c r="Z26">
        <v>25</v>
      </c>
      <c r="AA26">
        <v>25</v>
      </c>
      <c r="AB26" s="342" t="s">
        <v>6444</v>
      </c>
      <c r="AC26" s="336">
        <v>25</v>
      </c>
    </row>
    <row r="27" spans="1:89">
      <c r="A27" s="551" t="s">
        <v>6438</v>
      </c>
      <c r="B27" s="528" t="s">
        <v>6439</v>
      </c>
      <c r="C27" s="528" t="s">
        <v>6474</v>
      </c>
      <c r="D27" s="528">
        <v>433</v>
      </c>
      <c r="E27" s="528">
        <v>444</v>
      </c>
      <c r="F27" s="552">
        <v>5.45</v>
      </c>
      <c r="G27" s="552">
        <v>6.1</v>
      </c>
      <c r="H27" s="153">
        <f t="shared" si="0"/>
        <v>0.11926605504587146</v>
      </c>
      <c r="J27" s="526" t="s">
        <v>6475</v>
      </c>
      <c r="K27" s="526"/>
      <c r="L27" s="526"/>
      <c r="O27">
        <v>8</v>
      </c>
      <c r="P27">
        <v>8</v>
      </c>
      <c r="R27" s="144">
        <v>1145100</v>
      </c>
      <c r="S27" s="145" t="s">
        <v>333</v>
      </c>
      <c r="U27" s="147"/>
      <c r="Y27" t="s">
        <v>6170</v>
      </c>
      <c r="Z27">
        <v>26</v>
      </c>
      <c r="AA27">
        <v>26</v>
      </c>
      <c r="AB27" s="341" t="s">
        <v>6444</v>
      </c>
      <c r="AC27" s="337">
        <v>26</v>
      </c>
    </row>
    <row r="28" spans="1:89">
      <c r="A28" s="551" t="s">
        <v>6438</v>
      </c>
      <c r="B28" s="528" t="s">
        <v>6439</v>
      </c>
      <c r="C28" s="528" t="s">
        <v>6476</v>
      </c>
      <c r="D28" s="528">
        <v>445</v>
      </c>
      <c r="E28" s="528">
        <v>456</v>
      </c>
      <c r="F28" s="552">
        <v>5.59</v>
      </c>
      <c r="G28" s="552">
        <v>6.26</v>
      </c>
      <c r="H28" s="153">
        <f t="shared" si="0"/>
        <v>0.11985688729874776</v>
      </c>
      <c r="J28" s="527" t="s">
        <v>6477</v>
      </c>
      <c r="K28" s="528" t="s">
        <v>6478</v>
      </c>
      <c r="L28" s="529" t="s">
        <v>370</v>
      </c>
      <c r="O28">
        <v>9</v>
      </c>
      <c r="P28">
        <v>9</v>
      </c>
      <c r="R28" s="144" t="s">
        <v>6285</v>
      </c>
      <c r="S28" s="145" t="s">
        <v>333</v>
      </c>
      <c r="U28" s="147"/>
      <c r="Y28" t="s">
        <v>6170</v>
      </c>
      <c r="Z28">
        <v>27</v>
      </c>
      <c r="AA28">
        <v>27</v>
      </c>
      <c r="AB28" s="342" t="s">
        <v>6444</v>
      </c>
      <c r="AC28" s="336">
        <v>27</v>
      </c>
    </row>
    <row r="29" spans="1:89">
      <c r="A29" s="551" t="s">
        <v>6438</v>
      </c>
      <c r="B29" s="528" t="s">
        <v>6439</v>
      </c>
      <c r="C29" s="528" t="s">
        <v>6479</v>
      </c>
      <c r="D29" s="528">
        <v>457</v>
      </c>
      <c r="E29" s="528">
        <v>468</v>
      </c>
      <c r="F29" s="552">
        <v>5.73</v>
      </c>
      <c r="G29" s="552">
        <v>6.42</v>
      </c>
      <c r="H29" s="153">
        <f t="shared" si="0"/>
        <v>0.12041884816753917</v>
      </c>
      <c r="J29" s="527" t="s">
        <v>6480</v>
      </c>
      <c r="K29" s="519">
        <v>26</v>
      </c>
      <c r="L29" s="530">
        <v>50</v>
      </c>
      <c r="O29">
        <v>10</v>
      </c>
      <c r="P29">
        <v>10</v>
      </c>
      <c r="R29" s="144" t="s">
        <v>6286</v>
      </c>
      <c r="S29" s="145" t="s">
        <v>333</v>
      </c>
      <c r="U29" s="147"/>
      <c r="Y29" t="s">
        <v>6170</v>
      </c>
      <c r="Z29">
        <v>28</v>
      </c>
      <c r="AA29">
        <v>28</v>
      </c>
      <c r="AB29" s="341" t="s">
        <v>6444</v>
      </c>
      <c r="AC29" s="337">
        <v>28</v>
      </c>
    </row>
    <row r="30" spans="1:89">
      <c r="A30" s="551" t="s">
        <v>6438</v>
      </c>
      <c r="B30" s="528" t="s">
        <v>6439</v>
      </c>
      <c r="C30" s="528" t="s">
        <v>6481</v>
      </c>
      <c r="D30" s="528">
        <v>469</v>
      </c>
      <c r="E30" s="528">
        <v>480</v>
      </c>
      <c r="F30" s="552">
        <v>5.88</v>
      </c>
      <c r="G30" s="552">
        <v>6.59</v>
      </c>
      <c r="H30" s="153">
        <f t="shared" si="0"/>
        <v>0.12074829931972789</v>
      </c>
      <c r="J30" s="527" t="s">
        <v>6482</v>
      </c>
      <c r="K30" s="519">
        <v>60</v>
      </c>
      <c r="L30" s="530">
        <v>25</v>
      </c>
      <c r="N30" s="539" t="s">
        <v>6483</v>
      </c>
      <c r="O30">
        <v>11</v>
      </c>
      <c r="P30">
        <v>11</v>
      </c>
      <c r="R30" s="144" t="s">
        <v>6287</v>
      </c>
      <c r="S30" s="145" t="s">
        <v>333</v>
      </c>
      <c r="U30" s="147"/>
      <c r="Y30" t="s">
        <v>6170</v>
      </c>
      <c r="Z30">
        <v>29</v>
      </c>
      <c r="AA30">
        <v>29</v>
      </c>
      <c r="AB30" s="342" t="s">
        <v>6444</v>
      </c>
      <c r="AC30" s="336">
        <v>29</v>
      </c>
    </row>
    <row r="31" spans="1:89">
      <c r="A31" s="551" t="s">
        <v>6438</v>
      </c>
      <c r="B31" s="528" t="s">
        <v>6439</v>
      </c>
      <c r="C31" s="528" t="s">
        <v>6484</v>
      </c>
      <c r="D31" s="528">
        <v>481</v>
      </c>
      <c r="E31" s="528">
        <v>492</v>
      </c>
      <c r="F31" s="552">
        <v>6.02</v>
      </c>
      <c r="G31" s="552">
        <v>6.74</v>
      </c>
      <c r="H31" s="153">
        <f t="shared" si="0"/>
        <v>0.1196013289036546</v>
      </c>
      <c r="J31" s="527" t="s">
        <v>6485</v>
      </c>
      <c r="K31" s="519">
        <v>90</v>
      </c>
      <c r="L31" s="530">
        <v>17</v>
      </c>
      <c r="N31" s="540">
        <f>IF(N36&lt;=K36,L36,IF(N36&lt;=K37,L37,IF(N36&lt;=K38,L38,IF(N36&lt;=K39,L39,IF(N36&lt;=K40,L40,"")))))</f>
        <v>4</v>
      </c>
      <c r="O31">
        <v>12</v>
      </c>
      <c r="P31">
        <v>12</v>
      </c>
      <c r="R31" s="144">
        <v>1146100</v>
      </c>
      <c r="S31" s="145" t="s">
        <v>333</v>
      </c>
      <c r="U31" s="147"/>
      <c r="Y31" t="s">
        <v>6170</v>
      </c>
      <c r="Z31">
        <v>30</v>
      </c>
      <c r="AA31">
        <v>30</v>
      </c>
      <c r="AB31" s="341" t="s">
        <v>6444</v>
      </c>
      <c r="AC31" s="337">
        <v>30</v>
      </c>
    </row>
    <row r="32" spans="1:89">
      <c r="A32" s="551" t="s">
        <v>6438</v>
      </c>
      <c r="B32" s="528" t="s">
        <v>6439</v>
      </c>
      <c r="C32" s="528" t="s">
        <v>6486</v>
      </c>
      <c r="D32" s="528">
        <v>493</v>
      </c>
      <c r="E32" s="528">
        <v>504</v>
      </c>
      <c r="F32" s="552">
        <v>6.16</v>
      </c>
      <c r="G32" s="552">
        <v>6.9</v>
      </c>
      <c r="H32" s="153">
        <f t="shared" si="0"/>
        <v>0.12012987012987016</v>
      </c>
      <c r="J32" s="527" t="s">
        <v>6487</v>
      </c>
      <c r="K32" s="519">
        <v>120</v>
      </c>
      <c r="L32" s="530">
        <v>13</v>
      </c>
      <c r="N32" s="540" t="str">
        <f>CONCATENATE("-",N31,"CW")</f>
        <v>-4CW</v>
      </c>
      <c r="O32">
        <v>13</v>
      </c>
      <c r="P32">
        <v>13</v>
      </c>
      <c r="R32" s="144" t="s">
        <v>6288</v>
      </c>
      <c r="S32" s="145" t="s">
        <v>333</v>
      </c>
      <c r="U32" s="147"/>
      <c r="Y32" t="s">
        <v>6170</v>
      </c>
      <c r="Z32">
        <v>31</v>
      </c>
      <c r="AA32">
        <v>31</v>
      </c>
      <c r="AB32" s="342" t="s">
        <v>6444</v>
      </c>
      <c r="AC32" s="336">
        <v>31</v>
      </c>
    </row>
    <row r="33" spans="1:29">
      <c r="A33" s="551" t="s">
        <v>6438</v>
      </c>
      <c r="B33" s="528" t="s">
        <v>6439</v>
      </c>
      <c r="C33" s="528" t="s">
        <v>6488</v>
      </c>
      <c r="D33" s="528">
        <v>505</v>
      </c>
      <c r="E33" s="528">
        <v>516</v>
      </c>
      <c r="F33" s="552">
        <v>6.31</v>
      </c>
      <c r="G33" s="552">
        <v>7.07</v>
      </c>
      <c r="H33" s="153">
        <f t="shared" si="0"/>
        <v>0.12044374009508728</v>
      </c>
      <c r="J33" s="116"/>
      <c r="K33" s="116"/>
      <c r="L33" s="116"/>
      <c r="O33">
        <v>14</v>
      </c>
      <c r="P33">
        <v>14</v>
      </c>
      <c r="R33" s="144" t="s">
        <v>6289</v>
      </c>
      <c r="S33" s="145" t="s">
        <v>333</v>
      </c>
      <c r="U33" s="147"/>
      <c r="Y33" t="s">
        <v>6170</v>
      </c>
      <c r="Z33">
        <v>32</v>
      </c>
      <c r="AA33">
        <v>32</v>
      </c>
      <c r="AB33" s="341" t="s">
        <v>6444</v>
      </c>
      <c r="AC33" s="337">
        <v>32</v>
      </c>
    </row>
    <row r="34" spans="1:29">
      <c r="A34" s="551" t="s">
        <v>6438</v>
      </c>
      <c r="B34" s="528" t="s">
        <v>6439</v>
      </c>
      <c r="C34" s="528" t="s">
        <v>6489</v>
      </c>
      <c r="D34" s="528">
        <v>517</v>
      </c>
      <c r="E34" s="528">
        <v>528</v>
      </c>
      <c r="F34" s="552">
        <v>6.45</v>
      </c>
      <c r="G34" s="552">
        <v>7.22</v>
      </c>
      <c r="H34" s="153">
        <f t="shared" si="0"/>
        <v>0.11937984496124024</v>
      </c>
      <c r="J34" s="494" t="s">
        <v>6490</v>
      </c>
      <c r="K34" s="494"/>
      <c r="L34" s="494"/>
      <c r="O34">
        <v>15</v>
      </c>
      <c r="P34">
        <v>15</v>
      </c>
      <c r="R34" s="144" t="s">
        <v>6290</v>
      </c>
      <c r="S34" s="145" t="s">
        <v>333</v>
      </c>
      <c r="U34" s="147"/>
      <c r="Y34" t="s">
        <v>6170</v>
      </c>
      <c r="Z34">
        <v>33</v>
      </c>
      <c r="AA34">
        <v>33</v>
      </c>
      <c r="AB34" s="342" t="s">
        <v>6444</v>
      </c>
      <c r="AC34" s="336">
        <v>33</v>
      </c>
    </row>
    <row r="35" spans="1:29">
      <c r="A35" s="551" t="s">
        <v>6438</v>
      </c>
      <c r="B35" s="528" t="s">
        <v>6439</v>
      </c>
      <c r="C35" s="528" t="s">
        <v>6491</v>
      </c>
      <c r="D35" s="528">
        <v>529</v>
      </c>
      <c r="E35" s="528">
        <v>540</v>
      </c>
      <c r="F35" s="552">
        <v>6.59</v>
      </c>
      <c r="G35" s="552">
        <v>7.38</v>
      </c>
      <c r="H35" s="153">
        <f t="shared" si="0"/>
        <v>0.11987860394537178</v>
      </c>
      <c r="J35" s="528"/>
      <c r="K35" s="519" t="s">
        <v>6492</v>
      </c>
      <c r="L35" s="519" t="s">
        <v>6493</v>
      </c>
      <c r="N35" s="539" t="s">
        <v>6492</v>
      </c>
      <c r="O35">
        <v>16</v>
      </c>
      <c r="P35">
        <v>16</v>
      </c>
      <c r="R35" s="144">
        <v>1147100</v>
      </c>
      <c r="S35" s="145" t="s">
        <v>333</v>
      </c>
      <c r="U35" s="147"/>
      <c r="Y35" t="s">
        <v>6170</v>
      </c>
      <c r="Z35">
        <v>34</v>
      </c>
      <c r="AA35">
        <v>34</v>
      </c>
      <c r="AB35" s="341" t="s">
        <v>6444</v>
      </c>
      <c r="AC35" s="337">
        <v>34</v>
      </c>
    </row>
    <row r="36" spans="1:29">
      <c r="A36" s="551" t="s">
        <v>6438</v>
      </c>
      <c r="B36" s="528" t="s">
        <v>6439</v>
      </c>
      <c r="C36" s="528" t="s">
        <v>6494</v>
      </c>
      <c r="D36" s="528">
        <v>541</v>
      </c>
      <c r="E36" s="528">
        <v>552</v>
      </c>
      <c r="F36" s="552">
        <v>6.73</v>
      </c>
      <c r="G36" s="552">
        <v>7.54</v>
      </c>
      <c r="H36" s="153">
        <f t="shared" si="0"/>
        <v>0.12035661218424956</v>
      </c>
      <c r="J36" s="528" t="s">
        <v>6495</v>
      </c>
      <c r="K36" s="519">
        <v>11.25</v>
      </c>
      <c r="L36" s="519">
        <v>0</v>
      </c>
      <c r="N36" s="540">
        <f>IF(M14&gt;O14,M14,O14)</f>
        <v>71</v>
      </c>
      <c r="O36">
        <v>17</v>
      </c>
      <c r="P36">
        <v>17</v>
      </c>
      <c r="R36" s="144" t="s">
        <v>6291</v>
      </c>
      <c r="S36" s="145" t="s">
        <v>333</v>
      </c>
      <c r="U36" s="147"/>
      <c r="Y36" t="s">
        <v>6170</v>
      </c>
      <c r="Z36">
        <v>35</v>
      </c>
      <c r="AA36">
        <v>35</v>
      </c>
      <c r="AB36" s="342" t="s">
        <v>6444</v>
      </c>
      <c r="AC36" s="336">
        <v>35</v>
      </c>
    </row>
    <row r="37" spans="1:29">
      <c r="A37" s="551" t="s">
        <v>6438</v>
      </c>
      <c r="B37" s="528" t="s">
        <v>6439</v>
      </c>
      <c r="C37" s="528" t="s">
        <v>6496</v>
      </c>
      <c r="D37" s="528">
        <v>553</v>
      </c>
      <c r="E37" s="528">
        <v>564</v>
      </c>
      <c r="F37" s="552">
        <v>6.88</v>
      </c>
      <c r="G37" s="552">
        <v>7.71</v>
      </c>
      <c r="H37" s="153">
        <f t="shared" si="0"/>
        <v>0.12063953488372094</v>
      </c>
      <c r="J37" s="528" t="s">
        <v>6495</v>
      </c>
      <c r="K37" s="519">
        <v>21.75</v>
      </c>
      <c r="L37" s="519">
        <v>1</v>
      </c>
      <c r="O37">
        <v>18</v>
      </c>
      <c r="P37">
        <v>18</v>
      </c>
      <c r="R37" s="144" t="s">
        <v>6292</v>
      </c>
      <c r="S37" s="145" t="s">
        <v>333</v>
      </c>
      <c r="U37" s="147"/>
      <c r="Y37" t="s">
        <v>6170</v>
      </c>
      <c r="Z37">
        <v>36</v>
      </c>
      <c r="AA37">
        <v>36</v>
      </c>
      <c r="AB37" s="341" t="s">
        <v>6444</v>
      </c>
      <c r="AC37" s="337">
        <v>36</v>
      </c>
    </row>
    <row r="38" spans="1:29">
      <c r="A38" s="551" t="s">
        <v>6438</v>
      </c>
      <c r="B38" s="528" t="s">
        <v>6439</v>
      </c>
      <c r="C38" s="528" t="s">
        <v>6497</v>
      </c>
      <c r="D38" s="528">
        <v>565</v>
      </c>
      <c r="E38" s="528">
        <v>576</v>
      </c>
      <c r="F38" s="552">
        <v>7.02</v>
      </c>
      <c r="G38" s="552">
        <v>7.86</v>
      </c>
      <c r="H38" s="153">
        <f t="shared" si="0"/>
        <v>0.11965811965811977</v>
      </c>
      <c r="J38" s="528" t="s">
        <v>6495</v>
      </c>
      <c r="K38" s="519">
        <v>45.75</v>
      </c>
      <c r="L38" s="519">
        <v>2</v>
      </c>
      <c r="N38" s="16" t="s">
        <v>6498</v>
      </c>
      <c r="O38">
        <v>19</v>
      </c>
      <c r="P38">
        <v>19</v>
      </c>
      <c r="R38" s="144" t="s">
        <v>6293</v>
      </c>
      <c r="S38" s="145" t="s">
        <v>333</v>
      </c>
      <c r="U38" s="147"/>
      <c r="Y38" t="s">
        <v>6170</v>
      </c>
      <c r="Z38">
        <v>37</v>
      </c>
      <c r="AA38">
        <v>37</v>
      </c>
      <c r="AB38" s="342" t="s">
        <v>6444</v>
      </c>
      <c r="AC38" s="336">
        <v>37</v>
      </c>
    </row>
    <row r="39" spans="1:29">
      <c r="A39" s="551" t="s">
        <v>6438</v>
      </c>
      <c r="B39" s="528" t="s">
        <v>6439</v>
      </c>
      <c r="C39" s="528" t="s">
        <v>6499</v>
      </c>
      <c r="D39" s="528">
        <v>577</v>
      </c>
      <c r="E39" s="528">
        <v>588</v>
      </c>
      <c r="F39" s="552">
        <v>7.16</v>
      </c>
      <c r="G39" s="552">
        <v>8.02</v>
      </c>
      <c r="H39" s="153">
        <f t="shared" si="0"/>
        <v>0.12011173184357533</v>
      </c>
      <c r="J39" s="528" t="s">
        <v>6495</v>
      </c>
      <c r="K39" s="519">
        <v>66</v>
      </c>
      <c r="L39" s="519">
        <v>3</v>
      </c>
      <c r="M39" s="73" t="s">
        <v>381</v>
      </c>
      <c r="N39" t="str">
        <f>IF(AND(N8=K8,O15&gt;L48),"Over max length, please review",IF(AND(N8=K8,M15&gt;L50),"Over max height, please review",IF(AND(N8=K9,O15&gt;L49),"Over max length, please review",IF(AND(N8=K9,M15&gt;L51),"Over max height, please review",""))))</f>
        <v/>
      </c>
      <c r="O39">
        <v>20</v>
      </c>
      <c r="P39">
        <v>20</v>
      </c>
      <c r="R39" s="144">
        <v>1148100</v>
      </c>
      <c r="S39" s="145" t="s">
        <v>333</v>
      </c>
      <c r="U39" s="147"/>
      <c r="Y39" t="s">
        <v>6170</v>
      </c>
      <c r="Z39">
        <v>38</v>
      </c>
      <c r="AA39">
        <v>38</v>
      </c>
      <c r="AB39" s="341" t="s">
        <v>6444</v>
      </c>
      <c r="AC39" s="337">
        <v>38</v>
      </c>
    </row>
    <row r="40" spans="1:29">
      <c r="A40" s="551" t="s">
        <v>6438</v>
      </c>
      <c r="B40" s="528" t="s">
        <v>6439</v>
      </c>
      <c r="C40" s="528" t="s">
        <v>6500</v>
      </c>
      <c r="D40" s="528">
        <v>589</v>
      </c>
      <c r="E40" s="528">
        <v>600</v>
      </c>
      <c r="F40" s="552">
        <v>7.31</v>
      </c>
      <c r="G40" s="552">
        <v>8.19</v>
      </c>
      <c r="H40" s="153">
        <f t="shared" si="0"/>
        <v>0.12038303693570451</v>
      </c>
      <c r="J40" s="528" t="s">
        <v>6495</v>
      </c>
      <c r="K40" s="519">
        <v>77.25</v>
      </c>
      <c r="L40" s="519">
        <v>4</v>
      </c>
      <c r="M40" s="73" t="s">
        <v>380</v>
      </c>
      <c r="N40" t="str">
        <f>IF(AND(N8=K8,O15&lt;K48),"Over max length, please review",IF(AND(N8=K8,M15&lt;K50),"Over max height, please review",IF(AND(N8=K9,O15&lt;K49),"Over max length, please review",IF(AND(N8=K9,M15&lt;K51),"Over max height, please review",""))))</f>
        <v/>
      </c>
      <c r="O40">
        <v>21</v>
      </c>
      <c r="P40">
        <v>21</v>
      </c>
      <c r="R40" s="144" t="s">
        <v>6294</v>
      </c>
      <c r="S40" s="145" t="s">
        <v>333</v>
      </c>
      <c r="U40" s="147"/>
      <c r="Y40" t="s">
        <v>6170</v>
      </c>
      <c r="Z40">
        <v>39</v>
      </c>
      <c r="AA40">
        <v>39</v>
      </c>
      <c r="AB40" s="342" t="s">
        <v>6444</v>
      </c>
      <c r="AC40" s="336">
        <v>39</v>
      </c>
    </row>
    <row r="41" spans="1:29">
      <c r="A41" s="551" t="s">
        <v>6438</v>
      </c>
      <c r="B41" s="528" t="s">
        <v>6439</v>
      </c>
      <c r="C41" s="528" t="s">
        <v>6501</v>
      </c>
      <c r="D41" s="528">
        <v>601</v>
      </c>
      <c r="E41" s="528">
        <v>612</v>
      </c>
      <c r="F41" s="552">
        <v>7.45</v>
      </c>
      <c r="G41" s="552">
        <v>8.34</v>
      </c>
      <c r="H41" s="153">
        <f t="shared" si="0"/>
        <v>0.11946308724832211</v>
      </c>
      <c r="J41" s="116"/>
      <c r="K41" s="116"/>
      <c r="L41" s="116"/>
      <c r="N41" t="str">
        <f>IF(N39="",IF(N40="","",N40),N39)</f>
        <v/>
      </c>
      <c r="O41">
        <v>22</v>
      </c>
      <c r="P41">
        <v>22</v>
      </c>
      <c r="R41" s="144" t="s">
        <v>6295</v>
      </c>
      <c r="S41" s="145" t="s">
        <v>333</v>
      </c>
      <c r="U41" s="147"/>
      <c r="Y41" t="s">
        <v>6170</v>
      </c>
      <c r="Z41">
        <v>40</v>
      </c>
      <c r="AA41">
        <v>40</v>
      </c>
      <c r="AB41" s="341" t="s">
        <v>6444</v>
      </c>
      <c r="AC41" s="337">
        <v>40</v>
      </c>
    </row>
    <row r="42" spans="1:29">
      <c r="A42" s="551" t="s">
        <v>6438</v>
      </c>
      <c r="B42" s="528" t="s">
        <v>6439</v>
      </c>
      <c r="C42" s="528" t="s">
        <v>6502</v>
      </c>
      <c r="D42" s="528">
        <v>613</v>
      </c>
      <c r="E42" s="528">
        <v>624</v>
      </c>
      <c r="F42" s="552">
        <v>7.59</v>
      </c>
      <c r="G42" s="552">
        <v>8.5</v>
      </c>
      <c r="H42" s="153">
        <f t="shared" si="0"/>
        <v>0.11989459815546774</v>
      </c>
      <c r="J42" s="116" t="s">
        <v>6503</v>
      </c>
      <c r="K42" s="116" t="s">
        <v>6504</v>
      </c>
      <c r="L42" s="118"/>
      <c r="N42" s="16" t="s">
        <v>6505</v>
      </c>
      <c r="O42">
        <v>23</v>
      </c>
      <c r="P42">
        <v>23</v>
      </c>
      <c r="R42" s="144" t="s">
        <v>6296</v>
      </c>
      <c r="S42" s="145" t="s">
        <v>333</v>
      </c>
      <c r="U42" s="147"/>
      <c r="Y42" t="s">
        <v>6170</v>
      </c>
      <c r="Z42">
        <v>41</v>
      </c>
      <c r="AA42">
        <v>41</v>
      </c>
      <c r="AB42" s="342" t="s">
        <v>6444</v>
      </c>
      <c r="AC42" s="336">
        <v>41</v>
      </c>
    </row>
    <row r="43" spans="1:29">
      <c r="A43" s="551" t="s">
        <v>6438</v>
      </c>
      <c r="B43" s="528" t="s">
        <v>6439</v>
      </c>
      <c r="C43" s="528" t="s">
        <v>6506</v>
      </c>
      <c r="D43" s="528">
        <v>625</v>
      </c>
      <c r="E43" s="528">
        <v>636</v>
      </c>
      <c r="F43" s="552">
        <v>7.74</v>
      </c>
      <c r="G43" s="552">
        <v>8.67</v>
      </c>
      <c r="H43" s="153">
        <f t="shared" si="0"/>
        <v>0.12015503875968989</v>
      </c>
      <c r="J43" s="116" t="s">
        <v>6507</v>
      </c>
      <c r="K43" s="116" t="s">
        <v>6508</v>
      </c>
      <c r="L43" s="116"/>
      <c r="N43" t="str">
        <f>IF(N41="",IFERROR(VLOOKUP(R20,R24:S192,2,FALSE),""),N41)</f>
        <v/>
      </c>
      <c r="O43">
        <v>24</v>
      </c>
      <c r="P43">
        <v>24</v>
      </c>
      <c r="R43" s="144">
        <v>1149100</v>
      </c>
      <c r="S43" s="145" t="s">
        <v>333</v>
      </c>
      <c r="U43" s="147"/>
      <c r="Y43" t="s">
        <v>6170</v>
      </c>
      <c r="Z43">
        <v>42</v>
      </c>
      <c r="AA43">
        <v>42</v>
      </c>
      <c r="AB43" s="341" t="s">
        <v>6444</v>
      </c>
      <c r="AC43" s="337">
        <v>42</v>
      </c>
    </row>
    <row r="44" spans="1:29">
      <c r="A44" s="551" t="s">
        <v>6438</v>
      </c>
      <c r="B44" s="528" t="s">
        <v>6439</v>
      </c>
      <c r="C44" s="528" t="s">
        <v>6509</v>
      </c>
      <c r="D44" s="528">
        <v>637</v>
      </c>
      <c r="E44" s="528">
        <v>648</v>
      </c>
      <c r="F44" s="552">
        <v>7.88</v>
      </c>
      <c r="G44" s="552">
        <v>8.83</v>
      </c>
      <c r="H44" s="153">
        <f t="shared" si="0"/>
        <v>0.12055837563451779</v>
      </c>
      <c r="O44">
        <v>25</v>
      </c>
      <c r="P44">
        <v>25</v>
      </c>
      <c r="R44" s="144" t="s">
        <v>6297</v>
      </c>
      <c r="S44" s="145" t="s">
        <v>333</v>
      </c>
      <c r="U44" s="147"/>
      <c r="Y44" t="s">
        <v>6170</v>
      </c>
      <c r="Z44">
        <v>43</v>
      </c>
      <c r="AA44">
        <v>43</v>
      </c>
      <c r="AB44" s="342" t="s">
        <v>6444</v>
      </c>
      <c r="AC44" s="336">
        <v>43</v>
      </c>
    </row>
    <row r="45" spans="1:29">
      <c r="A45" s="551" t="s">
        <v>6438</v>
      </c>
      <c r="B45" s="528" t="s">
        <v>6439</v>
      </c>
      <c r="C45" s="528" t="s">
        <v>6510</v>
      </c>
      <c r="D45" s="528">
        <v>649</v>
      </c>
      <c r="E45" s="528">
        <v>660</v>
      </c>
      <c r="F45" s="552">
        <v>8.02</v>
      </c>
      <c r="G45" s="552">
        <v>8.98</v>
      </c>
      <c r="H45" s="153">
        <f t="shared" si="0"/>
        <v>0.11970074812967592</v>
      </c>
      <c r="J45" t="s">
        <v>6511</v>
      </c>
      <c r="K45" s="101"/>
      <c r="L45" s="101"/>
      <c r="O45">
        <v>26</v>
      </c>
      <c r="P45">
        <v>26</v>
      </c>
      <c r="R45" s="144" t="s">
        <v>6298</v>
      </c>
      <c r="S45" s="145" t="s">
        <v>333</v>
      </c>
      <c r="U45" s="147"/>
      <c r="Y45" t="s">
        <v>6170</v>
      </c>
      <c r="Z45">
        <v>44</v>
      </c>
      <c r="AA45">
        <v>44</v>
      </c>
      <c r="AB45" s="341" t="s">
        <v>6444</v>
      </c>
      <c r="AC45" s="337">
        <v>44</v>
      </c>
    </row>
    <row r="46" spans="1:29">
      <c r="A46" s="551" t="s">
        <v>6438</v>
      </c>
      <c r="B46" s="528" t="s">
        <v>6439</v>
      </c>
      <c r="C46" s="528" t="s">
        <v>6512</v>
      </c>
      <c r="D46" s="528">
        <v>661</v>
      </c>
      <c r="E46" s="528">
        <v>672</v>
      </c>
      <c r="F46" s="552">
        <v>8.16</v>
      </c>
      <c r="G46" s="552">
        <v>9.14</v>
      </c>
      <c r="H46" s="153">
        <f t="shared" si="0"/>
        <v>0.12009803921568632</v>
      </c>
      <c r="J46" s="148"/>
      <c r="K46" s="101"/>
      <c r="L46" s="101"/>
      <c r="O46">
        <v>27</v>
      </c>
      <c r="P46">
        <v>27</v>
      </c>
      <c r="R46" s="144" t="s">
        <v>6299</v>
      </c>
      <c r="S46" s="145" t="s">
        <v>333</v>
      </c>
      <c r="U46" s="147"/>
      <c r="Y46" t="s">
        <v>6170</v>
      </c>
      <c r="Z46">
        <v>45</v>
      </c>
      <c r="AA46">
        <v>45</v>
      </c>
      <c r="AB46" s="342" t="s">
        <v>6444</v>
      </c>
      <c r="AC46" s="336">
        <v>45</v>
      </c>
    </row>
    <row r="47" spans="1:29">
      <c r="A47" s="551" t="s">
        <v>6438</v>
      </c>
      <c r="B47" s="528" t="s">
        <v>6439</v>
      </c>
      <c r="C47" s="528" t="s">
        <v>6513</v>
      </c>
      <c r="D47" s="528">
        <v>673</v>
      </c>
      <c r="E47" s="528">
        <v>684</v>
      </c>
      <c r="F47" s="552">
        <v>8.31</v>
      </c>
      <c r="G47" s="552">
        <v>9.31</v>
      </c>
      <c r="H47" s="153">
        <f t="shared" si="0"/>
        <v>0.12033694344163658</v>
      </c>
      <c r="J47" s="528"/>
      <c r="K47" s="524" t="s">
        <v>380</v>
      </c>
      <c r="L47" s="524" t="s">
        <v>381</v>
      </c>
      <c r="O47">
        <v>28</v>
      </c>
      <c r="P47">
        <v>28</v>
      </c>
      <c r="R47" s="144">
        <v>11410100</v>
      </c>
      <c r="S47" s="145" t="s">
        <v>333</v>
      </c>
      <c r="U47" s="147"/>
      <c r="Y47" t="s">
        <v>6170</v>
      </c>
      <c r="Z47">
        <v>46</v>
      </c>
      <c r="AA47">
        <v>46</v>
      </c>
      <c r="AB47" s="341" t="s">
        <v>6444</v>
      </c>
      <c r="AC47" s="337">
        <v>46</v>
      </c>
    </row>
    <row r="48" spans="1:29">
      <c r="A48" s="551" t="s">
        <v>6438</v>
      </c>
      <c r="B48" s="528" t="s">
        <v>6439</v>
      </c>
      <c r="C48" s="528" t="s">
        <v>6514</v>
      </c>
      <c r="D48" s="528">
        <v>685</v>
      </c>
      <c r="E48" s="528">
        <v>696</v>
      </c>
      <c r="F48" s="552">
        <v>8.4499999999999993</v>
      </c>
      <c r="G48" s="552">
        <v>9.4600000000000009</v>
      </c>
      <c r="H48" s="153">
        <f t="shared" si="0"/>
        <v>0.1195266272189351</v>
      </c>
      <c r="J48" s="548" t="s">
        <v>6515</v>
      </c>
      <c r="K48" s="519">
        <v>4.5</v>
      </c>
      <c r="L48" s="519">
        <v>100</v>
      </c>
      <c r="O48">
        <v>29</v>
      </c>
      <c r="P48">
        <v>29</v>
      </c>
      <c r="R48" s="144" t="s">
        <v>6300</v>
      </c>
      <c r="S48" s="145" t="s">
        <v>333</v>
      </c>
      <c r="U48" s="147"/>
      <c r="Y48" t="s">
        <v>6170</v>
      </c>
      <c r="Z48">
        <v>47</v>
      </c>
      <c r="AA48">
        <v>47</v>
      </c>
      <c r="AB48" s="342" t="s">
        <v>6444</v>
      </c>
      <c r="AC48" s="336">
        <v>47</v>
      </c>
    </row>
    <row r="49" spans="1:29">
      <c r="A49" s="551" t="s">
        <v>6438</v>
      </c>
      <c r="B49" s="528" t="s">
        <v>6439</v>
      </c>
      <c r="C49" s="528" t="s">
        <v>6516</v>
      </c>
      <c r="D49" s="528">
        <v>697</v>
      </c>
      <c r="E49" s="528">
        <v>708</v>
      </c>
      <c r="F49" s="552">
        <v>8.59</v>
      </c>
      <c r="G49" s="552">
        <v>9.6199999999999992</v>
      </c>
      <c r="H49" s="153">
        <f t="shared" si="0"/>
        <v>0.11990686845168794</v>
      </c>
      <c r="J49" s="548" t="s">
        <v>6517</v>
      </c>
      <c r="K49" s="519">
        <v>4</v>
      </c>
      <c r="L49" s="519">
        <v>77.25</v>
      </c>
      <c r="O49">
        <v>30</v>
      </c>
      <c r="P49">
        <v>30</v>
      </c>
      <c r="R49" s="144" t="s">
        <v>6301</v>
      </c>
      <c r="S49" s="145" t="s">
        <v>333</v>
      </c>
      <c r="U49" s="147"/>
      <c r="Y49" t="s">
        <v>6170</v>
      </c>
      <c r="Z49">
        <v>48</v>
      </c>
      <c r="AA49">
        <v>48</v>
      </c>
      <c r="AB49" s="341" t="s">
        <v>6444</v>
      </c>
      <c r="AC49" s="337">
        <v>48</v>
      </c>
    </row>
    <row r="50" spans="1:29">
      <c r="A50" s="551" t="s">
        <v>6438</v>
      </c>
      <c r="B50" s="528" t="s">
        <v>6439</v>
      </c>
      <c r="C50" s="528" t="s">
        <v>6518</v>
      </c>
      <c r="D50" s="528">
        <v>709</v>
      </c>
      <c r="E50" s="528">
        <v>720</v>
      </c>
      <c r="F50" s="552">
        <v>8.74</v>
      </c>
      <c r="G50" s="552">
        <v>9.7899999999999991</v>
      </c>
      <c r="H50" s="153">
        <f t="shared" si="0"/>
        <v>0.12013729977116692</v>
      </c>
      <c r="J50" s="548" t="s">
        <v>6519</v>
      </c>
      <c r="K50" s="519">
        <v>4.5</v>
      </c>
      <c r="L50" s="519">
        <v>60</v>
      </c>
      <c r="O50">
        <v>31</v>
      </c>
      <c r="P50">
        <v>31</v>
      </c>
      <c r="R50" s="144" t="s">
        <v>6302</v>
      </c>
      <c r="S50" s="145" t="s">
        <v>333</v>
      </c>
      <c r="U50" s="147"/>
      <c r="Y50" t="s">
        <v>6170</v>
      </c>
      <c r="Z50">
        <v>49</v>
      </c>
      <c r="AA50">
        <v>49</v>
      </c>
      <c r="AB50" s="342" t="s">
        <v>6444</v>
      </c>
      <c r="AC50" s="336">
        <v>49</v>
      </c>
    </row>
    <row r="51" spans="1:29">
      <c r="A51" s="551" t="s">
        <v>6438</v>
      </c>
      <c r="B51" s="528" t="s">
        <v>6439</v>
      </c>
      <c r="C51" s="528" t="s">
        <v>6520</v>
      </c>
      <c r="D51" s="528">
        <v>721</v>
      </c>
      <c r="E51" s="528">
        <v>732</v>
      </c>
      <c r="F51" s="552">
        <v>8.8800000000000008</v>
      </c>
      <c r="G51" s="552">
        <v>9.9499999999999993</v>
      </c>
      <c r="H51" s="153">
        <f t="shared" si="0"/>
        <v>0.12049549549549532</v>
      </c>
      <c r="J51" s="548" t="s">
        <v>6521</v>
      </c>
      <c r="K51" s="519">
        <v>4</v>
      </c>
      <c r="L51" s="519">
        <v>33.25</v>
      </c>
      <c r="O51">
        <v>32</v>
      </c>
      <c r="P51">
        <v>32</v>
      </c>
      <c r="R51" s="144">
        <v>11411100</v>
      </c>
      <c r="S51" s="145" t="s">
        <v>333</v>
      </c>
      <c r="U51" s="147"/>
      <c r="Y51" t="s">
        <v>6170</v>
      </c>
      <c r="Z51">
        <v>50</v>
      </c>
      <c r="AA51">
        <v>50</v>
      </c>
      <c r="AB51" s="341" t="s">
        <v>6444</v>
      </c>
      <c r="AC51" s="337">
        <v>50</v>
      </c>
    </row>
    <row r="52" spans="1:29">
      <c r="A52" s="551" t="s">
        <v>6438</v>
      </c>
      <c r="B52" s="528" t="s">
        <v>6439</v>
      </c>
      <c r="C52" s="528" t="s">
        <v>6522</v>
      </c>
      <c r="D52" s="528">
        <v>733</v>
      </c>
      <c r="E52" s="528">
        <v>744</v>
      </c>
      <c r="F52" s="552">
        <v>9.02</v>
      </c>
      <c r="G52" s="552">
        <v>10.1</v>
      </c>
      <c r="H52" s="153">
        <f t="shared" si="0"/>
        <v>0.11973392461197341</v>
      </c>
      <c r="K52" s="101"/>
      <c r="L52" s="101"/>
      <c r="O52">
        <v>33</v>
      </c>
      <c r="P52">
        <v>33</v>
      </c>
      <c r="R52" s="144" t="s">
        <v>6303</v>
      </c>
      <c r="S52" s="145" t="s">
        <v>333</v>
      </c>
      <c r="U52" s="147"/>
      <c r="Y52" t="s">
        <v>6170</v>
      </c>
      <c r="Z52">
        <v>51</v>
      </c>
      <c r="AA52">
        <v>51</v>
      </c>
      <c r="AB52" s="342" t="s">
        <v>6444</v>
      </c>
      <c r="AC52" s="336">
        <v>51</v>
      </c>
    </row>
    <row r="53" spans="1:29">
      <c r="A53" s="551" t="s">
        <v>6438</v>
      </c>
      <c r="B53" s="528" t="s">
        <v>6439</v>
      </c>
      <c r="C53" s="528" t="s">
        <v>6523</v>
      </c>
      <c r="D53" s="528">
        <v>745</v>
      </c>
      <c r="E53" s="528">
        <v>756</v>
      </c>
      <c r="F53" s="552">
        <v>9.17</v>
      </c>
      <c r="G53" s="552">
        <v>10.27</v>
      </c>
      <c r="H53" s="153">
        <f t="shared" si="0"/>
        <v>0.1199563794983642</v>
      </c>
      <c r="K53" s="101"/>
      <c r="L53" s="101"/>
      <c r="O53">
        <v>34</v>
      </c>
      <c r="P53">
        <v>34</v>
      </c>
      <c r="R53" s="144" t="s">
        <v>6304</v>
      </c>
      <c r="S53" s="145" t="s">
        <v>333</v>
      </c>
      <c r="U53" s="147"/>
      <c r="Y53" t="s">
        <v>6170</v>
      </c>
      <c r="Z53">
        <v>52</v>
      </c>
      <c r="AA53">
        <v>52</v>
      </c>
      <c r="AB53" s="341" t="s">
        <v>6444</v>
      </c>
      <c r="AC53" s="337">
        <v>52</v>
      </c>
    </row>
    <row r="54" spans="1:29">
      <c r="A54" s="551" t="s">
        <v>6438</v>
      </c>
      <c r="B54" s="528" t="s">
        <v>6439</v>
      </c>
      <c r="C54" s="528" t="s">
        <v>6524</v>
      </c>
      <c r="D54" s="528">
        <v>757</v>
      </c>
      <c r="E54" s="528">
        <v>768</v>
      </c>
      <c r="F54" s="552">
        <v>9.31</v>
      </c>
      <c r="G54" s="552">
        <v>10.43</v>
      </c>
      <c r="H54" s="153">
        <f t="shared" si="0"/>
        <v>0.12030075187969916</v>
      </c>
      <c r="K54" s="101"/>
      <c r="L54" s="101"/>
      <c r="O54">
        <v>35</v>
      </c>
      <c r="R54" s="144" t="s">
        <v>6305</v>
      </c>
      <c r="S54" s="145" t="s">
        <v>333</v>
      </c>
      <c r="U54" s="147"/>
      <c r="Y54" t="s">
        <v>6170</v>
      </c>
      <c r="Z54">
        <v>53</v>
      </c>
      <c r="AA54">
        <v>53</v>
      </c>
      <c r="AB54" s="342" t="s">
        <v>6444</v>
      </c>
      <c r="AC54" s="336">
        <v>53</v>
      </c>
    </row>
    <row r="55" spans="1:29">
      <c r="A55" s="551" t="s">
        <v>6438</v>
      </c>
      <c r="B55" s="528" t="s">
        <v>6439</v>
      </c>
      <c r="C55" s="528" t="s">
        <v>6525</v>
      </c>
      <c r="D55" s="528">
        <v>769</v>
      </c>
      <c r="E55" s="528">
        <v>780</v>
      </c>
      <c r="F55" s="552">
        <v>9.4499999999999993</v>
      </c>
      <c r="G55" s="552">
        <v>10.58</v>
      </c>
      <c r="H55" s="153">
        <f t="shared" si="0"/>
        <v>0.11957671957671967</v>
      </c>
      <c r="O55">
        <v>36</v>
      </c>
      <c r="R55" s="144">
        <v>11412100</v>
      </c>
      <c r="S55" s="145" t="s">
        <v>333</v>
      </c>
      <c r="U55" s="147"/>
      <c r="Y55" t="s">
        <v>6170</v>
      </c>
      <c r="Z55">
        <v>54</v>
      </c>
      <c r="AA55">
        <v>54</v>
      </c>
      <c r="AB55" s="341" t="s">
        <v>6444</v>
      </c>
      <c r="AC55" s="337">
        <v>54</v>
      </c>
    </row>
    <row r="56" spans="1:29">
      <c r="A56" s="551" t="s">
        <v>6438</v>
      </c>
      <c r="B56" s="528" t="s">
        <v>6439</v>
      </c>
      <c r="C56" s="528" t="s">
        <v>6526</v>
      </c>
      <c r="D56" s="528">
        <v>781</v>
      </c>
      <c r="E56" s="528">
        <v>792</v>
      </c>
      <c r="F56" s="552">
        <v>9.59</v>
      </c>
      <c r="G56" s="552">
        <v>10.74</v>
      </c>
      <c r="H56" s="153">
        <f t="shared" si="0"/>
        <v>0.1199165797705944</v>
      </c>
      <c r="L56" s="72"/>
      <c r="O56">
        <v>37</v>
      </c>
      <c r="R56" s="144" t="s">
        <v>6306</v>
      </c>
      <c r="S56" s="145" t="s">
        <v>333</v>
      </c>
      <c r="U56" s="147"/>
      <c r="Y56" t="s">
        <v>6170</v>
      </c>
      <c r="Z56">
        <v>55</v>
      </c>
      <c r="AA56">
        <v>55</v>
      </c>
      <c r="AB56" s="342" t="s">
        <v>6444</v>
      </c>
      <c r="AC56" s="336">
        <v>55</v>
      </c>
    </row>
    <row r="57" spans="1:29">
      <c r="A57" s="551" t="s">
        <v>6438</v>
      </c>
      <c r="B57" s="528" t="s">
        <v>6439</v>
      </c>
      <c r="C57" s="528" t="s">
        <v>6527</v>
      </c>
      <c r="D57" s="528">
        <v>793</v>
      </c>
      <c r="E57" s="528">
        <v>804</v>
      </c>
      <c r="F57" s="552">
        <v>9.74</v>
      </c>
      <c r="G57" s="552">
        <v>10.91</v>
      </c>
      <c r="H57" s="153">
        <f t="shared" si="0"/>
        <v>0.12012320328542093</v>
      </c>
      <c r="O57">
        <v>38</v>
      </c>
      <c r="R57" s="144" t="s">
        <v>6307</v>
      </c>
      <c r="S57" s="145" t="s">
        <v>333</v>
      </c>
      <c r="U57" s="147"/>
      <c r="Y57" t="s">
        <v>6170</v>
      </c>
      <c r="Z57">
        <v>56</v>
      </c>
      <c r="AA57">
        <v>56</v>
      </c>
      <c r="AB57" s="341" t="s">
        <v>6444</v>
      </c>
      <c r="AC57" s="337">
        <v>56</v>
      </c>
    </row>
    <row r="58" spans="1:29">
      <c r="A58" s="551" t="s">
        <v>6438</v>
      </c>
      <c r="B58" s="528" t="s">
        <v>6439</v>
      </c>
      <c r="C58" s="528" t="s">
        <v>6528</v>
      </c>
      <c r="D58" s="528">
        <v>805</v>
      </c>
      <c r="E58" s="528">
        <v>816</v>
      </c>
      <c r="F58" s="552">
        <v>9.8800000000000008</v>
      </c>
      <c r="G58" s="552">
        <v>11.07</v>
      </c>
      <c r="H58" s="153">
        <f t="shared" si="0"/>
        <v>0.1204453441295546</v>
      </c>
      <c r="O58">
        <v>39</v>
      </c>
      <c r="R58" s="144" t="s">
        <v>6308</v>
      </c>
      <c r="S58" s="145" t="s">
        <v>333</v>
      </c>
      <c r="Y58" t="s">
        <v>6170</v>
      </c>
      <c r="Z58">
        <v>57</v>
      </c>
      <c r="AA58">
        <v>57</v>
      </c>
      <c r="AB58" s="342" t="s">
        <v>6444</v>
      </c>
      <c r="AC58" s="336">
        <v>57</v>
      </c>
    </row>
    <row r="59" spans="1:29">
      <c r="A59" s="551" t="s">
        <v>6438</v>
      </c>
      <c r="B59" s="528" t="s">
        <v>6439</v>
      </c>
      <c r="C59" s="528" t="s">
        <v>6529</v>
      </c>
      <c r="D59" s="528">
        <v>817</v>
      </c>
      <c r="E59" s="528">
        <v>828</v>
      </c>
      <c r="F59" s="552">
        <v>10.02</v>
      </c>
      <c r="G59" s="552">
        <v>11.22</v>
      </c>
      <c r="H59" s="153">
        <f t="shared" si="0"/>
        <v>0.11976047904191628</v>
      </c>
      <c r="O59">
        <v>40</v>
      </c>
      <c r="R59" s="144">
        <v>11413100</v>
      </c>
      <c r="S59" s="145" t="s">
        <v>333</v>
      </c>
      <c r="Y59" t="s">
        <v>6170</v>
      </c>
      <c r="Z59">
        <v>58</v>
      </c>
      <c r="AA59">
        <v>58</v>
      </c>
      <c r="AB59" s="341" t="s">
        <v>6444</v>
      </c>
      <c r="AC59" s="337">
        <v>58</v>
      </c>
    </row>
    <row r="60" spans="1:29" ht="15" thickBot="1">
      <c r="A60" s="551" t="s">
        <v>6438</v>
      </c>
      <c r="B60" s="528" t="s">
        <v>6439</v>
      </c>
      <c r="C60" s="528" t="s">
        <v>6530</v>
      </c>
      <c r="D60" s="528">
        <v>829</v>
      </c>
      <c r="E60" s="528">
        <v>840</v>
      </c>
      <c r="F60" s="552">
        <v>10.17</v>
      </c>
      <c r="G60" s="552">
        <v>11.39</v>
      </c>
      <c r="H60" s="153">
        <f t="shared" si="0"/>
        <v>0.11996066863323507</v>
      </c>
      <c r="O60">
        <v>41</v>
      </c>
      <c r="R60" s="144" t="s">
        <v>6310</v>
      </c>
      <c r="S60" s="145" t="s">
        <v>333</v>
      </c>
      <c r="U60" s="102"/>
      <c r="Y60" t="s">
        <v>6170</v>
      </c>
      <c r="Z60">
        <v>59</v>
      </c>
      <c r="AA60">
        <v>59</v>
      </c>
      <c r="AB60" s="342" t="s">
        <v>6444</v>
      </c>
      <c r="AC60" s="336">
        <v>59</v>
      </c>
    </row>
    <row r="61" spans="1:29">
      <c r="A61" s="551" t="s">
        <v>6438</v>
      </c>
      <c r="B61" s="528" t="s">
        <v>6439</v>
      </c>
      <c r="C61" s="528" t="s">
        <v>6531</v>
      </c>
      <c r="D61" s="528">
        <v>841</v>
      </c>
      <c r="E61" s="528">
        <v>852</v>
      </c>
      <c r="F61" s="552">
        <v>10.31</v>
      </c>
      <c r="G61" s="552">
        <v>11.55</v>
      </c>
      <c r="H61" s="153">
        <f t="shared" si="0"/>
        <v>0.12027158098933076</v>
      </c>
      <c r="O61">
        <v>42</v>
      </c>
      <c r="R61" s="144" t="s">
        <v>6311</v>
      </c>
      <c r="S61" s="145" t="s">
        <v>333</v>
      </c>
      <c r="U61" s="146"/>
      <c r="Y61" t="s">
        <v>6170</v>
      </c>
      <c r="Z61">
        <v>60</v>
      </c>
      <c r="AA61">
        <v>60</v>
      </c>
      <c r="AB61" s="341" t="s">
        <v>6444</v>
      </c>
      <c r="AC61" s="337">
        <v>60</v>
      </c>
    </row>
    <row r="62" spans="1:29">
      <c r="A62" s="551" t="s">
        <v>6438</v>
      </c>
      <c r="B62" s="528" t="s">
        <v>6439</v>
      </c>
      <c r="C62" s="528" t="s">
        <v>6532</v>
      </c>
      <c r="D62" s="528">
        <v>853</v>
      </c>
      <c r="E62" s="528">
        <v>864</v>
      </c>
      <c r="F62" s="552">
        <v>10.45</v>
      </c>
      <c r="G62" s="552">
        <v>11.7</v>
      </c>
      <c r="H62" s="153">
        <f t="shared" si="0"/>
        <v>0.11961722488038279</v>
      </c>
      <c r="O62">
        <v>43</v>
      </c>
      <c r="R62" s="144" t="s">
        <v>6312</v>
      </c>
      <c r="S62" s="145" t="s">
        <v>333</v>
      </c>
      <c r="U62" s="147"/>
      <c r="Y62" t="s">
        <v>6170</v>
      </c>
      <c r="Z62">
        <v>61</v>
      </c>
      <c r="AA62">
        <v>61</v>
      </c>
      <c r="AB62" s="343" t="s">
        <v>6435</v>
      </c>
      <c r="AC62" s="337">
        <v>4</v>
      </c>
    </row>
    <row r="63" spans="1:29">
      <c r="A63" s="551" t="s">
        <v>6438</v>
      </c>
      <c r="B63" s="528" t="s">
        <v>6439</v>
      </c>
      <c r="C63" s="528" t="s">
        <v>6533</v>
      </c>
      <c r="D63" s="528">
        <v>865</v>
      </c>
      <c r="E63" s="528">
        <v>876</v>
      </c>
      <c r="F63" s="552">
        <v>10.6</v>
      </c>
      <c r="G63" s="552">
        <v>11.87</v>
      </c>
      <c r="H63" s="153">
        <f t="shared" si="0"/>
        <v>0.11981132075471694</v>
      </c>
      <c r="O63">
        <v>44</v>
      </c>
      <c r="R63" s="149">
        <v>11414100</v>
      </c>
      <c r="S63" s="145" t="s">
        <v>333</v>
      </c>
      <c r="U63" s="147"/>
      <c r="Y63" t="s">
        <v>6170</v>
      </c>
      <c r="Z63">
        <v>62</v>
      </c>
      <c r="AA63">
        <v>62</v>
      </c>
      <c r="AB63" s="344" t="s">
        <v>6435</v>
      </c>
      <c r="AC63" s="336">
        <v>5</v>
      </c>
    </row>
    <row r="64" spans="1:29">
      <c r="A64" s="551" t="s">
        <v>6438</v>
      </c>
      <c r="B64" s="528" t="s">
        <v>6439</v>
      </c>
      <c r="C64" s="528" t="s">
        <v>6534</v>
      </c>
      <c r="D64" s="528">
        <v>877</v>
      </c>
      <c r="E64" s="528">
        <v>888</v>
      </c>
      <c r="F64" s="552">
        <v>10.74</v>
      </c>
      <c r="G64" s="552">
        <v>12.03</v>
      </c>
      <c r="H64" s="153">
        <f t="shared" si="0"/>
        <v>0.12011173184357533</v>
      </c>
      <c r="O64">
        <v>45</v>
      </c>
      <c r="R64" s="144" t="s">
        <v>6313</v>
      </c>
      <c r="S64" s="145" t="s">
        <v>333</v>
      </c>
      <c r="U64" s="147"/>
      <c r="Y64" t="s">
        <v>6170</v>
      </c>
      <c r="Z64">
        <v>63</v>
      </c>
      <c r="AA64">
        <v>63</v>
      </c>
      <c r="AB64" s="343" t="s">
        <v>6435</v>
      </c>
      <c r="AC64" s="337">
        <v>6</v>
      </c>
    </row>
    <row r="65" spans="1:29">
      <c r="A65" s="551" t="s">
        <v>6438</v>
      </c>
      <c r="B65" s="528" t="s">
        <v>6439</v>
      </c>
      <c r="C65" s="528" t="s">
        <v>6535</v>
      </c>
      <c r="D65" s="528">
        <v>889</v>
      </c>
      <c r="E65" s="528">
        <v>900</v>
      </c>
      <c r="F65" s="552">
        <v>10.88</v>
      </c>
      <c r="G65" s="552">
        <v>12.19</v>
      </c>
      <c r="H65" s="153">
        <f t="shared" si="0"/>
        <v>0.12040441176470576</v>
      </c>
      <c r="O65">
        <v>46</v>
      </c>
      <c r="R65" s="144" t="s">
        <v>6314</v>
      </c>
      <c r="S65" s="145" t="s">
        <v>333</v>
      </c>
      <c r="U65" s="147"/>
      <c r="Y65" t="s">
        <v>6170</v>
      </c>
      <c r="Z65">
        <v>64</v>
      </c>
      <c r="AA65">
        <v>64</v>
      </c>
      <c r="AB65" s="344" t="s">
        <v>6435</v>
      </c>
      <c r="AC65" s="336">
        <v>7</v>
      </c>
    </row>
    <row r="66" spans="1:29">
      <c r="A66" s="551" t="s">
        <v>6438</v>
      </c>
      <c r="B66" s="528" t="s">
        <v>6439</v>
      </c>
      <c r="C66" s="528" t="s">
        <v>6536</v>
      </c>
      <c r="D66" s="528">
        <v>901</v>
      </c>
      <c r="E66" s="528">
        <v>912</v>
      </c>
      <c r="F66" s="552">
        <v>11.02</v>
      </c>
      <c r="G66" s="552">
        <v>12.34</v>
      </c>
      <c r="H66" s="153">
        <f t="shared" si="0"/>
        <v>0.11978221415607988</v>
      </c>
      <c r="O66">
        <v>47</v>
      </c>
      <c r="R66" s="144" t="s">
        <v>6315</v>
      </c>
      <c r="S66" s="145" t="s">
        <v>333</v>
      </c>
      <c r="U66" s="147"/>
      <c r="Y66" t="s">
        <v>6170</v>
      </c>
      <c r="Z66">
        <v>65</v>
      </c>
      <c r="AA66">
        <v>65</v>
      </c>
      <c r="AB66" s="343" t="s">
        <v>6435</v>
      </c>
      <c r="AC66" s="337">
        <v>8</v>
      </c>
    </row>
    <row r="67" spans="1:29">
      <c r="A67" s="551" t="s">
        <v>6438</v>
      </c>
      <c r="B67" s="528" t="s">
        <v>6439</v>
      </c>
      <c r="C67" s="528" t="s">
        <v>6537</v>
      </c>
      <c r="D67" s="528">
        <v>913</v>
      </c>
      <c r="E67" s="528">
        <v>924</v>
      </c>
      <c r="F67" s="552">
        <v>11.17</v>
      </c>
      <c r="G67" s="552">
        <v>12.51</v>
      </c>
      <c r="H67" s="153">
        <f t="shared" ref="H67:H74" si="1">(G67-F67)/F67</f>
        <v>0.11996418979409131</v>
      </c>
      <c r="O67">
        <v>48</v>
      </c>
      <c r="R67" s="144">
        <v>11415100</v>
      </c>
      <c r="S67" s="145" t="s">
        <v>333</v>
      </c>
      <c r="U67" s="147"/>
      <c r="Y67" t="s">
        <v>6170</v>
      </c>
      <c r="Z67">
        <v>66</v>
      </c>
      <c r="AA67">
        <v>66</v>
      </c>
      <c r="AB67" s="344" t="s">
        <v>6435</v>
      </c>
      <c r="AC67" s="336">
        <v>9</v>
      </c>
    </row>
    <row r="68" spans="1:29">
      <c r="A68" s="551" t="s">
        <v>6438</v>
      </c>
      <c r="B68" s="528" t="s">
        <v>6439</v>
      </c>
      <c r="C68" s="528" t="s">
        <v>6538</v>
      </c>
      <c r="D68" s="528">
        <v>925</v>
      </c>
      <c r="E68" s="528">
        <v>936</v>
      </c>
      <c r="F68" s="552">
        <v>11.31</v>
      </c>
      <c r="G68" s="552">
        <v>12.67</v>
      </c>
      <c r="H68" s="153">
        <f t="shared" si="1"/>
        <v>0.12024756852343053</v>
      </c>
      <c r="O68">
        <v>49</v>
      </c>
      <c r="R68" s="144" t="s">
        <v>6316</v>
      </c>
      <c r="S68" s="145" t="s">
        <v>333</v>
      </c>
      <c r="U68" s="147"/>
      <c r="Y68" t="s">
        <v>6170</v>
      </c>
      <c r="Z68">
        <v>67</v>
      </c>
      <c r="AA68">
        <v>67</v>
      </c>
      <c r="AB68" s="343" t="s">
        <v>6435</v>
      </c>
      <c r="AC68" s="337">
        <v>10</v>
      </c>
    </row>
    <row r="69" spans="1:29">
      <c r="A69" s="551" t="s">
        <v>6438</v>
      </c>
      <c r="B69" s="528" t="s">
        <v>6439</v>
      </c>
      <c r="C69" s="528" t="s">
        <v>6539</v>
      </c>
      <c r="D69" s="528">
        <v>937</v>
      </c>
      <c r="E69" s="528">
        <v>948</v>
      </c>
      <c r="F69" s="552">
        <v>11.45</v>
      </c>
      <c r="G69" s="552">
        <v>12.82</v>
      </c>
      <c r="H69" s="153">
        <f t="shared" si="1"/>
        <v>0.11965065502183415</v>
      </c>
      <c r="O69">
        <v>50</v>
      </c>
      <c r="R69" s="144" t="s">
        <v>6317</v>
      </c>
      <c r="S69" s="145" t="s">
        <v>333</v>
      </c>
      <c r="U69" s="147"/>
      <c r="Y69" t="s">
        <v>6170</v>
      </c>
      <c r="Z69">
        <v>68</v>
      </c>
      <c r="AA69">
        <v>68</v>
      </c>
      <c r="AB69" s="344" t="s">
        <v>6435</v>
      </c>
      <c r="AC69" s="336">
        <v>11</v>
      </c>
    </row>
    <row r="70" spans="1:29">
      <c r="A70" s="551" t="s">
        <v>6438</v>
      </c>
      <c r="B70" s="528" t="s">
        <v>6439</v>
      </c>
      <c r="C70" s="528" t="s">
        <v>6540</v>
      </c>
      <c r="D70" s="528">
        <v>949</v>
      </c>
      <c r="E70" s="528">
        <v>960</v>
      </c>
      <c r="F70" s="552">
        <v>11.6</v>
      </c>
      <c r="G70" s="552">
        <v>12.99</v>
      </c>
      <c r="H70" s="153">
        <f t="shared" si="1"/>
        <v>0.11982758620689661</v>
      </c>
      <c r="O70">
        <v>51</v>
      </c>
      <c r="R70" s="144" t="s">
        <v>6318</v>
      </c>
      <c r="S70" s="145" t="s">
        <v>333</v>
      </c>
      <c r="U70" s="147"/>
      <c r="Y70" t="s">
        <v>6170</v>
      </c>
      <c r="Z70">
        <v>69</v>
      </c>
      <c r="AA70">
        <v>69</v>
      </c>
      <c r="AB70" s="343" t="s">
        <v>6435</v>
      </c>
      <c r="AC70" s="337">
        <v>12</v>
      </c>
    </row>
    <row r="71" spans="1:29">
      <c r="A71" s="551" t="s">
        <v>6438</v>
      </c>
      <c r="B71" s="528" t="s">
        <v>6439</v>
      </c>
      <c r="C71" s="528" t="s">
        <v>6541</v>
      </c>
      <c r="D71" s="528">
        <v>961</v>
      </c>
      <c r="E71" s="528">
        <v>972</v>
      </c>
      <c r="F71" s="552">
        <v>11.74</v>
      </c>
      <c r="G71" s="552">
        <v>13.15</v>
      </c>
      <c r="H71" s="153">
        <f t="shared" si="1"/>
        <v>0.12010221465076662</v>
      </c>
      <c r="O71">
        <v>52</v>
      </c>
      <c r="R71" s="144">
        <v>11416100</v>
      </c>
      <c r="S71" s="145" t="s">
        <v>333</v>
      </c>
      <c r="U71" s="147"/>
      <c r="Y71" t="s">
        <v>6170</v>
      </c>
      <c r="Z71">
        <v>70</v>
      </c>
      <c r="AA71">
        <v>70</v>
      </c>
      <c r="AB71" s="344" t="s">
        <v>6435</v>
      </c>
      <c r="AC71" s="336">
        <v>13</v>
      </c>
    </row>
    <row r="72" spans="1:29">
      <c r="A72" s="551" t="s">
        <v>6438</v>
      </c>
      <c r="B72" s="528" t="s">
        <v>6439</v>
      </c>
      <c r="C72" s="528" t="s">
        <v>6542</v>
      </c>
      <c r="D72" s="528">
        <v>973</v>
      </c>
      <c r="E72" s="528">
        <v>984</v>
      </c>
      <c r="F72" s="552">
        <v>11.88</v>
      </c>
      <c r="G72" s="552">
        <v>13.31</v>
      </c>
      <c r="H72" s="153">
        <f t="shared" si="1"/>
        <v>0.12037037037037034</v>
      </c>
      <c r="O72">
        <v>53</v>
      </c>
      <c r="R72" s="144" t="s">
        <v>6319</v>
      </c>
      <c r="S72" s="145" t="s">
        <v>333</v>
      </c>
      <c r="U72" s="147"/>
      <c r="Y72" t="s">
        <v>6223</v>
      </c>
      <c r="Z72">
        <v>4</v>
      </c>
      <c r="AA72">
        <v>71</v>
      </c>
      <c r="AB72" s="343" t="s">
        <v>6435</v>
      </c>
      <c r="AC72" s="337">
        <v>14</v>
      </c>
    </row>
    <row r="73" spans="1:29">
      <c r="A73" s="551" t="s">
        <v>6438</v>
      </c>
      <c r="B73" s="528" t="s">
        <v>6439</v>
      </c>
      <c r="C73" s="528" t="s">
        <v>6543</v>
      </c>
      <c r="D73" s="528">
        <v>985</v>
      </c>
      <c r="E73" s="528">
        <v>996</v>
      </c>
      <c r="F73" s="552">
        <v>12.03</v>
      </c>
      <c r="G73" s="552">
        <v>13.47</v>
      </c>
      <c r="H73" s="153">
        <f t="shared" si="1"/>
        <v>0.11970074812967592</v>
      </c>
      <c r="O73">
        <v>54</v>
      </c>
      <c r="R73" s="144" t="s">
        <v>6320</v>
      </c>
      <c r="S73" s="145" t="s">
        <v>333</v>
      </c>
      <c r="U73" s="147"/>
      <c r="Y73" t="s">
        <v>6223</v>
      </c>
      <c r="Z73">
        <v>5</v>
      </c>
      <c r="AA73">
        <v>72</v>
      </c>
      <c r="AB73" s="344" t="s">
        <v>6435</v>
      </c>
      <c r="AC73" s="336">
        <v>15</v>
      </c>
    </row>
    <row r="74" spans="1:29">
      <c r="A74" s="551" t="s">
        <v>6438</v>
      </c>
      <c r="B74" s="528" t="s">
        <v>6439</v>
      </c>
      <c r="C74" s="528" t="s">
        <v>6544</v>
      </c>
      <c r="D74" s="528">
        <v>996</v>
      </c>
      <c r="E74" s="528">
        <v>4000</v>
      </c>
      <c r="F74" s="552">
        <v>12.81</v>
      </c>
      <c r="G74" s="552">
        <v>14.34</v>
      </c>
      <c r="H74" s="153">
        <f t="shared" si="1"/>
        <v>0.11943793911007021</v>
      </c>
      <c r="O74">
        <v>55</v>
      </c>
      <c r="R74" s="144" t="s">
        <v>6321</v>
      </c>
      <c r="S74" s="145" t="s">
        <v>333</v>
      </c>
      <c r="U74" s="147"/>
      <c r="Y74" t="s">
        <v>6223</v>
      </c>
      <c r="Z74">
        <v>6</v>
      </c>
      <c r="AA74">
        <v>73</v>
      </c>
      <c r="AB74" s="343" t="s">
        <v>6435</v>
      </c>
      <c r="AC74" s="337">
        <v>16</v>
      </c>
    </row>
    <row r="75" spans="1:29" ht="46.5">
      <c r="A75" s="553" t="s">
        <v>248</v>
      </c>
      <c r="B75" s="553" t="s">
        <v>335</v>
      </c>
      <c r="C75" s="553" t="s">
        <v>6545</v>
      </c>
      <c r="D75" s="553" t="s">
        <v>310</v>
      </c>
      <c r="E75" s="553" t="s">
        <v>311</v>
      </c>
      <c r="F75" s="554" t="s">
        <v>27</v>
      </c>
      <c r="G75" s="150"/>
      <c r="O75">
        <v>56</v>
      </c>
      <c r="R75" s="144">
        <v>11417100</v>
      </c>
      <c r="S75" s="145" t="s">
        <v>333</v>
      </c>
      <c r="U75" s="147"/>
      <c r="Y75" t="s">
        <v>6223</v>
      </c>
      <c r="Z75">
        <v>7</v>
      </c>
      <c r="AA75">
        <v>74</v>
      </c>
      <c r="AB75" s="344" t="s">
        <v>6435</v>
      </c>
      <c r="AC75" s="336">
        <v>17</v>
      </c>
    </row>
    <row r="76" spans="1:29">
      <c r="A76" s="551" t="s">
        <v>6449</v>
      </c>
      <c r="B76" s="528" t="s">
        <v>6546</v>
      </c>
      <c r="C76" s="528" t="s">
        <v>6547</v>
      </c>
      <c r="D76" s="528">
        <v>16</v>
      </c>
      <c r="E76" s="528">
        <v>199</v>
      </c>
      <c r="F76" s="552">
        <v>1.833</v>
      </c>
      <c r="G76" s="126"/>
      <c r="O76">
        <v>57</v>
      </c>
      <c r="R76" s="144" t="s">
        <v>6322</v>
      </c>
      <c r="S76" s="145" t="s">
        <v>333</v>
      </c>
      <c r="U76" s="147"/>
      <c r="Y76" t="s">
        <v>6223</v>
      </c>
      <c r="Z76">
        <v>8</v>
      </c>
      <c r="AA76">
        <v>75</v>
      </c>
      <c r="AB76" s="343" t="s">
        <v>6435</v>
      </c>
      <c r="AC76" s="337">
        <v>18</v>
      </c>
    </row>
    <row r="77" spans="1:29">
      <c r="A77" s="551" t="s">
        <v>6449</v>
      </c>
      <c r="B77" s="528" t="s">
        <v>6546</v>
      </c>
      <c r="C77" s="528" t="s">
        <v>6547</v>
      </c>
      <c r="D77" s="528">
        <v>200</v>
      </c>
      <c r="E77" s="528">
        <v>349</v>
      </c>
      <c r="F77" s="552">
        <v>3.1070000000000002</v>
      </c>
      <c r="G77" s="126"/>
      <c r="O77">
        <v>58</v>
      </c>
      <c r="R77" s="144" t="s">
        <v>6323</v>
      </c>
      <c r="S77" s="145" t="s">
        <v>333</v>
      </c>
      <c r="U77" s="147"/>
      <c r="Y77" t="s">
        <v>6223</v>
      </c>
      <c r="Z77">
        <v>9</v>
      </c>
      <c r="AA77">
        <v>76</v>
      </c>
      <c r="AB77" s="344" t="s">
        <v>6435</v>
      </c>
      <c r="AC77" s="336">
        <v>19</v>
      </c>
    </row>
    <row r="78" spans="1:29">
      <c r="A78" s="551" t="s">
        <v>6449</v>
      </c>
      <c r="B78" s="528" t="s">
        <v>6546</v>
      </c>
      <c r="C78" s="528" t="s">
        <v>6547</v>
      </c>
      <c r="D78" s="528">
        <v>350</v>
      </c>
      <c r="E78" s="528">
        <v>499</v>
      </c>
      <c r="F78" s="552">
        <v>6.2270000000000003</v>
      </c>
      <c r="G78" s="126"/>
      <c r="O78">
        <v>59</v>
      </c>
      <c r="R78" s="144" t="s">
        <v>6324</v>
      </c>
      <c r="S78" s="145" t="s">
        <v>333</v>
      </c>
      <c r="U78" s="147"/>
      <c r="Y78" t="s">
        <v>6223</v>
      </c>
      <c r="Z78">
        <v>10</v>
      </c>
      <c r="AA78">
        <v>77</v>
      </c>
      <c r="AB78" s="343" t="s">
        <v>6435</v>
      </c>
      <c r="AC78" s="337">
        <v>20</v>
      </c>
    </row>
    <row r="79" spans="1:29">
      <c r="A79" s="551" t="s">
        <v>6449</v>
      </c>
      <c r="B79" s="528" t="s">
        <v>6546</v>
      </c>
      <c r="C79" s="528" t="s">
        <v>6547</v>
      </c>
      <c r="D79" s="528">
        <v>500</v>
      </c>
      <c r="E79" s="528">
        <v>592</v>
      </c>
      <c r="F79" s="552">
        <v>8.3330000000000002</v>
      </c>
      <c r="G79" s="126"/>
      <c r="O79">
        <v>60</v>
      </c>
      <c r="R79" s="144">
        <v>11418100</v>
      </c>
      <c r="S79" s="145" t="s">
        <v>333</v>
      </c>
      <c r="U79" s="147"/>
      <c r="Y79" t="s">
        <v>6223</v>
      </c>
      <c r="Z79">
        <v>11</v>
      </c>
      <c r="AA79">
        <v>78</v>
      </c>
      <c r="AB79" s="344" t="s">
        <v>6435</v>
      </c>
      <c r="AC79" s="336">
        <v>21</v>
      </c>
    </row>
    <row r="80" spans="1:29">
      <c r="A80" s="551" t="s">
        <v>6449</v>
      </c>
      <c r="B80" s="555" t="s">
        <v>6548</v>
      </c>
      <c r="C80" s="528" t="s">
        <v>6549</v>
      </c>
      <c r="D80" s="528">
        <v>36</v>
      </c>
      <c r="E80" s="528">
        <v>249</v>
      </c>
      <c r="F80" s="552">
        <v>1.833</v>
      </c>
      <c r="G80" s="126"/>
      <c r="O80">
        <v>61</v>
      </c>
      <c r="R80" s="144" t="s">
        <v>6325</v>
      </c>
      <c r="S80" s="145" t="s">
        <v>333</v>
      </c>
      <c r="U80" s="147"/>
      <c r="Y80" t="s">
        <v>6223</v>
      </c>
      <c r="Z80">
        <v>12</v>
      </c>
      <c r="AA80">
        <v>79</v>
      </c>
      <c r="AB80" s="343" t="s">
        <v>6435</v>
      </c>
      <c r="AC80" s="337">
        <v>22</v>
      </c>
    </row>
    <row r="81" spans="1:29">
      <c r="A81" s="551" t="s">
        <v>6449</v>
      </c>
      <c r="B81" s="555" t="s">
        <v>6548</v>
      </c>
      <c r="C81" s="528" t="s">
        <v>6549</v>
      </c>
      <c r="D81" s="528">
        <v>250</v>
      </c>
      <c r="E81" s="528">
        <v>449</v>
      </c>
      <c r="F81" s="552">
        <v>3.1070000000000002</v>
      </c>
      <c r="G81" s="126"/>
      <c r="O81">
        <v>62</v>
      </c>
      <c r="R81" s="144" t="s">
        <v>6326</v>
      </c>
      <c r="S81" s="145" t="s">
        <v>333</v>
      </c>
      <c r="U81" s="147"/>
      <c r="Y81" t="s">
        <v>6223</v>
      </c>
      <c r="Z81">
        <v>13</v>
      </c>
      <c r="AA81">
        <v>80</v>
      </c>
      <c r="AB81" s="344" t="s">
        <v>6435</v>
      </c>
      <c r="AC81" s="336">
        <v>23</v>
      </c>
    </row>
    <row r="82" spans="1:29">
      <c r="A82" s="551" t="s">
        <v>6449</v>
      </c>
      <c r="B82" s="555" t="s">
        <v>6548</v>
      </c>
      <c r="C82" s="528" t="s">
        <v>6549</v>
      </c>
      <c r="D82" s="528">
        <v>450</v>
      </c>
      <c r="E82" s="528">
        <v>749</v>
      </c>
      <c r="F82" s="552">
        <v>6.2270000000000003</v>
      </c>
      <c r="G82" s="126"/>
      <c r="O82">
        <v>63</v>
      </c>
      <c r="R82" s="144" t="s">
        <v>6327</v>
      </c>
      <c r="S82" s="145" t="s">
        <v>333</v>
      </c>
      <c r="U82" s="147"/>
      <c r="Y82" t="s">
        <v>6223</v>
      </c>
      <c r="Z82">
        <v>14</v>
      </c>
      <c r="AA82">
        <v>81</v>
      </c>
      <c r="AB82" s="343" t="s">
        <v>6435</v>
      </c>
      <c r="AC82" s="337">
        <v>24</v>
      </c>
    </row>
    <row r="83" spans="1:29">
      <c r="A83" s="551" t="s">
        <v>6449</v>
      </c>
      <c r="B83" s="555" t="s">
        <v>6548</v>
      </c>
      <c r="C83" s="528" t="s">
        <v>6549</v>
      </c>
      <c r="D83" s="528">
        <v>750</v>
      </c>
      <c r="E83" s="528">
        <v>999</v>
      </c>
      <c r="F83" s="552">
        <v>8.3330000000000002</v>
      </c>
      <c r="G83" s="126"/>
      <c r="O83">
        <v>64</v>
      </c>
      <c r="R83" s="144">
        <v>11419100</v>
      </c>
      <c r="S83" s="145" t="s">
        <v>333</v>
      </c>
      <c r="U83" s="147"/>
      <c r="Y83" t="s">
        <v>6223</v>
      </c>
      <c r="Z83">
        <v>15</v>
      </c>
      <c r="AA83">
        <v>82</v>
      </c>
      <c r="AB83" s="344" t="s">
        <v>6435</v>
      </c>
      <c r="AC83" s="336">
        <v>25</v>
      </c>
    </row>
    <row r="84" spans="1:29">
      <c r="A84" s="551" t="s">
        <v>6449</v>
      </c>
      <c r="B84" s="555" t="s">
        <v>6548</v>
      </c>
      <c r="C84" s="528" t="s">
        <v>6549</v>
      </c>
      <c r="D84" s="528">
        <v>1000</v>
      </c>
      <c r="E84" s="528">
        <v>1249</v>
      </c>
      <c r="F84" s="552">
        <v>11.791</v>
      </c>
      <c r="G84" s="126"/>
      <c r="O84">
        <v>65</v>
      </c>
      <c r="R84" s="144" t="s">
        <v>6328</v>
      </c>
      <c r="S84" s="145" t="s">
        <v>333</v>
      </c>
      <c r="U84" s="147"/>
      <c r="Y84" t="s">
        <v>6223</v>
      </c>
      <c r="Z84">
        <v>16</v>
      </c>
      <c r="AA84">
        <v>83</v>
      </c>
      <c r="AB84" s="343" t="s">
        <v>6435</v>
      </c>
      <c r="AC84" s="337">
        <v>26</v>
      </c>
    </row>
    <row r="85" spans="1:29">
      <c r="A85" s="551" t="s">
        <v>6449</v>
      </c>
      <c r="B85" s="555" t="s">
        <v>6548</v>
      </c>
      <c r="C85" s="528" t="s">
        <v>6549</v>
      </c>
      <c r="D85" s="528">
        <v>1250</v>
      </c>
      <c r="E85" s="528">
        <v>1316</v>
      </c>
      <c r="F85" s="552">
        <v>13.078000000000001</v>
      </c>
      <c r="G85" s="126"/>
      <c r="O85">
        <v>66</v>
      </c>
      <c r="R85" s="144" t="s">
        <v>6329</v>
      </c>
      <c r="S85" s="145" t="s">
        <v>333</v>
      </c>
      <c r="U85" s="147"/>
      <c r="Y85" t="s">
        <v>6223</v>
      </c>
      <c r="Z85">
        <v>17</v>
      </c>
      <c r="AA85">
        <v>84</v>
      </c>
      <c r="AB85" s="344" t="s">
        <v>6435</v>
      </c>
      <c r="AC85" s="336">
        <v>27</v>
      </c>
    </row>
    <row r="86" spans="1:29">
      <c r="A86" s="551" t="s">
        <v>6449</v>
      </c>
      <c r="B86" s="555" t="s">
        <v>6550</v>
      </c>
      <c r="C86" s="528" t="s">
        <v>6551</v>
      </c>
      <c r="D86" s="528">
        <v>68</v>
      </c>
      <c r="E86" s="528">
        <v>299</v>
      </c>
      <c r="F86" s="552">
        <v>1.833</v>
      </c>
      <c r="G86" s="126"/>
      <c r="O86">
        <v>67</v>
      </c>
      <c r="R86" s="144" t="s">
        <v>6330</v>
      </c>
      <c r="S86" s="145" t="s">
        <v>333</v>
      </c>
      <c r="U86" s="147"/>
      <c r="Y86" t="s">
        <v>6223</v>
      </c>
      <c r="Z86">
        <v>18</v>
      </c>
      <c r="AA86">
        <v>85</v>
      </c>
      <c r="AB86" s="343" t="s">
        <v>6435</v>
      </c>
      <c r="AC86" s="337">
        <v>28</v>
      </c>
    </row>
    <row r="87" spans="1:29">
      <c r="A87" s="551" t="s">
        <v>6449</v>
      </c>
      <c r="B87" s="555" t="s">
        <v>6550</v>
      </c>
      <c r="C87" s="528" t="s">
        <v>6551</v>
      </c>
      <c r="D87" s="528">
        <v>300</v>
      </c>
      <c r="E87" s="528">
        <v>599</v>
      </c>
      <c r="F87" s="552">
        <v>3.1070000000000002</v>
      </c>
      <c r="G87" s="126"/>
      <c r="O87">
        <v>68</v>
      </c>
      <c r="R87" s="149">
        <v>11420100</v>
      </c>
      <c r="S87" s="145" t="s">
        <v>333</v>
      </c>
      <c r="U87" s="147"/>
      <c r="Y87" t="s">
        <v>6223</v>
      </c>
      <c r="Z87">
        <v>19</v>
      </c>
      <c r="AA87">
        <v>86</v>
      </c>
      <c r="AB87" s="344" t="s">
        <v>6435</v>
      </c>
      <c r="AC87" s="336">
        <v>29</v>
      </c>
    </row>
    <row r="88" spans="1:29">
      <c r="A88" s="551" t="s">
        <v>6449</v>
      </c>
      <c r="B88" s="555" t="s">
        <v>6550</v>
      </c>
      <c r="C88" s="528" t="s">
        <v>6551</v>
      </c>
      <c r="D88" s="528">
        <v>600</v>
      </c>
      <c r="E88" s="528">
        <v>899</v>
      </c>
      <c r="F88" s="552">
        <v>6.2270000000000003</v>
      </c>
      <c r="G88" s="126"/>
      <c r="O88">
        <v>69</v>
      </c>
      <c r="R88" s="144" t="s">
        <v>6331</v>
      </c>
      <c r="S88" s="145" t="s">
        <v>333</v>
      </c>
      <c r="U88" s="147"/>
      <c r="Y88" t="s">
        <v>6223</v>
      </c>
      <c r="Z88">
        <v>20</v>
      </c>
      <c r="AA88">
        <v>87</v>
      </c>
      <c r="AB88" s="343" t="s">
        <v>6435</v>
      </c>
      <c r="AC88" s="337">
        <v>30</v>
      </c>
    </row>
    <row r="89" spans="1:29">
      <c r="A89" s="551" t="s">
        <v>6449</v>
      </c>
      <c r="B89" s="555" t="s">
        <v>6550</v>
      </c>
      <c r="C89" s="528" t="s">
        <v>6551</v>
      </c>
      <c r="D89" s="528">
        <v>900</v>
      </c>
      <c r="E89" s="528">
        <v>1199</v>
      </c>
      <c r="F89" s="552">
        <v>8.3330000000000002</v>
      </c>
      <c r="G89" s="126"/>
      <c r="O89">
        <v>70</v>
      </c>
      <c r="R89" s="144" t="s">
        <v>6332</v>
      </c>
      <c r="S89" s="145" t="s">
        <v>333</v>
      </c>
      <c r="U89" s="147"/>
      <c r="Y89" t="s">
        <v>6223</v>
      </c>
      <c r="Z89">
        <v>21</v>
      </c>
      <c r="AA89">
        <v>88</v>
      </c>
      <c r="AB89" s="344" t="s">
        <v>6435</v>
      </c>
      <c r="AC89" s="336">
        <v>31</v>
      </c>
    </row>
    <row r="90" spans="1:29">
      <c r="A90" s="551" t="s">
        <v>6449</v>
      </c>
      <c r="B90" s="555" t="s">
        <v>6550</v>
      </c>
      <c r="C90" s="528" t="s">
        <v>6551</v>
      </c>
      <c r="D90" s="528">
        <v>1200</v>
      </c>
      <c r="E90" s="528">
        <v>1499</v>
      </c>
      <c r="F90" s="552">
        <v>11.791</v>
      </c>
      <c r="G90" s="126"/>
      <c r="O90">
        <v>71</v>
      </c>
      <c r="R90" s="144" t="s">
        <v>6333</v>
      </c>
      <c r="S90" s="145" t="s">
        <v>333</v>
      </c>
      <c r="U90" s="147"/>
      <c r="Y90" t="s">
        <v>6223</v>
      </c>
      <c r="Z90">
        <v>22</v>
      </c>
      <c r="AA90">
        <v>89</v>
      </c>
      <c r="AB90" s="343" t="s">
        <v>6435</v>
      </c>
      <c r="AC90" s="337">
        <v>32</v>
      </c>
    </row>
    <row r="91" spans="1:29">
      <c r="A91" s="551" t="s">
        <v>6449</v>
      </c>
      <c r="B91" s="555" t="s">
        <v>6550</v>
      </c>
      <c r="C91" s="528" t="s">
        <v>6551</v>
      </c>
      <c r="D91" s="528">
        <v>1500</v>
      </c>
      <c r="E91" s="528">
        <v>1749</v>
      </c>
      <c r="F91" s="552">
        <v>13.078000000000001</v>
      </c>
      <c r="G91" s="126"/>
      <c r="O91">
        <v>72</v>
      </c>
      <c r="R91" s="144">
        <v>11421100</v>
      </c>
      <c r="S91" s="145" t="s">
        <v>333</v>
      </c>
      <c r="U91" s="147"/>
      <c r="Y91" t="s">
        <v>6223</v>
      </c>
      <c r="Z91">
        <v>23</v>
      </c>
      <c r="AA91">
        <v>90</v>
      </c>
      <c r="AB91" s="344" t="s">
        <v>6435</v>
      </c>
      <c r="AC91" s="336">
        <v>33</v>
      </c>
    </row>
    <row r="92" spans="1:29">
      <c r="A92" s="551" t="s">
        <v>6449</v>
      </c>
      <c r="B92" s="555" t="s">
        <v>6550</v>
      </c>
      <c r="C92" s="528" t="s">
        <v>6551</v>
      </c>
      <c r="D92" s="528">
        <v>1750</v>
      </c>
      <c r="E92" s="528">
        <v>1892</v>
      </c>
      <c r="F92" s="552">
        <v>13.805999999999999</v>
      </c>
      <c r="G92" s="126"/>
      <c r="O92">
        <v>73</v>
      </c>
      <c r="R92" s="144" t="s">
        <v>6334</v>
      </c>
      <c r="S92" s="145" t="s">
        <v>333</v>
      </c>
      <c r="U92" s="147"/>
      <c r="Y92" t="s">
        <v>6223</v>
      </c>
      <c r="Z92">
        <v>24</v>
      </c>
      <c r="AA92">
        <v>91</v>
      </c>
      <c r="AB92" s="345" t="s">
        <v>6435</v>
      </c>
      <c r="AC92" s="340">
        <v>34</v>
      </c>
    </row>
    <row r="93" spans="1:29">
      <c r="A93" s="551" t="s">
        <v>6449</v>
      </c>
      <c r="B93" s="555" t="s">
        <v>6550</v>
      </c>
      <c r="C93" s="528" t="s">
        <v>6551</v>
      </c>
      <c r="D93" s="528">
        <v>1893</v>
      </c>
      <c r="E93" s="528">
        <v>1999</v>
      </c>
      <c r="F93" s="552">
        <v>14.092000000000001</v>
      </c>
      <c r="G93" s="126"/>
      <c r="O93">
        <v>74</v>
      </c>
      <c r="R93" s="144" t="s">
        <v>6335</v>
      </c>
      <c r="S93" s="145" t="s">
        <v>333</v>
      </c>
      <c r="U93" s="147"/>
      <c r="Y93" t="s">
        <v>6223</v>
      </c>
      <c r="Z93">
        <v>25</v>
      </c>
      <c r="AA93">
        <v>92</v>
      </c>
      <c r="AB93" s="341"/>
      <c r="AC93" s="337"/>
    </row>
    <row r="94" spans="1:29">
      <c r="A94" s="551" t="s">
        <v>6449</v>
      </c>
      <c r="B94" s="555" t="s">
        <v>6550</v>
      </c>
      <c r="C94" s="528" t="s">
        <v>6551</v>
      </c>
      <c r="D94" s="528">
        <v>2000</v>
      </c>
      <c r="E94" s="528">
        <v>2249</v>
      </c>
      <c r="F94" s="552">
        <v>14.950000000000001</v>
      </c>
      <c r="G94" s="126"/>
      <c r="O94">
        <v>75</v>
      </c>
      <c r="R94" s="144" t="s">
        <v>6337</v>
      </c>
      <c r="S94" s="145" t="s">
        <v>333</v>
      </c>
      <c r="U94" s="147"/>
      <c r="Y94" t="s">
        <v>6223</v>
      </c>
      <c r="Z94">
        <v>26</v>
      </c>
      <c r="AA94">
        <v>93</v>
      </c>
      <c r="AB94" s="342"/>
      <c r="AC94" s="336"/>
    </row>
    <row r="95" spans="1:29">
      <c r="A95" s="551" t="s">
        <v>6449</v>
      </c>
      <c r="B95" s="555" t="s">
        <v>6550</v>
      </c>
      <c r="C95" s="528" t="s">
        <v>6551</v>
      </c>
      <c r="D95" s="528">
        <v>2250</v>
      </c>
      <c r="E95" s="528">
        <v>2568</v>
      </c>
      <c r="F95" s="552">
        <v>15.638999999999999</v>
      </c>
      <c r="G95" s="126"/>
      <c r="O95">
        <v>76</v>
      </c>
      <c r="R95" s="144">
        <v>11422100</v>
      </c>
      <c r="S95" s="145" t="s">
        <v>333</v>
      </c>
      <c r="U95" s="147"/>
      <c r="Y95" t="s">
        <v>6223</v>
      </c>
      <c r="Z95">
        <v>27</v>
      </c>
      <c r="AA95">
        <v>94</v>
      </c>
      <c r="AB95" s="341"/>
      <c r="AC95" s="337"/>
    </row>
    <row r="96" spans="1:29">
      <c r="A96" s="88"/>
      <c r="F96" s="112"/>
      <c r="G96" s="112"/>
      <c r="O96">
        <v>77</v>
      </c>
      <c r="R96" s="144" t="s">
        <v>6338</v>
      </c>
      <c r="S96" s="145" t="s">
        <v>333</v>
      </c>
      <c r="U96" s="147"/>
      <c r="Y96" t="s">
        <v>6223</v>
      </c>
      <c r="Z96">
        <v>28</v>
      </c>
      <c r="AA96">
        <v>95</v>
      </c>
      <c r="AB96" s="342"/>
      <c r="AC96" s="336"/>
    </row>
    <row r="97" spans="1:29">
      <c r="A97" s="88"/>
      <c r="F97" s="128"/>
      <c r="G97" s="128"/>
      <c r="R97" s="144" t="s">
        <v>6339</v>
      </c>
      <c r="S97" s="145" t="s">
        <v>333</v>
      </c>
      <c r="U97" s="147"/>
      <c r="Y97" t="s">
        <v>6223</v>
      </c>
      <c r="Z97">
        <v>29</v>
      </c>
      <c r="AA97">
        <v>96</v>
      </c>
      <c r="AB97" s="341"/>
      <c r="AC97" s="337"/>
    </row>
    <row r="98" spans="1:29">
      <c r="A98" s="88"/>
      <c r="F98" s="128"/>
      <c r="G98" s="128"/>
      <c r="R98" s="144" t="s">
        <v>6340</v>
      </c>
      <c r="S98" s="145" t="s">
        <v>333</v>
      </c>
      <c r="U98" s="147"/>
      <c r="Y98" t="s">
        <v>6223</v>
      </c>
      <c r="Z98">
        <v>30</v>
      </c>
      <c r="AA98">
        <v>97</v>
      </c>
      <c r="AB98" s="342"/>
      <c r="AC98" s="336"/>
    </row>
    <row r="99" spans="1:29">
      <c r="A99" s="88"/>
      <c r="F99" s="128"/>
      <c r="G99" s="128"/>
      <c r="R99" s="144">
        <v>11423100</v>
      </c>
      <c r="S99" s="145" t="s">
        <v>333</v>
      </c>
      <c r="U99" s="147"/>
      <c r="Y99" t="s">
        <v>6223</v>
      </c>
      <c r="Z99">
        <v>31</v>
      </c>
      <c r="AA99">
        <v>98</v>
      </c>
      <c r="AB99" s="341"/>
      <c r="AC99" s="337"/>
    </row>
    <row r="100" spans="1:29">
      <c r="A100" s="88"/>
      <c r="F100" s="128"/>
      <c r="G100" s="128"/>
      <c r="R100" s="144" t="s">
        <v>6341</v>
      </c>
      <c r="S100" s="145" t="s">
        <v>333</v>
      </c>
      <c r="U100" s="147"/>
      <c r="Y100" t="s">
        <v>6223</v>
      </c>
      <c r="Z100">
        <v>32</v>
      </c>
      <c r="AA100">
        <v>99</v>
      </c>
      <c r="AB100" s="342"/>
      <c r="AC100" s="336"/>
    </row>
    <row r="101" spans="1:29">
      <c r="A101" s="88"/>
      <c r="F101" s="128"/>
      <c r="G101" s="128"/>
      <c r="R101" s="144" t="s">
        <v>6342</v>
      </c>
      <c r="S101" s="145" t="s">
        <v>333</v>
      </c>
      <c r="U101" s="147"/>
      <c r="Y101" t="s">
        <v>6223</v>
      </c>
      <c r="Z101">
        <v>33</v>
      </c>
      <c r="AA101">
        <v>100</v>
      </c>
      <c r="AB101" s="341"/>
      <c r="AC101" s="337"/>
    </row>
    <row r="102" spans="1:29">
      <c r="A102" s="88"/>
      <c r="F102" s="128"/>
      <c r="G102" s="128"/>
      <c r="R102" s="144" t="s">
        <v>6343</v>
      </c>
      <c r="S102" s="145" t="s">
        <v>333</v>
      </c>
      <c r="U102" s="147"/>
      <c r="Y102" t="s">
        <v>6223</v>
      </c>
      <c r="Z102">
        <v>34</v>
      </c>
      <c r="AA102">
        <v>101</v>
      </c>
    </row>
    <row r="103" spans="1:29">
      <c r="A103" s="88"/>
      <c r="F103" s="129"/>
      <c r="G103" s="129"/>
      <c r="R103" s="144">
        <v>11424100</v>
      </c>
      <c r="S103" s="145" t="s">
        <v>333</v>
      </c>
      <c r="U103" s="147"/>
      <c r="Y103" t="s">
        <v>6223</v>
      </c>
      <c r="Z103">
        <v>35</v>
      </c>
      <c r="AA103">
        <v>102</v>
      </c>
    </row>
    <row r="104" spans="1:29">
      <c r="A104" s="88"/>
      <c r="F104" s="128"/>
      <c r="G104" s="128"/>
      <c r="R104" s="144">
        <v>11425100</v>
      </c>
      <c r="S104" s="145" t="s">
        <v>333</v>
      </c>
      <c r="U104" s="147"/>
      <c r="Y104" t="s">
        <v>6223</v>
      </c>
      <c r="Z104">
        <v>36</v>
      </c>
      <c r="AA104">
        <v>103</v>
      </c>
    </row>
    <row r="105" spans="1:29">
      <c r="A105" s="88"/>
      <c r="F105" s="128"/>
      <c r="G105" s="128"/>
      <c r="R105" s="144" t="s">
        <v>6344</v>
      </c>
      <c r="S105" s="145" t="s">
        <v>333</v>
      </c>
      <c r="U105" s="147"/>
      <c r="Y105" t="s">
        <v>6223</v>
      </c>
      <c r="Z105">
        <v>37</v>
      </c>
      <c r="AA105">
        <v>104</v>
      </c>
    </row>
    <row r="106" spans="1:29">
      <c r="A106" s="88"/>
      <c r="F106" s="128"/>
      <c r="G106" s="128"/>
      <c r="R106" s="144" t="s">
        <v>6345</v>
      </c>
      <c r="S106" s="145" t="s">
        <v>333</v>
      </c>
      <c r="U106" s="147"/>
      <c r="Y106" t="s">
        <v>6223</v>
      </c>
      <c r="Z106">
        <v>38</v>
      </c>
      <c r="AA106">
        <v>105</v>
      </c>
    </row>
    <row r="107" spans="1:29">
      <c r="A107" s="88"/>
      <c r="F107" s="128"/>
      <c r="G107" s="128"/>
      <c r="R107" s="144" t="s">
        <v>6346</v>
      </c>
      <c r="S107" s="145" t="s">
        <v>333</v>
      </c>
      <c r="U107" s="147"/>
      <c r="Y107" t="s">
        <v>6223</v>
      </c>
      <c r="Z107">
        <v>39</v>
      </c>
      <c r="AA107">
        <v>106</v>
      </c>
    </row>
    <row r="108" spans="1:29">
      <c r="A108" s="88"/>
      <c r="F108" s="128"/>
      <c r="G108" s="128"/>
      <c r="R108" s="144" t="s">
        <v>6347</v>
      </c>
      <c r="S108" s="145" t="s">
        <v>333</v>
      </c>
      <c r="U108" s="147"/>
      <c r="Y108" t="s">
        <v>6223</v>
      </c>
      <c r="Z108">
        <v>40</v>
      </c>
      <c r="AA108">
        <v>107</v>
      </c>
    </row>
    <row r="109" spans="1:29">
      <c r="A109" s="88"/>
      <c r="F109" s="128"/>
      <c r="G109" s="128"/>
      <c r="R109" s="144" t="s">
        <v>6348</v>
      </c>
      <c r="S109" s="145" t="s">
        <v>333</v>
      </c>
      <c r="U109" s="147"/>
      <c r="Y109" t="s">
        <v>6223</v>
      </c>
      <c r="Z109">
        <v>41</v>
      </c>
      <c r="AA109">
        <v>108</v>
      </c>
    </row>
    <row r="110" spans="1:29">
      <c r="A110" s="88"/>
      <c r="F110" s="128"/>
      <c r="G110" s="128"/>
      <c r="R110" s="144" t="s">
        <v>6349</v>
      </c>
      <c r="S110" s="145" t="s">
        <v>333</v>
      </c>
      <c r="U110" s="147"/>
      <c r="Y110" t="s">
        <v>6223</v>
      </c>
      <c r="Z110">
        <v>42</v>
      </c>
      <c r="AA110">
        <v>109</v>
      </c>
    </row>
    <row r="111" spans="1:29">
      <c r="A111" s="88"/>
      <c r="F111" s="128"/>
      <c r="G111" s="128"/>
      <c r="R111" s="144" t="s">
        <v>6350</v>
      </c>
      <c r="S111" s="145" t="s">
        <v>333</v>
      </c>
      <c r="U111" s="147"/>
      <c r="Y111" t="s">
        <v>6223</v>
      </c>
      <c r="Z111">
        <v>43</v>
      </c>
      <c r="AA111">
        <v>110</v>
      </c>
    </row>
    <row r="112" spans="1:29">
      <c r="A112" s="88"/>
      <c r="F112" s="128"/>
      <c r="G112" s="128"/>
      <c r="R112" s="144" t="s">
        <v>6351</v>
      </c>
      <c r="S112" s="145" t="s">
        <v>333</v>
      </c>
      <c r="U112" s="147"/>
      <c r="Y112" t="s">
        <v>6223</v>
      </c>
      <c r="Z112">
        <v>44</v>
      </c>
      <c r="AA112">
        <v>111</v>
      </c>
    </row>
    <row r="113" spans="1:27">
      <c r="A113" s="88"/>
      <c r="F113" s="128"/>
      <c r="G113" s="128"/>
      <c r="R113" s="144" t="s">
        <v>6352</v>
      </c>
      <c r="S113" s="145" t="s">
        <v>333</v>
      </c>
      <c r="U113" s="147"/>
      <c r="Y113" t="s">
        <v>6223</v>
      </c>
      <c r="Z113">
        <v>45</v>
      </c>
      <c r="AA113">
        <v>112</v>
      </c>
    </row>
    <row r="114" spans="1:27">
      <c r="A114" s="88"/>
      <c r="F114" s="128"/>
      <c r="G114" s="128"/>
      <c r="R114" s="144" t="s">
        <v>6353</v>
      </c>
      <c r="S114" s="145" t="s">
        <v>333</v>
      </c>
      <c r="U114" s="147"/>
      <c r="Y114" t="s">
        <v>6223</v>
      </c>
      <c r="Z114">
        <v>46</v>
      </c>
      <c r="AA114">
        <v>113</v>
      </c>
    </row>
    <row r="115" spans="1:27">
      <c r="A115" s="88"/>
      <c r="F115" s="128"/>
      <c r="G115" s="128"/>
      <c r="R115" s="144" t="s">
        <v>6354</v>
      </c>
      <c r="S115" s="145" t="s">
        <v>333</v>
      </c>
      <c r="U115" s="147"/>
      <c r="Y115" t="s">
        <v>6223</v>
      </c>
      <c r="Z115">
        <v>47</v>
      </c>
      <c r="AA115">
        <v>114</v>
      </c>
    </row>
    <row r="116" spans="1:27">
      <c r="A116" s="88"/>
      <c r="F116" s="128"/>
      <c r="G116" s="128"/>
      <c r="R116" s="144" t="s">
        <v>6355</v>
      </c>
      <c r="S116" s="145" t="s">
        <v>333</v>
      </c>
      <c r="U116" s="147"/>
      <c r="Y116" t="s">
        <v>6223</v>
      </c>
      <c r="Z116">
        <v>48</v>
      </c>
      <c r="AA116">
        <v>115</v>
      </c>
    </row>
    <row r="117" spans="1:27">
      <c r="A117" s="88"/>
      <c r="F117" s="128"/>
      <c r="G117" s="128"/>
      <c r="R117" s="144" t="s">
        <v>6356</v>
      </c>
      <c r="S117" s="145" t="s">
        <v>333</v>
      </c>
      <c r="U117" s="147"/>
      <c r="Y117" t="s">
        <v>6223</v>
      </c>
      <c r="Z117">
        <v>49</v>
      </c>
      <c r="AA117">
        <v>116</v>
      </c>
    </row>
    <row r="118" spans="1:27">
      <c r="A118" s="88"/>
      <c r="F118" s="128"/>
      <c r="G118" s="128"/>
      <c r="R118" s="144" t="s">
        <v>6357</v>
      </c>
      <c r="S118" s="145" t="s">
        <v>333</v>
      </c>
      <c r="U118" s="147"/>
      <c r="Y118" t="s">
        <v>6223</v>
      </c>
      <c r="Z118">
        <v>50</v>
      </c>
      <c r="AA118">
        <v>117</v>
      </c>
    </row>
    <row r="119" spans="1:27">
      <c r="A119" s="88"/>
      <c r="F119" s="128"/>
      <c r="G119" s="128"/>
      <c r="R119" s="144" t="s">
        <v>6358</v>
      </c>
      <c r="S119" s="145" t="s">
        <v>333</v>
      </c>
      <c r="U119" s="147"/>
      <c r="Y119" t="s">
        <v>6223</v>
      </c>
      <c r="Z119">
        <v>51</v>
      </c>
      <c r="AA119">
        <v>118</v>
      </c>
    </row>
    <row r="120" spans="1:27">
      <c r="A120" s="88"/>
      <c r="F120" s="129"/>
      <c r="G120" s="129"/>
      <c r="R120" s="144" t="s">
        <v>6359</v>
      </c>
      <c r="S120" s="145" t="s">
        <v>333</v>
      </c>
      <c r="U120" s="147"/>
      <c r="Y120" t="s">
        <v>6223</v>
      </c>
      <c r="Z120">
        <v>52</v>
      </c>
      <c r="AA120">
        <v>119</v>
      </c>
    </row>
    <row r="121" spans="1:27">
      <c r="A121" s="88"/>
      <c r="F121" s="128"/>
      <c r="G121" s="128"/>
      <c r="R121" s="144" t="s">
        <v>6360</v>
      </c>
      <c r="S121" s="145" t="s">
        <v>333</v>
      </c>
      <c r="U121" s="147"/>
      <c r="Y121" t="s">
        <v>6223</v>
      </c>
      <c r="Z121">
        <v>53</v>
      </c>
      <c r="AA121">
        <v>120</v>
      </c>
    </row>
    <row r="122" spans="1:27">
      <c r="A122" s="88"/>
      <c r="F122" s="128"/>
      <c r="G122" s="128"/>
      <c r="R122" s="144" t="s">
        <v>6361</v>
      </c>
      <c r="S122" s="145" t="s">
        <v>333</v>
      </c>
      <c r="U122" s="147"/>
      <c r="Y122" t="s">
        <v>6223</v>
      </c>
      <c r="Z122">
        <v>54</v>
      </c>
      <c r="AA122">
        <v>121</v>
      </c>
    </row>
    <row r="123" spans="1:27">
      <c r="A123" s="88"/>
      <c r="F123" s="128"/>
      <c r="G123" s="128"/>
      <c r="R123" s="144" t="s">
        <v>6362</v>
      </c>
      <c r="S123" s="145" t="s">
        <v>333</v>
      </c>
      <c r="U123" s="147"/>
      <c r="Y123" t="s">
        <v>6223</v>
      </c>
      <c r="Z123">
        <v>55</v>
      </c>
      <c r="AA123">
        <v>122</v>
      </c>
    </row>
    <row r="124" spans="1:27">
      <c r="A124" s="88"/>
      <c r="F124" s="128"/>
      <c r="G124" s="128"/>
      <c r="R124" s="144" t="s">
        <v>6363</v>
      </c>
      <c r="S124" s="145" t="s">
        <v>333</v>
      </c>
      <c r="U124" s="147"/>
      <c r="Y124" t="s">
        <v>6223</v>
      </c>
      <c r="Z124">
        <v>56</v>
      </c>
      <c r="AA124">
        <v>123</v>
      </c>
    </row>
    <row r="125" spans="1:27">
      <c r="A125" s="88"/>
      <c r="F125" s="128"/>
      <c r="G125" s="128"/>
      <c r="R125" s="144" t="s">
        <v>6364</v>
      </c>
      <c r="S125" s="145" t="s">
        <v>333</v>
      </c>
      <c r="U125" s="147"/>
      <c r="Y125" t="s">
        <v>6223</v>
      </c>
      <c r="Z125">
        <v>57</v>
      </c>
      <c r="AA125">
        <v>124</v>
      </c>
    </row>
    <row r="126" spans="1:27">
      <c r="A126" s="88"/>
      <c r="F126" s="128"/>
      <c r="G126" s="128"/>
      <c r="R126" s="144" t="s">
        <v>6365</v>
      </c>
      <c r="S126" s="145" t="s">
        <v>333</v>
      </c>
      <c r="U126" s="147"/>
      <c r="Y126" t="s">
        <v>6223</v>
      </c>
      <c r="Z126">
        <v>58</v>
      </c>
      <c r="AA126">
        <v>125</v>
      </c>
    </row>
    <row r="127" spans="1:27">
      <c r="A127" s="88"/>
      <c r="F127" s="128"/>
      <c r="G127" s="128"/>
      <c r="R127" s="144" t="s">
        <v>6366</v>
      </c>
      <c r="S127" s="145" t="s">
        <v>333</v>
      </c>
      <c r="U127" s="147"/>
      <c r="Y127" t="s">
        <v>6223</v>
      </c>
      <c r="Z127">
        <v>59</v>
      </c>
      <c r="AA127">
        <v>126</v>
      </c>
    </row>
    <row r="128" spans="1:27">
      <c r="A128" s="88"/>
      <c r="F128" s="128"/>
      <c r="G128" s="128"/>
      <c r="R128" s="144" t="s">
        <v>6368</v>
      </c>
      <c r="S128" s="145" t="s">
        <v>333</v>
      </c>
      <c r="U128" s="147"/>
      <c r="Y128" t="s">
        <v>6223</v>
      </c>
      <c r="Z128">
        <v>60</v>
      </c>
      <c r="AA128">
        <v>127</v>
      </c>
    </row>
    <row r="129" spans="1:27">
      <c r="A129" s="88"/>
      <c r="F129" s="128"/>
      <c r="G129" s="128"/>
      <c r="R129" s="144" t="s">
        <v>6369</v>
      </c>
      <c r="S129" s="145" t="s">
        <v>333</v>
      </c>
      <c r="U129" s="147"/>
      <c r="Y129" t="s">
        <v>6223</v>
      </c>
      <c r="Z129">
        <v>61</v>
      </c>
      <c r="AA129">
        <v>128</v>
      </c>
    </row>
    <row r="130" spans="1:27">
      <c r="A130" s="88"/>
      <c r="F130" s="128"/>
      <c r="G130" s="128"/>
      <c r="R130" s="144" t="s">
        <v>6370</v>
      </c>
      <c r="S130" s="145" t="s">
        <v>333</v>
      </c>
      <c r="U130" s="147"/>
      <c r="Y130" t="s">
        <v>6223</v>
      </c>
      <c r="Z130">
        <v>62</v>
      </c>
      <c r="AA130">
        <v>129</v>
      </c>
    </row>
    <row r="131" spans="1:27">
      <c r="A131" s="88"/>
      <c r="F131" s="128"/>
      <c r="G131" s="128"/>
      <c r="R131" s="144" t="s">
        <v>6371</v>
      </c>
      <c r="S131" s="145" t="s">
        <v>333</v>
      </c>
      <c r="U131" s="147"/>
      <c r="Y131" t="s">
        <v>6223</v>
      </c>
      <c r="Z131">
        <v>63</v>
      </c>
      <c r="AA131">
        <v>130</v>
      </c>
    </row>
    <row r="132" spans="1:27">
      <c r="A132" s="88"/>
      <c r="F132" s="128"/>
      <c r="G132" s="128"/>
      <c r="R132" s="144" t="s">
        <v>6372</v>
      </c>
      <c r="S132" s="145" t="s">
        <v>333</v>
      </c>
      <c r="U132" s="147"/>
      <c r="Y132" t="s">
        <v>6223</v>
      </c>
      <c r="Z132">
        <v>64</v>
      </c>
      <c r="AA132">
        <v>131</v>
      </c>
    </row>
    <row r="133" spans="1:27">
      <c r="A133" s="88"/>
      <c r="F133" s="128"/>
      <c r="G133" s="128"/>
      <c r="R133" s="144" t="s">
        <v>6373</v>
      </c>
      <c r="S133" s="145" t="s">
        <v>333</v>
      </c>
      <c r="U133" s="147"/>
      <c r="Y133" t="s">
        <v>6223</v>
      </c>
      <c r="Z133">
        <v>65</v>
      </c>
      <c r="AA133">
        <v>132</v>
      </c>
    </row>
    <row r="134" spans="1:27">
      <c r="A134" s="88"/>
      <c r="F134" s="128"/>
      <c r="G134" s="128"/>
      <c r="R134" s="144" t="s">
        <v>6374</v>
      </c>
      <c r="S134" s="145" t="s">
        <v>333</v>
      </c>
      <c r="U134" s="147"/>
      <c r="Y134" t="s">
        <v>6223</v>
      </c>
      <c r="Z134">
        <v>66</v>
      </c>
      <c r="AA134">
        <v>133</v>
      </c>
    </row>
    <row r="135" spans="1:27">
      <c r="A135" s="88"/>
      <c r="F135" s="128"/>
      <c r="G135" s="128"/>
      <c r="R135" s="144" t="s">
        <v>6375</v>
      </c>
      <c r="S135" s="145" t="s">
        <v>333</v>
      </c>
      <c r="U135" s="147"/>
      <c r="Y135" t="s">
        <v>6223</v>
      </c>
      <c r="Z135">
        <v>67</v>
      </c>
      <c r="AA135">
        <v>134</v>
      </c>
    </row>
    <row r="136" spans="1:27">
      <c r="A136" s="88"/>
      <c r="F136" s="128"/>
      <c r="G136" s="128"/>
      <c r="R136" s="144" t="s">
        <v>6376</v>
      </c>
      <c r="S136" s="145" t="s">
        <v>333</v>
      </c>
      <c r="U136" s="147"/>
      <c r="Y136" t="s">
        <v>6223</v>
      </c>
      <c r="Z136">
        <v>68</v>
      </c>
      <c r="AA136">
        <v>135</v>
      </c>
    </row>
    <row r="137" spans="1:27">
      <c r="A137" s="88"/>
      <c r="F137" s="129"/>
      <c r="G137" s="129"/>
      <c r="R137" s="144" t="s">
        <v>6377</v>
      </c>
      <c r="S137" s="145" t="s">
        <v>333</v>
      </c>
      <c r="U137" s="147"/>
      <c r="Y137" t="s">
        <v>6223</v>
      </c>
      <c r="Z137">
        <v>69</v>
      </c>
      <c r="AA137">
        <v>136</v>
      </c>
    </row>
    <row r="138" spans="1:27">
      <c r="A138" s="88"/>
      <c r="F138" s="128"/>
      <c r="G138" s="128"/>
      <c r="R138" s="144" t="s">
        <v>6378</v>
      </c>
      <c r="S138" s="145" t="s">
        <v>333</v>
      </c>
      <c r="U138" s="147"/>
      <c r="Y138" t="s">
        <v>6223</v>
      </c>
      <c r="Z138">
        <v>70</v>
      </c>
      <c r="AA138">
        <v>137</v>
      </c>
    </row>
    <row r="139" spans="1:27">
      <c r="A139" s="88"/>
      <c r="F139" s="128"/>
      <c r="G139" s="128"/>
      <c r="R139" s="144" t="s">
        <v>6379</v>
      </c>
      <c r="S139" s="145" t="s">
        <v>333</v>
      </c>
      <c r="U139" s="147"/>
      <c r="Y139" t="s">
        <v>6223</v>
      </c>
      <c r="Z139">
        <v>71</v>
      </c>
      <c r="AA139">
        <v>138</v>
      </c>
    </row>
    <row r="140" spans="1:27">
      <c r="A140" s="88"/>
      <c r="F140" s="128"/>
      <c r="G140" s="128"/>
      <c r="R140" s="144" t="s">
        <v>6380</v>
      </c>
      <c r="S140" s="145" t="s">
        <v>333</v>
      </c>
      <c r="U140" s="147"/>
      <c r="Y140" t="s">
        <v>6223</v>
      </c>
      <c r="Z140">
        <v>72</v>
      </c>
      <c r="AA140">
        <v>139</v>
      </c>
    </row>
    <row r="141" spans="1:27">
      <c r="A141" s="88"/>
      <c r="F141" s="128"/>
      <c r="G141" s="128"/>
      <c r="R141" s="144" t="s">
        <v>6381</v>
      </c>
      <c r="S141" s="145" t="s">
        <v>333</v>
      </c>
      <c r="U141" s="147"/>
      <c r="Y141" t="s">
        <v>6223</v>
      </c>
      <c r="Z141">
        <v>73</v>
      </c>
      <c r="AA141">
        <v>140</v>
      </c>
    </row>
    <row r="142" spans="1:27">
      <c r="A142" s="88"/>
      <c r="F142" s="128"/>
      <c r="G142" s="128"/>
      <c r="R142" s="144" t="s">
        <v>6382</v>
      </c>
      <c r="S142" s="145" t="s">
        <v>333</v>
      </c>
      <c r="U142" s="147"/>
      <c r="Y142" t="s">
        <v>6223</v>
      </c>
      <c r="Z142">
        <v>74</v>
      </c>
      <c r="AA142">
        <v>141</v>
      </c>
    </row>
    <row r="143" spans="1:27">
      <c r="A143" s="88"/>
      <c r="F143" s="128"/>
      <c r="G143" s="128"/>
      <c r="R143" s="144" t="s">
        <v>6383</v>
      </c>
      <c r="S143" s="145" t="s">
        <v>333</v>
      </c>
      <c r="U143" s="147"/>
      <c r="Y143" t="s">
        <v>6223</v>
      </c>
      <c r="Z143">
        <v>75</v>
      </c>
      <c r="AA143">
        <v>142</v>
      </c>
    </row>
    <row r="144" spans="1:27">
      <c r="A144" s="88"/>
      <c r="F144" s="128"/>
      <c r="G144" s="128"/>
      <c r="R144" s="144" t="s">
        <v>6384</v>
      </c>
      <c r="S144" s="145" t="s">
        <v>333</v>
      </c>
      <c r="U144" s="147"/>
      <c r="Y144" t="s">
        <v>6223</v>
      </c>
      <c r="Z144">
        <v>76</v>
      </c>
      <c r="AA144">
        <v>143</v>
      </c>
    </row>
    <row r="145" spans="1:27">
      <c r="A145" s="88"/>
      <c r="F145" s="128"/>
      <c r="G145" s="128"/>
      <c r="R145" s="144" t="s">
        <v>6385</v>
      </c>
      <c r="S145" s="145" t="s">
        <v>333</v>
      </c>
      <c r="U145" s="147"/>
      <c r="Y145" t="s">
        <v>6223</v>
      </c>
      <c r="Z145">
        <v>77</v>
      </c>
      <c r="AA145">
        <v>144</v>
      </c>
    </row>
    <row r="146" spans="1:27">
      <c r="A146" s="88"/>
      <c r="F146" s="128"/>
      <c r="G146" s="128"/>
      <c r="R146" s="144" t="s">
        <v>6386</v>
      </c>
      <c r="S146" s="145" t="s">
        <v>333</v>
      </c>
      <c r="U146" s="147"/>
      <c r="Y146" t="s">
        <v>6223</v>
      </c>
      <c r="Z146">
        <v>78</v>
      </c>
      <c r="AA146">
        <v>145</v>
      </c>
    </row>
    <row r="147" spans="1:27">
      <c r="A147" s="88"/>
      <c r="F147" s="128"/>
      <c r="G147" s="128"/>
      <c r="R147" s="144" t="s">
        <v>6387</v>
      </c>
      <c r="S147" s="145" t="s">
        <v>333</v>
      </c>
      <c r="U147" s="147"/>
      <c r="Y147" t="s">
        <v>6223</v>
      </c>
      <c r="Z147">
        <v>79</v>
      </c>
      <c r="AA147">
        <v>146</v>
      </c>
    </row>
    <row r="148" spans="1:27">
      <c r="A148" s="88"/>
      <c r="F148" s="128"/>
      <c r="G148" s="128"/>
      <c r="R148" s="144" t="s">
        <v>6388</v>
      </c>
      <c r="S148" s="145" t="s">
        <v>333</v>
      </c>
      <c r="U148" s="147"/>
      <c r="Y148" t="s">
        <v>6223</v>
      </c>
      <c r="Z148">
        <v>80</v>
      </c>
      <c r="AA148">
        <v>147</v>
      </c>
    </row>
    <row r="149" spans="1:27">
      <c r="A149" s="88"/>
      <c r="F149" s="128"/>
      <c r="G149" s="128"/>
      <c r="R149" s="144" t="s">
        <v>6389</v>
      </c>
      <c r="S149" s="145" t="s">
        <v>333</v>
      </c>
      <c r="U149" s="147"/>
      <c r="Y149" t="s">
        <v>6223</v>
      </c>
      <c r="Z149">
        <v>81</v>
      </c>
      <c r="AA149">
        <v>148</v>
      </c>
    </row>
    <row r="150" spans="1:27">
      <c r="A150" s="88"/>
      <c r="F150" s="128"/>
      <c r="G150" s="128"/>
      <c r="R150" s="144" t="s">
        <v>6390</v>
      </c>
      <c r="S150" s="145" t="s">
        <v>333</v>
      </c>
      <c r="U150" s="147"/>
      <c r="Y150" t="s">
        <v>6223</v>
      </c>
      <c r="Z150">
        <v>82</v>
      </c>
      <c r="AA150">
        <v>149</v>
      </c>
    </row>
    <row r="151" spans="1:27">
      <c r="A151" s="88"/>
      <c r="F151" s="128"/>
      <c r="G151" s="128"/>
      <c r="R151" s="144" t="s">
        <v>6391</v>
      </c>
      <c r="S151" s="145" t="s">
        <v>333</v>
      </c>
      <c r="U151" s="147"/>
      <c r="Y151" t="s">
        <v>6223</v>
      </c>
      <c r="Z151">
        <v>83</v>
      </c>
      <c r="AA151">
        <v>150</v>
      </c>
    </row>
    <row r="152" spans="1:27">
      <c r="A152" s="88"/>
      <c r="F152" s="128"/>
      <c r="G152" s="128"/>
      <c r="R152" s="144" t="s">
        <v>6392</v>
      </c>
      <c r="S152" s="145" t="s">
        <v>333</v>
      </c>
      <c r="U152" s="147"/>
      <c r="Y152" t="s">
        <v>6223</v>
      </c>
      <c r="Z152">
        <v>84</v>
      </c>
      <c r="AA152">
        <v>151</v>
      </c>
    </row>
    <row r="153" spans="1:27">
      <c r="A153" s="88"/>
      <c r="F153" s="128"/>
      <c r="G153" s="128"/>
      <c r="R153" s="144" t="s">
        <v>6393</v>
      </c>
      <c r="S153" s="145" t="s">
        <v>333</v>
      </c>
      <c r="U153" s="147"/>
      <c r="Y153" t="s">
        <v>6225</v>
      </c>
      <c r="Z153">
        <v>4</v>
      </c>
      <c r="AA153">
        <v>152</v>
      </c>
    </row>
    <row r="154" spans="1:27">
      <c r="A154" s="88"/>
      <c r="F154" s="129"/>
      <c r="G154" s="129"/>
      <c r="R154" s="144" t="s">
        <v>6394</v>
      </c>
      <c r="S154" s="145" t="s">
        <v>333</v>
      </c>
      <c r="U154" s="147"/>
      <c r="Y154" t="s">
        <v>6225</v>
      </c>
      <c r="Z154">
        <v>5</v>
      </c>
      <c r="AA154">
        <v>153</v>
      </c>
    </row>
    <row r="155" spans="1:27">
      <c r="R155" s="144" t="s">
        <v>6395</v>
      </c>
      <c r="S155" s="145" t="s">
        <v>333</v>
      </c>
      <c r="U155" s="147"/>
      <c r="Y155" t="s">
        <v>6225</v>
      </c>
      <c r="Z155">
        <v>6</v>
      </c>
      <c r="AA155">
        <v>154</v>
      </c>
    </row>
    <row r="156" spans="1:27">
      <c r="R156" s="144" t="s">
        <v>6396</v>
      </c>
      <c r="S156" s="145" t="s">
        <v>333</v>
      </c>
      <c r="U156" s="147"/>
      <c r="Y156" t="s">
        <v>6225</v>
      </c>
      <c r="Z156">
        <v>7</v>
      </c>
      <c r="AA156">
        <v>155</v>
      </c>
    </row>
    <row r="157" spans="1:27">
      <c r="R157" s="144" t="s">
        <v>6397</v>
      </c>
      <c r="S157" s="145" t="s">
        <v>333</v>
      </c>
      <c r="U157" s="147"/>
      <c r="Y157" t="s">
        <v>6225</v>
      </c>
      <c r="Z157">
        <v>8</v>
      </c>
      <c r="AA157">
        <v>156</v>
      </c>
    </row>
    <row r="158" spans="1:27">
      <c r="R158" s="144" t="s">
        <v>6398</v>
      </c>
      <c r="S158" s="145" t="s">
        <v>333</v>
      </c>
      <c r="U158" s="147"/>
      <c r="Y158" t="s">
        <v>6225</v>
      </c>
      <c r="Z158">
        <v>9</v>
      </c>
      <c r="AA158">
        <v>157</v>
      </c>
    </row>
    <row r="159" spans="1:27">
      <c r="R159" s="144" t="s">
        <v>6399</v>
      </c>
      <c r="S159" s="145" t="s">
        <v>333</v>
      </c>
      <c r="U159" s="147"/>
      <c r="Y159" t="s">
        <v>6225</v>
      </c>
      <c r="Z159">
        <v>10</v>
      </c>
      <c r="AA159">
        <v>158</v>
      </c>
    </row>
    <row r="160" spans="1:27">
      <c r="R160" s="144" t="s">
        <v>6400</v>
      </c>
      <c r="S160" s="145" t="s">
        <v>333</v>
      </c>
      <c r="U160" s="147"/>
      <c r="Y160" t="s">
        <v>6225</v>
      </c>
      <c r="Z160">
        <v>11</v>
      </c>
      <c r="AA160">
        <v>159</v>
      </c>
    </row>
    <row r="161" spans="18:27">
      <c r="R161" s="144" t="s">
        <v>6401</v>
      </c>
      <c r="S161" s="145" t="s">
        <v>333</v>
      </c>
      <c r="U161" s="147"/>
      <c r="Y161" t="s">
        <v>6225</v>
      </c>
      <c r="Z161">
        <v>12</v>
      </c>
      <c r="AA161">
        <v>160</v>
      </c>
    </row>
    <row r="162" spans="18:27">
      <c r="R162" s="144" t="s">
        <v>6402</v>
      </c>
      <c r="S162" s="145" t="s">
        <v>333</v>
      </c>
      <c r="U162" s="147"/>
      <c r="Y162" t="s">
        <v>6225</v>
      </c>
      <c r="Z162">
        <v>13</v>
      </c>
      <c r="AA162">
        <v>161</v>
      </c>
    </row>
    <row r="163" spans="18:27">
      <c r="R163" s="144" t="s">
        <v>6403</v>
      </c>
      <c r="S163" s="145" t="s">
        <v>333</v>
      </c>
      <c r="U163" s="147"/>
      <c r="Y163" t="s">
        <v>6225</v>
      </c>
      <c r="Z163">
        <v>14</v>
      </c>
      <c r="AA163">
        <v>162</v>
      </c>
    </row>
    <row r="164" spans="18:27">
      <c r="R164" s="144" t="s">
        <v>6404</v>
      </c>
      <c r="S164" s="145" t="s">
        <v>333</v>
      </c>
      <c r="U164" s="147"/>
      <c r="Y164" t="s">
        <v>6225</v>
      </c>
      <c r="Z164">
        <v>15</v>
      </c>
      <c r="AA164">
        <v>163</v>
      </c>
    </row>
    <row r="165" spans="18:27">
      <c r="R165" s="144" t="s">
        <v>6405</v>
      </c>
      <c r="S165" s="145" t="s">
        <v>333</v>
      </c>
      <c r="U165" s="147"/>
      <c r="Y165" t="s">
        <v>6225</v>
      </c>
      <c r="Z165">
        <v>16</v>
      </c>
      <c r="AA165">
        <v>164</v>
      </c>
    </row>
    <row r="166" spans="18:27">
      <c r="R166" s="144" t="s">
        <v>6406</v>
      </c>
      <c r="S166" s="145" t="s">
        <v>333</v>
      </c>
      <c r="U166" s="147"/>
      <c r="Y166" t="s">
        <v>6225</v>
      </c>
      <c r="Z166">
        <v>17</v>
      </c>
      <c r="AA166">
        <v>165</v>
      </c>
    </row>
    <row r="167" spans="18:27">
      <c r="R167" s="144" t="s">
        <v>6407</v>
      </c>
      <c r="S167" s="145" t="s">
        <v>333</v>
      </c>
      <c r="U167" s="147"/>
      <c r="Y167" t="s">
        <v>6225</v>
      </c>
      <c r="Z167">
        <v>18</v>
      </c>
      <c r="AA167">
        <v>166</v>
      </c>
    </row>
    <row r="168" spans="18:27">
      <c r="R168" s="144" t="s">
        <v>6408</v>
      </c>
      <c r="S168" s="145" t="s">
        <v>333</v>
      </c>
      <c r="U168" s="147"/>
      <c r="Y168" t="s">
        <v>6225</v>
      </c>
      <c r="Z168">
        <v>19</v>
      </c>
      <c r="AA168">
        <v>167</v>
      </c>
    </row>
    <row r="169" spans="18:27">
      <c r="R169" s="144" t="s">
        <v>6409</v>
      </c>
      <c r="S169" s="145" t="s">
        <v>333</v>
      </c>
      <c r="U169" s="147"/>
      <c r="Y169" t="s">
        <v>6225</v>
      </c>
      <c r="Z169">
        <v>20</v>
      </c>
      <c r="AA169">
        <v>168</v>
      </c>
    </row>
    <row r="170" spans="18:27">
      <c r="R170" s="144" t="s">
        <v>6410</v>
      </c>
      <c r="S170" s="145" t="s">
        <v>333</v>
      </c>
      <c r="U170" s="147"/>
      <c r="Y170" t="s">
        <v>6225</v>
      </c>
      <c r="Z170">
        <v>21</v>
      </c>
      <c r="AA170">
        <v>169</v>
      </c>
    </row>
    <row r="171" spans="18:27">
      <c r="R171" s="144" t="s">
        <v>6411</v>
      </c>
      <c r="S171" s="145" t="s">
        <v>333</v>
      </c>
      <c r="U171" s="147"/>
      <c r="Y171" t="s">
        <v>6225</v>
      </c>
      <c r="Z171">
        <v>22</v>
      </c>
      <c r="AA171">
        <v>170</v>
      </c>
    </row>
    <row r="172" spans="18:27">
      <c r="R172" s="144" t="s">
        <v>6412</v>
      </c>
      <c r="S172" s="145" t="s">
        <v>333</v>
      </c>
      <c r="U172" s="147"/>
      <c r="Y172" t="s">
        <v>6225</v>
      </c>
      <c r="Z172">
        <v>23</v>
      </c>
      <c r="AA172">
        <v>171</v>
      </c>
    </row>
    <row r="173" spans="18:27">
      <c r="R173" s="144" t="s">
        <v>6413</v>
      </c>
      <c r="S173" s="145" t="s">
        <v>333</v>
      </c>
      <c r="U173" s="147"/>
      <c r="Y173" t="s">
        <v>6225</v>
      </c>
      <c r="Z173">
        <v>24</v>
      </c>
      <c r="AA173">
        <v>172</v>
      </c>
    </row>
    <row r="174" spans="18:27">
      <c r="R174" s="144" t="s">
        <v>6414</v>
      </c>
      <c r="S174" s="145" t="s">
        <v>333</v>
      </c>
      <c r="U174" s="147"/>
      <c r="Y174" t="s">
        <v>6225</v>
      </c>
      <c r="Z174">
        <v>25</v>
      </c>
      <c r="AA174">
        <v>173</v>
      </c>
    </row>
    <row r="175" spans="18:27">
      <c r="R175" s="144" t="s">
        <v>6415</v>
      </c>
      <c r="S175" s="145" t="s">
        <v>333</v>
      </c>
      <c r="U175" s="147"/>
      <c r="Y175" t="s">
        <v>6225</v>
      </c>
      <c r="Z175">
        <v>26</v>
      </c>
      <c r="AA175">
        <v>174</v>
      </c>
    </row>
    <row r="176" spans="18:27">
      <c r="R176" s="144" t="s">
        <v>6416</v>
      </c>
      <c r="S176" s="145" t="s">
        <v>333</v>
      </c>
      <c r="U176" s="147"/>
      <c r="Y176" t="s">
        <v>6225</v>
      </c>
      <c r="Z176">
        <v>27</v>
      </c>
      <c r="AA176">
        <v>175</v>
      </c>
    </row>
    <row r="177" spans="18:27">
      <c r="R177" s="144" t="s">
        <v>6417</v>
      </c>
      <c r="S177" s="145" t="s">
        <v>333</v>
      </c>
      <c r="U177" s="147"/>
      <c r="Y177" t="s">
        <v>6225</v>
      </c>
      <c r="Z177">
        <v>28</v>
      </c>
      <c r="AA177">
        <v>176</v>
      </c>
    </row>
    <row r="178" spans="18:27">
      <c r="R178" s="144" t="s">
        <v>6418</v>
      </c>
      <c r="S178" s="145" t="s">
        <v>333</v>
      </c>
      <c r="U178" s="147"/>
      <c r="Y178" t="s">
        <v>6225</v>
      </c>
      <c r="Z178">
        <v>29</v>
      </c>
      <c r="AA178">
        <v>177</v>
      </c>
    </row>
    <row r="179" spans="18:27">
      <c r="R179" s="144" t="s">
        <v>6419</v>
      </c>
      <c r="S179" s="145" t="s">
        <v>333</v>
      </c>
      <c r="U179" s="147"/>
      <c r="Y179" t="s">
        <v>6225</v>
      </c>
      <c r="Z179">
        <v>30</v>
      </c>
      <c r="AA179">
        <v>178</v>
      </c>
    </row>
    <row r="180" spans="18:27">
      <c r="R180" s="144" t="s">
        <v>6420</v>
      </c>
      <c r="S180" s="145" t="s">
        <v>333</v>
      </c>
      <c r="U180" s="147"/>
      <c r="Y180" t="s">
        <v>6225</v>
      </c>
      <c r="Z180">
        <v>31</v>
      </c>
      <c r="AA180">
        <v>179</v>
      </c>
    </row>
    <row r="181" spans="18:27">
      <c r="R181" s="144" t="s">
        <v>6421</v>
      </c>
      <c r="S181" s="145" t="s">
        <v>333</v>
      </c>
      <c r="U181" s="147"/>
      <c r="Y181" t="s">
        <v>6225</v>
      </c>
      <c r="Z181">
        <v>32</v>
      </c>
      <c r="AA181">
        <v>180</v>
      </c>
    </row>
    <row r="182" spans="18:27">
      <c r="R182" s="144" t="s">
        <v>6422</v>
      </c>
      <c r="S182" s="145" t="s">
        <v>333</v>
      </c>
      <c r="U182" s="147"/>
      <c r="Y182" t="s">
        <v>6225</v>
      </c>
      <c r="Z182">
        <v>33</v>
      </c>
      <c r="AA182">
        <v>181</v>
      </c>
    </row>
    <row r="183" spans="18:27">
      <c r="R183" s="144" t="s">
        <v>6423</v>
      </c>
      <c r="S183" s="145" t="s">
        <v>333</v>
      </c>
      <c r="U183" s="147"/>
      <c r="Y183" t="s">
        <v>6225</v>
      </c>
      <c r="Z183">
        <v>34</v>
      </c>
      <c r="AA183">
        <v>182</v>
      </c>
    </row>
    <row r="184" spans="18:27">
      <c r="R184" s="144" t="s">
        <v>6424</v>
      </c>
      <c r="S184" s="145" t="s">
        <v>333</v>
      </c>
      <c r="U184" s="147"/>
      <c r="Y184" t="s">
        <v>6225</v>
      </c>
      <c r="Z184">
        <v>35</v>
      </c>
      <c r="AA184">
        <v>183</v>
      </c>
    </row>
    <row r="185" spans="18:27">
      <c r="R185" s="144" t="s">
        <v>6425</v>
      </c>
      <c r="S185" s="145" t="s">
        <v>333</v>
      </c>
      <c r="U185" s="147"/>
      <c r="Y185" t="s">
        <v>6225</v>
      </c>
      <c r="Z185">
        <v>36</v>
      </c>
      <c r="AA185">
        <v>184</v>
      </c>
    </row>
    <row r="186" spans="18:27">
      <c r="R186" s="144" t="s">
        <v>6426</v>
      </c>
      <c r="S186" s="145" t="s">
        <v>333</v>
      </c>
      <c r="U186" s="147"/>
      <c r="Y186" t="s">
        <v>6225</v>
      </c>
      <c r="Z186">
        <v>37</v>
      </c>
      <c r="AA186">
        <v>185</v>
      </c>
    </row>
    <row r="187" spans="18:27">
      <c r="R187" s="144" t="s">
        <v>6427</v>
      </c>
      <c r="S187" s="145" t="s">
        <v>333</v>
      </c>
      <c r="U187" s="147"/>
      <c r="Y187" t="s">
        <v>6225</v>
      </c>
      <c r="Z187">
        <v>38</v>
      </c>
      <c r="AA187">
        <v>186</v>
      </c>
    </row>
    <row r="188" spans="18:27">
      <c r="R188" s="144" t="s">
        <v>6428</v>
      </c>
      <c r="S188" s="145" t="s">
        <v>333</v>
      </c>
      <c r="U188" s="147"/>
      <c r="Y188" t="s">
        <v>6225</v>
      </c>
      <c r="Z188">
        <v>39</v>
      </c>
      <c r="AA188">
        <v>187</v>
      </c>
    </row>
    <row r="189" spans="18:27">
      <c r="R189" s="144" t="s">
        <v>6429</v>
      </c>
      <c r="S189" s="145" t="s">
        <v>333</v>
      </c>
      <c r="U189" s="147"/>
      <c r="Y189" t="s">
        <v>6225</v>
      </c>
      <c r="Z189">
        <v>40</v>
      </c>
      <c r="AA189">
        <v>188</v>
      </c>
    </row>
    <row r="190" spans="18:27">
      <c r="R190" s="144" t="s">
        <v>6430</v>
      </c>
      <c r="S190" s="145" t="s">
        <v>333</v>
      </c>
      <c r="U190" s="147"/>
      <c r="Y190" t="s">
        <v>6225</v>
      </c>
      <c r="Z190">
        <v>41</v>
      </c>
      <c r="AA190">
        <v>189</v>
      </c>
    </row>
    <row r="191" spans="18:27">
      <c r="R191" s="144" t="s">
        <v>6431</v>
      </c>
      <c r="S191" s="145" t="s">
        <v>333</v>
      </c>
      <c r="U191" s="147"/>
      <c r="Y191" t="s">
        <v>6225</v>
      </c>
      <c r="Z191">
        <v>42</v>
      </c>
      <c r="AA191">
        <v>190</v>
      </c>
    </row>
    <row r="192" spans="18:27">
      <c r="R192" s="144" t="s">
        <v>6432</v>
      </c>
      <c r="S192" s="145" t="s">
        <v>333</v>
      </c>
      <c r="U192" s="147"/>
      <c r="Y192" t="s">
        <v>6225</v>
      </c>
      <c r="Z192">
        <v>43</v>
      </c>
      <c r="AA192">
        <v>191</v>
      </c>
    </row>
    <row r="193" spans="21:27">
      <c r="U193" s="147"/>
      <c r="Y193" t="s">
        <v>6225</v>
      </c>
      <c r="Z193">
        <v>44</v>
      </c>
      <c r="AA193">
        <v>192</v>
      </c>
    </row>
    <row r="194" spans="21:27">
      <c r="U194" s="147"/>
      <c r="Y194" t="s">
        <v>6225</v>
      </c>
      <c r="Z194">
        <v>45</v>
      </c>
      <c r="AA194">
        <v>193</v>
      </c>
    </row>
    <row r="195" spans="21:27">
      <c r="U195" s="147"/>
      <c r="Y195" t="s">
        <v>6225</v>
      </c>
      <c r="Z195">
        <v>46</v>
      </c>
      <c r="AA195">
        <v>194</v>
      </c>
    </row>
    <row r="196" spans="21:27">
      <c r="U196" s="147"/>
      <c r="Y196" t="s">
        <v>6225</v>
      </c>
      <c r="Z196">
        <v>47</v>
      </c>
      <c r="AA196">
        <v>195</v>
      </c>
    </row>
    <row r="197" spans="21:27">
      <c r="U197" s="147"/>
      <c r="Y197" t="s">
        <v>6225</v>
      </c>
      <c r="Z197">
        <v>48</v>
      </c>
      <c r="AA197">
        <v>196</v>
      </c>
    </row>
    <row r="198" spans="21:27">
      <c r="U198" s="147"/>
      <c r="Y198" t="s">
        <v>6225</v>
      </c>
      <c r="Z198">
        <v>49</v>
      </c>
      <c r="AA198">
        <v>197</v>
      </c>
    </row>
    <row r="199" spans="21:27">
      <c r="U199" s="147"/>
      <c r="Y199" t="s">
        <v>6225</v>
      </c>
      <c r="Z199">
        <v>50</v>
      </c>
      <c r="AA199">
        <v>198</v>
      </c>
    </row>
    <row r="200" spans="21:27">
      <c r="U200" s="147"/>
      <c r="Y200" t="s">
        <v>6225</v>
      </c>
      <c r="Z200">
        <v>51</v>
      </c>
      <c r="AA200">
        <v>199</v>
      </c>
    </row>
    <row r="201" spans="21:27">
      <c r="U201" s="147"/>
      <c r="Y201" t="s">
        <v>6225</v>
      </c>
      <c r="Z201">
        <v>52</v>
      </c>
      <c r="AA201">
        <v>200</v>
      </c>
    </row>
    <row r="202" spans="21:27">
      <c r="U202" s="147"/>
      <c r="Y202" t="s">
        <v>6225</v>
      </c>
      <c r="Z202">
        <v>53</v>
      </c>
      <c r="AA202">
        <v>201</v>
      </c>
    </row>
    <row r="203" spans="21:27">
      <c r="U203" s="147"/>
      <c r="Y203" t="s">
        <v>6225</v>
      </c>
      <c r="Z203">
        <v>54</v>
      </c>
      <c r="AA203">
        <v>202</v>
      </c>
    </row>
    <row r="204" spans="21:27">
      <c r="U204" s="147"/>
      <c r="Y204" t="s">
        <v>6225</v>
      </c>
      <c r="Z204">
        <v>55</v>
      </c>
      <c r="AA204">
        <v>203</v>
      </c>
    </row>
    <row r="205" spans="21:27">
      <c r="U205" s="147"/>
      <c r="Y205" t="s">
        <v>6225</v>
      </c>
      <c r="Z205">
        <v>56</v>
      </c>
      <c r="AA205">
        <v>204</v>
      </c>
    </row>
    <row r="206" spans="21:27">
      <c r="U206" s="147"/>
      <c r="Y206" t="s">
        <v>6225</v>
      </c>
      <c r="Z206">
        <v>57</v>
      </c>
      <c r="AA206">
        <v>205</v>
      </c>
    </row>
    <row r="207" spans="21:27">
      <c r="U207" s="147"/>
      <c r="Y207" t="s">
        <v>6225</v>
      </c>
      <c r="Z207">
        <v>58</v>
      </c>
      <c r="AA207">
        <v>206</v>
      </c>
    </row>
    <row r="208" spans="21:27">
      <c r="U208" s="147"/>
      <c r="Y208" t="s">
        <v>6225</v>
      </c>
      <c r="Z208">
        <v>59</v>
      </c>
      <c r="AA208">
        <v>207</v>
      </c>
    </row>
    <row r="209" spans="21:27">
      <c r="U209" s="147"/>
      <c r="Y209" t="s">
        <v>6225</v>
      </c>
      <c r="Z209">
        <v>60</v>
      </c>
      <c r="AA209">
        <v>208</v>
      </c>
    </row>
    <row r="210" spans="21:27">
      <c r="U210" s="147"/>
      <c r="Y210" t="s">
        <v>6225</v>
      </c>
      <c r="Z210">
        <v>61</v>
      </c>
      <c r="AA210">
        <v>209</v>
      </c>
    </row>
    <row r="211" spans="21:27">
      <c r="U211" s="147"/>
      <c r="Y211" t="s">
        <v>6225</v>
      </c>
      <c r="Z211">
        <v>62</v>
      </c>
      <c r="AA211">
        <v>210</v>
      </c>
    </row>
    <row r="212" spans="21:27">
      <c r="U212" s="147"/>
      <c r="Y212" t="s">
        <v>6225</v>
      </c>
      <c r="Z212">
        <v>63</v>
      </c>
      <c r="AA212">
        <v>211</v>
      </c>
    </row>
    <row r="213" spans="21:27">
      <c r="U213" s="147"/>
      <c r="Y213" t="s">
        <v>6225</v>
      </c>
      <c r="Z213">
        <v>64</v>
      </c>
      <c r="AA213">
        <v>212</v>
      </c>
    </row>
    <row r="214" spans="21:27">
      <c r="U214" s="147"/>
      <c r="Y214" t="s">
        <v>6225</v>
      </c>
      <c r="Z214">
        <v>65</v>
      </c>
      <c r="AA214">
        <v>213</v>
      </c>
    </row>
    <row r="215" spans="21:27">
      <c r="U215" s="147"/>
      <c r="Y215" t="s">
        <v>6225</v>
      </c>
      <c r="Z215">
        <v>66</v>
      </c>
      <c r="AA215">
        <v>214</v>
      </c>
    </row>
    <row r="216" spans="21:27">
      <c r="U216" s="147"/>
      <c r="Y216" t="s">
        <v>6225</v>
      </c>
      <c r="Z216">
        <v>67</v>
      </c>
      <c r="AA216">
        <v>215</v>
      </c>
    </row>
    <row r="217" spans="21:27">
      <c r="U217" s="147"/>
      <c r="Y217" t="s">
        <v>6225</v>
      </c>
      <c r="Z217">
        <v>68</v>
      </c>
      <c r="AA217">
        <v>216</v>
      </c>
    </row>
    <row r="218" spans="21:27">
      <c r="U218" s="147"/>
      <c r="Y218" t="s">
        <v>6225</v>
      </c>
      <c r="Z218">
        <v>69</v>
      </c>
      <c r="AA218">
        <v>217</v>
      </c>
    </row>
    <row r="219" spans="21:27">
      <c r="U219" s="147"/>
      <c r="Y219" t="s">
        <v>6225</v>
      </c>
      <c r="Z219">
        <v>70</v>
      </c>
      <c r="AA219">
        <v>218</v>
      </c>
    </row>
    <row r="220" spans="21:27">
      <c r="U220" s="147"/>
      <c r="Y220" t="s">
        <v>6225</v>
      </c>
      <c r="Z220">
        <v>71</v>
      </c>
      <c r="AA220">
        <v>219</v>
      </c>
    </row>
    <row r="221" spans="21:27">
      <c r="U221" s="147"/>
      <c r="Y221" t="s">
        <v>6225</v>
      </c>
      <c r="Z221">
        <v>72</v>
      </c>
      <c r="AA221">
        <v>220</v>
      </c>
    </row>
    <row r="222" spans="21:27">
      <c r="U222" s="147"/>
      <c r="Y222" t="s">
        <v>6225</v>
      </c>
      <c r="Z222">
        <v>73</v>
      </c>
      <c r="AA222">
        <v>221</v>
      </c>
    </row>
    <row r="223" spans="21:27">
      <c r="U223" s="147"/>
      <c r="Y223" t="s">
        <v>6225</v>
      </c>
      <c r="Z223">
        <v>74</v>
      </c>
      <c r="AA223">
        <v>222</v>
      </c>
    </row>
    <row r="224" spans="21:27">
      <c r="U224" s="147"/>
      <c r="Y224" t="s">
        <v>6225</v>
      </c>
      <c r="Z224">
        <v>75</v>
      </c>
      <c r="AA224">
        <v>223</v>
      </c>
    </row>
    <row r="225" spans="21:27">
      <c r="U225" s="147"/>
      <c r="Y225" t="s">
        <v>6225</v>
      </c>
      <c r="Z225">
        <v>76</v>
      </c>
      <c r="AA225">
        <v>224</v>
      </c>
    </row>
    <row r="226" spans="21:27">
      <c r="U226" s="147"/>
      <c r="Y226" t="s">
        <v>6225</v>
      </c>
      <c r="Z226">
        <v>77</v>
      </c>
      <c r="AA226">
        <v>225</v>
      </c>
    </row>
    <row r="227" spans="21:27">
      <c r="U227" s="147"/>
      <c r="Y227" t="s">
        <v>6225</v>
      </c>
      <c r="Z227">
        <v>78</v>
      </c>
      <c r="AA227">
        <v>226</v>
      </c>
    </row>
    <row r="228" spans="21:27">
      <c r="U228" s="147"/>
      <c r="Y228" t="s">
        <v>6225</v>
      </c>
      <c r="Z228">
        <v>79</v>
      </c>
      <c r="AA228">
        <v>227</v>
      </c>
    </row>
    <row r="229" spans="21:27">
      <c r="U229" s="147"/>
      <c r="Y229" t="s">
        <v>6225</v>
      </c>
      <c r="Z229">
        <v>80</v>
      </c>
      <c r="AA229">
        <v>228</v>
      </c>
    </row>
    <row r="230" spans="21:27">
      <c r="U230" s="147"/>
      <c r="Y230" t="s">
        <v>6225</v>
      </c>
      <c r="Z230">
        <v>81</v>
      </c>
      <c r="AA230">
        <v>229</v>
      </c>
    </row>
    <row r="231" spans="21:27">
      <c r="U231" s="147"/>
      <c r="Y231" t="s">
        <v>6225</v>
      </c>
      <c r="Z231">
        <v>82</v>
      </c>
      <c r="AA231">
        <v>230</v>
      </c>
    </row>
    <row r="232" spans="21:27">
      <c r="U232" s="147"/>
      <c r="Y232" t="s">
        <v>6225</v>
      </c>
      <c r="Z232">
        <v>83</v>
      </c>
      <c r="AA232">
        <v>231</v>
      </c>
    </row>
    <row r="233" spans="21:27">
      <c r="U233" s="147"/>
      <c r="Y233" t="s">
        <v>6225</v>
      </c>
      <c r="Z233">
        <v>84</v>
      </c>
      <c r="AA233">
        <v>232</v>
      </c>
    </row>
    <row r="234" spans="21:27">
      <c r="U234" s="147"/>
      <c r="Y234" t="s">
        <v>6225</v>
      </c>
      <c r="Z234">
        <v>85</v>
      </c>
      <c r="AA234">
        <v>233</v>
      </c>
    </row>
    <row r="235" spans="21:27">
      <c r="U235" s="147"/>
      <c r="Y235" t="s">
        <v>6225</v>
      </c>
      <c r="Z235">
        <v>86</v>
      </c>
      <c r="AA235">
        <v>234</v>
      </c>
    </row>
    <row r="236" spans="21:27">
      <c r="U236" s="147"/>
      <c r="Y236" t="s">
        <v>6225</v>
      </c>
      <c r="Z236">
        <v>87</v>
      </c>
      <c r="AA236">
        <v>235</v>
      </c>
    </row>
    <row r="237" spans="21:27">
      <c r="U237" s="147"/>
      <c r="Y237" t="s">
        <v>6225</v>
      </c>
      <c r="Z237">
        <v>88</v>
      </c>
      <c r="AA237">
        <v>236</v>
      </c>
    </row>
    <row r="238" spans="21:27">
      <c r="U238" s="147"/>
      <c r="Y238" t="s">
        <v>6225</v>
      </c>
      <c r="Z238">
        <v>89</v>
      </c>
      <c r="AA238">
        <v>237</v>
      </c>
    </row>
    <row r="239" spans="21:27">
      <c r="U239" s="147"/>
      <c r="Y239" t="s">
        <v>6225</v>
      </c>
      <c r="Z239">
        <v>90</v>
      </c>
      <c r="AA239">
        <v>238</v>
      </c>
    </row>
    <row r="240" spans="21:27">
      <c r="U240" s="147"/>
      <c r="Y240" t="s">
        <v>6225</v>
      </c>
      <c r="Z240">
        <v>91</v>
      </c>
      <c r="AA240">
        <v>239</v>
      </c>
    </row>
    <row r="241" spans="21:27">
      <c r="U241" s="147"/>
      <c r="Y241" t="s">
        <v>6225</v>
      </c>
      <c r="Z241">
        <v>92</v>
      </c>
      <c r="AA241">
        <v>240</v>
      </c>
    </row>
    <row r="242" spans="21:27">
      <c r="U242" s="147"/>
      <c r="Y242" t="s">
        <v>6225</v>
      </c>
      <c r="Z242">
        <v>93</v>
      </c>
      <c r="AA242">
        <v>241</v>
      </c>
    </row>
    <row r="243" spans="21:27">
      <c r="U243" s="147"/>
      <c r="Y243" t="s">
        <v>6225</v>
      </c>
      <c r="Z243">
        <v>94</v>
      </c>
      <c r="AA243">
        <v>242</v>
      </c>
    </row>
    <row r="244" spans="21:27">
      <c r="U244" s="147"/>
      <c r="Y244" t="s">
        <v>6225</v>
      </c>
      <c r="Z244">
        <v>95</v>
      </c>
      <c r="AA244">
        <v>243</v>
      </c>
    </row>
    <row r="245" spans="21:27">
      <c r="U245" s="147"/>
      <c r="Y245" t="s">
        <v>6225</v>
      </c>
      <c r="Z245">
        <v>96</v>
      </c>
      <c r="AA245">
        <v>244</v>
      </c>
    </row>
    <row r="246" spans="21:27">
      <c r="U246" s="147"/>
      <c r="Y246" t="s">
        <v>6228</v>
      </c>
      <c r="Z246">
        <v>4</v>
      </c>
      <c r="AA246">
        <v>245</v>
      </c>
    </row>
    <row r="247" spans="21:27">
      <c r="U247" s="147"/>
      <c r="Y247" t="s">
        <v>6228</v>
      </c>
      <c r="Z247">
        <v>5</v>
      </c>
      <c r="AA247">
        <v>246</v>
      </c>
    </row>
    <row r="248" spans="21:27">
      <c r="U248" s="147"/>
      <c r="Y248" t="s">
        <v>6228</v>
      </c>
      <c r="Z248">
        <v>6</v>
      </c>
      <c r="AA248">
        <v>247</v>
      </c>
    </row>
    <row r="249" spans="21:27">
      <c r="U249" s="147"/>
      <c r="Y249" t="s">
        <v>6228</v>
      </c>
      <c r="Z249">
        <v>7</v>
      </c>
      <c r="AA249">
        <v>248</v>
      </c>
    </row>
    <row r="250" spans="21:27">
      <c r="U250" s="147"/>
      <c r="Y250" t="s">
        <v>6228</v>
      </c>
      <c r="Z250">
        <v>8</v>
      </c>
      <c r="AA250">
        <v>249</v>
      </c>
    </row>
    <row r="251" spans="21:27">
      <c r="U251" s="147"/>
      <c r="Y251" t="s">
        <v>6228</v>
      </c>
      <c r="Z251">
        <v>9</v>
      </c>
      <c r="AA251">
        <v>250</v>
      </c>
    </row>
    <row r="252" spans="21:27">
      <c r="U252" s="147"/>
      <c r="Y252" t="s">
        <v>6228</v>
      </c>
      <c r="Z252">
        <v>10</v>
      </c>
    </row>
    <row r="253" spans="21:27">
      <c r="U253" s="147"/>
      <c r="Y253" t="s">
        <v>6228</v>
      </c>
      <c r="Z253">
        <v>11</v>
      </c>
    </row>
    <row r="254" spans="21:27">
      <c r="U254" s="147"/>
      <c r="Y254" t="s">
        <v>6228</v>
      </c>
      <c r="Z254">
        <v>12</v>
      </c>
    </row>
    <row r="255" spans="21:27">
      <c r="U255" s="147"/>
      <c r="Y255" t="s">
        <v>6228</v>
      </c>
      <c r="Z255">
        <v>13</v>
      </c>
    </row>
    <row r="256" spans="21:27">
      <c r="U256" s="147"/>
      <c r="Y256" t="s">
        <v>6228</v>
      </c>
      <c r="Z256">
        <v>14</v>
      </c>
    </row>
    <row r="257" spans="21:26">
      <c r="U257" s="147"/>
      <c r="Y257" t="s">
        <v>6228</v>
      </c>
      <c r="Z257">
        <v>15</v>
      </c>
    </row>
    <row r="258" spans="21:26">
      <c r="U258" s="147"/>
      <c r="Y258" t="s">
        <v>6228</v>
      </c>
      <c r="Z258">
        <v>16</v>
      </c>
    </row>
    <row r="259" spans="21:26">
      <c r="U259" s="147"/>
      <c r="Y259" t="s">
        <v>6228</v>
      </c>
      <c r="Z259">
        <v>17</v>
      </c>
    </row>
    <row r="260" spans="21:26">
      <c r="U260" s="147"/>
      <c r="Y260" t="s">
        <v>6228</v>
      </c>
      <c r="Z260">
        <v>18</v>
      </c>
    </row>
    <row r="261" spans="21:26">
      <c r="U261" s="147"/>
      <c r="Y261" t="s">
        <v>6228</v>
      </c>
      <c r="Z261">
        <v>19</v>
      </c>
    </row>
    <row r="262" spans="21:26">
      <c r="U262" s="147"/>
      <c r="Y262" t="s">
        <v>6228</v>
      </c>
      <c r="Z262">
        <v>20</v>
      </c>
    </row>
    <row r="263" spans="21:26">
      <c r="U263" s="147"/>
      <c r="Y263" t="s">
        <v>6228</v>
      </c>
      <c r="Z263">
        <v>21</v>
      </c>
    </row>
    <row r="264" spans="21:26">
      <c r="U264" s="147"/>
      <c r="Y264" t="s">
        <v>6228</v>
      </c>
      <c r="Z264">
        <v>22</v>
      </c>
    </row>
    <row r="265" spans="21:26">
      <c r="U265" s="147"/>
      <c r="Y265" t="s">
        <v>6228</v>
      </c>
      <c r="Z265">
        <v>23</v>
      </c>
    </row>
    <row r="266" spans="21:26">
      <c r="U266" s="147"/>
      <c r="Y266" t="s">
        <v>6228</v>
      </c>
      <c r="Z266">
        <v>24</v>
      </c>
    </row>
    <row r="267" spans="21:26">
      <c r="U267" s="147"/>
      <c r="Y267" t="s">
        <v>6228</v>
      </c>
      <c r="Z267">
        <v>25</v>
      </c>
    </row>
    <row r="268" spans="21:26">
      <c r="U268" s="147"/>
      <c r="Y268" t="s">
        <v>6228</v>
      </c>
      <c r="Z268">
        <v>26</v>
      </c>
    </row>
    <row r="269" spans="21:26">
      <c r="U269" s="147"/>
      <c r="Y269" t="s">
        <v>6228</v>
      </c>
      <c r="Z269">
        <v>27</v>
      </c>
    </row>
    <row r="270" spans="21:26">
      <c r="U270" s="147"/>
      <c r="Y270" t="s">
        <v>6228</v>
      </c>
      <c r="Z270">
        <v>28</v>
      </c>
    </row>
    <row r="271" spans="21:26">
      <c r="U271" s="147"/>
      <c r="Y271" t="s">
        <v>6228</v>
      </c>
      <c r="Z271">
        <v>29</v>
      </c>
    </row>
    <row r="272" spans="21:26">
      <c r="U272" s="147"/>
      <c r="Y272" t="s">
        <v>6228</v>
      </c>
      <c r="Z272">
        <v>30</v>
      </c>
    </row>
    <row r="273" spans="21:26">
      <c r="U273" s="147"/>
      <c r="Y273" t="s">
        <v>6228</v>
      </c>
      <c r="Z273">
        <v>31</v>
      </c>
    </row>
    <row r="274" spans="21:26">
      <c r="U274" s="147"/>
      <c r="Y274" t="s">
        <v>6228</v>
      </c>
      <c r="Z274">
        <v>32</v>
      </c>
    </row>
    <row r="275" spans="21:26">
      <c r="U275" s="147"/>
      <c r="Y275" t="s">
        <v>6228</v>
      </c>
      <c r="Z275">
        <v>33</v>
      </c>
    </row>
    <row r="276" spans="21:26">
      <c r="U276" s="147"/>
      <c r="Y276" t="s">
        <v>6228</v>
      </c>
      <c r="Z276">
        <v>34</v>
      </c>
    </row>
    <row r="277" spans="21:26">
      <c r="U277" s="147"/>
      <c r="Y277" t="s">
        <v>6228</v>
      </c>
      <c r="Z277">
        <v>35</v>
      </c>
    </row>
    <row r="278" spans="21:26">
      <c r="U278" s="147"/>
      <c r="Y278" t="s">
        <v>6228</v>
      </c>
      <c r="Z278">
        <v>36</v>
      </c>
    </row>
    <row r="279" spans="21:26">
      <c r="U279" s="147"/>
      <c r="Y279" t="s">
        <v>6228</v>
      </c>
      <c r="Z279">
        <v>37</v>
      </c>
    </row>
    <row r="280" spans="21:26">
      <c r="U280" s="147"/>
      <c r="Y280" t="s">
        <v>6228</v>
      </c>
      <c r="Z280">
        <v>38</v>
      </c>
    </row>
    <row r="281" spans="21:26">
      <c r="U281" s="147"/>
      <c r="Y281" t="s">
        <v>6228</v>
      </c>
      <c r="Z281">
        <v>39</v>
      </c>
    </row>
    <row r="282" spans="21:26">
      <c r="U282" s="147"/>
      <c r="Y282" t="s">
        <v>6228</v>
      </c>
      <c r="Z282">
        <v>40</v>
      </c>
    </row>
    <row r="283" spans="21:26">
      <c r="U283" s="147"/>
      <c r="Y283" t="s">
        <v>6228</v>
      </c>
      <c r="Z283">
        <v>41</v>
      </c>
    </row>
    <row r="284" spans="21:26">
      <c r="U284" s="147"/>
      <c r="Y284" t="s">
        <v>6228</v>
      </c>
      <c r="Z284">
        <v>42</v>
      </c>
    </row>
    <row r="285" spans="21:26">
      <c r="U285" s="147"/>
      <c r="Y285" t="s">
        <v>6228</v>
      </c>
      <c r="Z285">
        <v>43</v>
      </c>
    </row>
    <row r="286" spans="21:26">
      <c r="U286" s="147"/>
      <c r="Y286" t="s">
        <v>6228</v>
      </c>
      <c r="Z286">
        <v>44</v>
      </c>
    </row>
    <row r="287" spans="21:26">
      <c r="U287" s="147"/>
      <c r="Y287" t="s">
        <v>6228</v>
      </c>
      <c r="Z287">
        <v>45</v>
      </c>
    </row>
    <row r="288" spans="21:26">
      <c r="U288" s="147"/>
      <c r="Y288" t="s">
        <v>6228</v>
      </c>
      <c r="Z288">
        <v>46</v>
      </c>
    </row>
    <row r="289" spans="21:26">
      <c r="U289" s="147"/>
      <c r="Y289" t="s">
        <v>6228</v>
      </c>
      <c r="Z289">
        <v>47</v>
      </c>
    </row>
    <row r="290" spans="21:26">
      <c r="U290" s="147"/>
      <c r="Y290" t="s">
        <v>6228</v>
      </c>
      <c r="Z290">
        <v>48</v>
      </c>
    </row>
    <row r="291" spans="21:26">
      <c r="U291" s="147"/>
      <c r="Y291" t="s">
        <v>6228</v>
      </c>
      <c r="Z291">
        <v>49</v>
      </c>
    </row>
    <row r="292" spans="21:26">
      <c r="U292" s="147"/>
      <c r="Y292" t="s">
        <v>6228</v>
      </c>
      <c r="Z292">
        <v>50</v>
      </c>
    </row>
    <row r="293" spans="21:26">
      <c r="U293" s="147"/>
      <c r="Y293" t="s">
        <v>6228</v>
      </c>
      <c r="Z293">
        <v>51</v>
      </c>
    </row>
    <row r="294" spans="21:26">
      <c r="U294" s="147"/>
      <c r="Y294" t="s">
        <v>6228</v>
      </c>
      <c r="Z294">
        <v>52</v>
      </c>
    </row>
    <row r="295" spans="21:26">
      <c r="U295" s="147"/>
      <c r="Y295" t="s">
        <v>6228</v>
      </c>
      <c r="Z295">
        <v>53</v>
      </c>
    </row>
    <row r="296" spans="21:26">
      <c r="U296" s="147"/>
      <c r="Y296" t="s">
        <v>6228</v>
      </c>
      <c r="Z296">
        <v>54</v>
      </c>
    </row>
    <row r="297" spans="21:26">
      <c r="U297" s="147"/>
      <c r="Y297" t="s">
        <v>6228</v>
      </c>
      <c r="Z297">
        <v>55</v>
      </c>
    </row>
    <row r="298" spans="21:26">
      <c r="U298" s="147"/>
      <c r="Y298" t="s">
        <v>6228</v>
      </c>
      <c r="Z298">
        <v>56</v>
      </c>
    </row>
    <row r="299" spans="21:26">
      <c r="U299" s="147"/>
      <c r="Y299" t="s">
        <v>6228</v>
      </c>
      <c r="Z299">
        <v>57</v>
      </c>
    </row>
    <row r="300" spans="21:26">
      <c r="U300" s="147"/>
      <c r="Y300" t="s">
        <v>6228</v>
      </c>
      <c r="Z300">
        <v>58</v>
      </c>
    </row>
    <row r="301" spans="21:26">
      <c r="U301" s="147"/>
      <c r="Y301" t="s">
        <v>6228</v>
      </c>
      <c r="Z301">
        <v>59</v>
      </c>
    </row>
    <row r="302" spans="21:26">
      <c r="U302" s="147"/>
      <c r="Y302" t="s">
        <v>6228</v>
      </c>
      <c r="Z302">
        <v>60</v>
      </c>
    </row>
    <row r="303" spans="21:26">
      <c r="U303" s="147"/>
      <c r="Y303" t="s">
        <v>6228</v>
      </c>
      <c r="Z303">
        <v>61</v>
      </c>
    </row>
    <row r="304" spans="21:26">
      <c r="U304" s="147"/>
      <c r="Y304" t="s">
        <v>6228</v>
      </c>
      <c r="Z304">
        <v>62</v>
      </c>
    </row>
    <row r="305" spans="21:26">
      <c r="U305" s="147"/>
      <c r="Y305" t="s">
        <v>6228</v>
      </c>
      <c r="Z305">
        <v>63</v>
      </c>
    </row>
    <row r="306" spans="21:26">
      <c r="U306" s="147"/>
      <c r="Y306" t="s">
        <v>6228</v>
      </c>
      <c r="Z306">
        <v>64</v>
      </c>
    </row>
    <row r="307" spans="21:26">
      <c r="U307" s="147"/>
      <c r="Y307" t="s">
        <v>6228</v>
      </c>
      <c r="Z307">
        <v>65</v>
      </c>
    </row>
    <row r="308" spans="21:26">
      <c r="U308" s="147"/>
      <c r="Y308" t="s">
        <v>6228</v>
      </c>
      <c r="Z308">
        <v>66</v>
      </c>
    </row>
    <row r="309" spans="21:26">
      <c r="U309" s="147"/>
      <c r="Y309" t="s">
        <v>6228</v>
      </c>
      <c r="Z309">
        <v>67</v>
      </c>
    </row>
    <row r="310" spans="21:26">
      <c r="U310" s="147"/>
      <c r="Y310" t="s">
        <v>6228</v>
      </c>
      <c r="Z310">
        <v>68</v>
      </c>
    </row>
    <row r="311" spans="21:26">
      <c r="U311" s="147"/>
      <c r="Y311" t="s">
        <v>6228</v>
      </c>
      <c r="Z311">
        <v>69</v>
      </c>
    </row>
    <row r="312" spans="21:26">
      <c r="U312" s="147"/>
      <c r="Y312" t="s">
        <v>6228</v>
      </c>
      <c r="Z312">
        <v>70</v>
      </c>
    </row>
    <row r="313" spans="21:26">
      <c r="U313" s="147"/>
      <c r="Y313" t="s">
        <v>6228</v>
      </c>
      <c r="Z313">
        <v>71</v>
      </c>
    </row>
    <row r="314" spans="21:26">
      <c r="U314" s="147"/>
      <c r="Y314" t="s">
        <v>6228</v>
      </c>
      <c r="Z314">
        <v>72</v>
      </c>
    </row>
    <row r="315" spans="21:26">
      <c r="U315" s="147"/>
      <c r="Y315" t="s">
        <v>6228</v>
      </c>
      <c r="Z315">
        <v>73</v>
      </c>
    </row>
    <row r="316" spans="21:26">
      <c r="U316" s="147"/>
      <c r="Y316" t="s">
        <v>6228</v>
      </c>
      <c r="Z316">
        <v>74</v>
      </c>
    </row>
    <row r="317" spans="21:26">
      <c r="U317" s="147"/>
      <c r="Y317" t="s">
        <v>6228</v>
      </c>
      <c r="Z317">
        <v>75</v>
      </c>
    </row>
    <row r="318" spans="21:26">
      <c r="U318" s="147"/>
      <c r="Y318" t="s">
        <v>6228</v>
      </c>
      <c r="Z318">
        <v>76</v>
      </c>
    </row>
    <row r="319" spans="21:26">
      <c r="U319" s="147"/>
      <c r="Y319" t="s">
        <v>6228</v>
      </c>
      <c r="Z319">
        <v>77</v>
      </c>
    </row>
    <row r="320" spans="21:26">
      <c r="U320" s="147"/>
      <c r="Y320" t="s">
        <v>6228</v>
      </c>
      <c r="Z320">
        <v>78</v>
      </c>
    </row>
    <row r="321" spans="21:26">
      <c r="U321" s="147"/>
      <c r="Y321" t="s">
        <v>6228</v>
      </c>
      <c r="Z321">
        <v>79</v>
      </c>
    </row>
    <row r="322" spans="21:26">
      <c r="U322" s="147"/>
      <c r="Y322" t="s">
        <v>6228</v>
      </c>
      <c r="Z322">
        <v>80</v>
      </c>
    </row>
    <row r="323" spans="21:26">
      <c r="U323" s="147"/>
      <c r="Y323" t="s">
        <v>6228</v>
      </c>
      <c r="Z323">
        <v>81</v>
      </c>
    </row>
    <row r="324" spans="21:26">
      <c r="U324" s="147"/>
      <c r="Y324" t="s">
        <v>6228</v>
      </c>
      <c r="Z324">
        <v>82</v>
      </c>
    </row>
    <row r="325" spans="21:26">
      <c r="U325" s="147"/>
      <c r="Y325" t="s">
        <v>6228</v>
      </c>
      <c r="Z325">
        <v>83</v>
      </c>
    </row>
    <row r="326" spans="21:26">
      <c r="U326" s="147"/>
      <c r="Y326" t="s">
        <v>6228</v>
      </c>
      <c r="Z326">
        <v>84</v>
      </c>
    </row>
    <row r="327" spans="21:26">
      <c r="U327" s="147"/>
      <c r="Y327" t="s">
        <v>6228</v>
      </c>
      <c r="Z327">
        <v>85</v>
      </c>
    </row>
    <row r="328" spans="21:26">
      <c r="U328" s="147"/>
      <c r="Y328" t="s">
        <v>6228</v>
      </c>
      <c r="Z328">
        <v>86</v>
      </c>
    </row>
    <row r="329" spans="21:26">
      <c r="U329" s="147"/>
      <c r="Y329" t="s">
        <v>6228</v>
      </c>
      <c r="Z329">
        <v>87</v>
      </c>
    </row>
    <row r="330" spans="21:26">
      <c r="U330" s="147"/>
      <c r="Y330" t="s">
        <v>6228</v>
      </c>
      <c r="Z330">
        <v>88</v>
      </c>
    </row>
    <row r="331" spans="21:26">
      <c r="Y331" t="s">
        <v>6228</v>
      </c>
      <c r="Z331">
        <v>89</v>
      </c>
    </row>
    <row r="332" spans="21:26">
      <c r="Y332" t="s">
        <v>6228</v>
      </c>
      <c r="Z332">
        <v>90</v>
      </c>
    </row>
    <row r="333" spans="21:26">
      <c r="Y333" t="s">
        <v>6228</v>
      </c>
      <c r="Z333">
        <v>91</v>
      </c>
    </row>
    <row r="334" spans="21:26">
      <c r="Y334" t="s">
        <v>6228</v>
      </c>
      <c r="Z334">
        <v>92</v>
      </c>
    </row>
    <row r="335" spans="21:26">
      <c r="Y335" t="s">
        <v>6228</v>
      </c>
      <c r="Z335">
        <v>93</v>
      </c>
    </row>
    <row r="336" spans="21:26">
      <c r="Y336" t="s">
        <v>6228</v>
      </c>
      <c r="Z336">
        <v>94</v>
      </c>
    </row>
    <row r="337" spans="25:26">
      <c r="Y337" t="s">
        <v>6228</v>
      </c>
      <c r="Z337">
        <v>95</v>
      </c>
    </row>
    <row r="338" spans="25:26">
      <c r="Y338" t="s">
        <v>6228</v>
      </c>
      <c r="Z338">
        <v>96</v>
      </c>
    </row>
    <row r="339" spans="25:26">
      <c r="Y339" t="s">
        <v>6228</v>
      </c>
      <c r="Z339">
        <v>97</v>
      </c>
    </row>
    <row r="340" spans="25:26">
      <c r="Y340" t="s">
        <v>6228</v>
      </c>
      <c r="Z340">
        <v>98</v>
      </c>
    </row>
    <row r="341" spans="25:26">
      <c r="Y341" t="s">
        <v>6228</v>
      </c>
      <c r="Z341">
        <v>99</v>
      </c>
    </row>
    <row r="342" spans="25:26">
      <c r="Y342" t="s">
        <v>6228</v>
      </c>
      <c r="Z342">
        <v>100</v>
      </c>
    </row>
    <row r="343" spans="25:26">
      <c r="Y343" t="s">
        <v>6228</v>
      </c>
      <c r="Z343">
        <v>101</v>
      </c>
    </row>
    <row r="344" spans="25:26">
      <c r="Y344" t="s">
        <v>6228</v>
      </c>
      <c r="Z344">
        <v>102</v>
      </c>
    </row>
    <row r="345" spans="25:26">
      <c r="Y345" t="s">
        <v>6228</v>
      </c>
      <c r="Z345">
        <v>103</v>
      </c>
    </row>
    <row r="346" spans="25:26">
      <c r="Y346" t="s">
        <v>6228</v>
      </c>
      <c r="Z346">
        <v>104</v>
      </c>
    </row>
    <row r="347" spans="25:26">
      <c r="Y347" t="s">
        <v>6228</v>
      </c>
      <c r="Z347">
        <v>105</v>
      </c>
    </row>
    <row r="348" spans="25:26">
      <c r="Y348" t="s">
        <v>6228</v>
      </c>
      <c r="Z348">
        <v>106</v>
      </c>
    </row>
    <row r="349" spans="25:26">
      <c r="Y349" t="s">
        <v>6228</v>
      </c>
      <c r="Z349">
        <v>107</v>
      </c>
    </row>
    <row r="350" spans="25:26">
      <c r="Y350" t="s">
        <v>6228</v>
      </c>
      <c r="Z350">
        <v>108</v>
      </c>
    </row>
    <row r="351" spans="25:26">
      <c r="Y351" t="s">
        <v>6228</v>
      </c>
      <c r="Z351">
        <v>109</v>
      </c>
    </row>
    <row r="352" spans="25:26">
      <c r="Y352" t="s">
        <v>6228</v>
      </c>
      <c r="Z352">
        <v>110</v>
      </c>
    </row>
    <row r="353" spans="25:26">
      <c r="Y353" t="s">
        <v>6228</v>
      </c>
      <c r="Z353">
        <v>111</v>
      </c>
    </row>
    <row r="354" spans="25:26">
      <c r="Y354" t="s">
        <v>6228</v>
      </c>
      <c r="Z354">
        <v>112</v>
      </c>
    </row>
    <row r="355" spans="25:26">
      <c r="Y355" t="s">
        <v>6228</v>
      </c>
      <c r="Z355">
        <v>113</v>
      </c>
    </row>
    <row r="356" spans="25:26">
      <c r="Y356" t="s">
        <v>6228</v>
      </c>
      <c r="Z356">
        <v>114</v>
      </c>
    </row>
    <row r="357" spans="25:26">
      <c r="Y357" t="s">
        <v>6228</v>
      </c>
      <c r="Z357">
        <v>115</v>
      </c>
    </row>
    <row r="358" spans="25:26">
      <c r="Y358" t="s">
        <v>6228</v>
      </c>
      <c r="Z358">
        <v>116</v>
      </c>
    </row>
    <row r="359" spans="25:26">
      <c r="Y359" t="s">
        <v>6228</v>
      </c>
      <c r="Z359">
        <v>117</v>
      </c>
    </row>
    <row r="360" spans="25:26">
      <c r="Y360" t="s">
        <v>6228</v>
      </c>
      <c r="Z360">
        <v>118</v>
      </c>
    </row>
    <row r="361" spans="25:26">
      <c r="Y361" t="s">
        <v>6228</v>
      </c>
      <c r="Z361">
        <v>119</v>
      </c>
    </row>
    <row r="362" spans="25:26">
      <c r="Y362" t="s">
        <v>6228</v>
      </c>
      <c r="Z362">
        <v>120</v>
      </c>
    </row>
    <row r="363" spans="25:26">
      <c r="Y363" t="s">
        <v>6228</v>
      </c>
      <c r="Z363">
        <v>121</v>
      </c>
    </row>
    <row r="364" spans="25:26">
      <c r="Y364" t="s">
        <v>6228</v>
      </c>
      <c r="Z364">
        <v>122</v>
      </c>
    </row>
    <row r="365" spans="25:26">
      <c r="Y365" t="s">
        <v>6228</v>
      </c>
      <c r="Z365">
        <v>123</v>
      </c>
    </row>
    <row r="366" spans="25:26">
      <c r="Y366" t="s">
        <v>6228</v>
      </c>
      <c r="Z366">
        <v>124</v>
      </c>
    </row>
    <row r="367" spans="25:26">
      <c r="Y367" t="s">
        <v>6228</v>
      </c>
      <c r="Z367">
        <v>125</v>
      </c>
    </row>
    <row r="368" spans="25:26">
      <c r="Y368" t="s">
        <v>6228</v>
      </c>
      <c r="Z368">
        <v>126</v>
      </c>
    </row>
    <row r="369" spans="25:26">
      <c r="Y369" t="s">
        <v>6228</v>
      </c>
      <c r="Z369">
        <v>127</v>
      </c>
    </row>
    <row r="370" spans="25:26">
      <c r="Y370" t="s">
        <v>6228</v>
      </c>
      <c r="Z370">
        <v>128</v>
      </c>
    </row>
    <row r="371" spans="25:26">
      <c r="Y371" t="s">
        <v>6228</v>
      </c>
      <c r="Z371">
        <v>129</v>
      </c>
    </row>
    <row r="372" spans="25:26">
      <c r="Y372" t="s">
        <v>6228</v>
      </c>
      <c r="Z372">
        <v>130</v>
      </c>
    </row>
    <row r="373" spans="25:26">
      <c r="Y373" t="s">
        <v>6228</v>
      </c>
      <c r="Z373">
        <v>131</v>
      </c>
    </row>
    <row r="374" spans="25:26">
      <c r="Y374" t="s">
        <v>6228</v>
      </c>
      <c r="Z374">
        <v>132</v>
      </c>
    </row>
    <row r="375" spans="25:26">
      <c r="Y375" t="s">
        <v>6228</v>
      </c>
      <c r="Z375">
        <v>133</v>
      </c>
    </row>
    <row r="376" spans="25:26">
      <c r="Y376" t="s">
        <v>6228</v>
      </c>
      <c r="Z376">
        <v>134</v>
      </c>
    </row>
    <row r="377" spans="25:26">
      <c r="Y377" t="s">
        <v>6228</v>
      </c>
      <c r="Z377">
        <v>135</v>
      </c>
    </row>
    <row r="378" spans="25:26">
      <c r="Y378" t="s">
        <v>6228</v>
      </c>
      <c r="Z378">
        <v>136</v>
      </c>
    </row>
    <row r="379" spans="25:26">
      <c r="Y379" t="s">
        <v>6228</v>
      </c>
      <c r="Z379">
        <v>137</v>
      </c>
    </row>
    <row r="380" spans="25:26">
      <c r="Y380" t="s">
        <v>6228</v>
      </c>
      <c r="Z380">
        <v>138</v>
      </c>
    </row>
    <row r="381" spans="25:26">
      <c r="Y381" t="s">
        <v>6228</v>
      </c>
      <c r="Z381">
        <v>139</v>
      </c>
    </row>
    <row r="382" spans="25:26">
      <c r="Y382" t="s">
        <v>6228</v>
      </c>
      <c r="Z382">
        <v>140</v>
      </c>
    </row>
    <row r="383" spans="25:26">
      <c r="Y383" t="s">
        <v>6228</v>
      </c>
      <c r="Z383">
        <v>141</v>
      </c>
    </row>
    <row r="384" spans="25:26">
      <c r="Y384" t="s">
        <v>6228</v>
      </c>
      <c r="Z384">
        <v>142</v>
      </c>
    </row>
    <row r="385" spans="25:26">
      <c r="Y385" t="s">
        <v>6228</v>
      </c>
      <c r="Z385">
        <v>143</v>
      </c>
    </row>
    <row r="386" spans="25:26">
      <c r="Y386" t="s">
        <v>6228</v>
      </c>
      <c r="Z386">
        <v>144</v>
      </c>
    </row>
    <row r="387" spans="25:26">
      <c r="Y387" t="s">
        <v>6228</v>
      </c>
      <c r="Z387">
        <v>145</v>
      </c>
    </row>
    <row r="388" spans="25:26">
      <c r="Y388" t="s">
        <v>6228</v>
      </c>
      <c r="Z388">
        <v>146</v>
      </c>
    </row>
    <row r="389" spans="25:26">
      <c r="Y389" t="s">
        <v>6228</v>
      </c>
      <c r="Z389">
        <v>147</v>
      </c>
    </row>
    <row r="390" spans="25:26">
      <c r="Y390" t="s">
        <v>6228</v>
      </c>
      <c r="Z390">
        <v>148</v>
      </c>
    </row>
    <row r="391" spans="25:26">
      <c r="Y391" t="s">
        <v>6228</v>
      </c>
      <c r="Z391">
        <v>149</v>
      </c>
    </row>
    <row r="392" spans="25:26">
      <c r="Y392" t="s">
        <v>6228</v>
      </c>
      <c r="Z392">
        <v>150</v>
      </c>
    </row>
    <row r="393" spans="25:26">
      <c r="Y393" t="s">
        <v>6228</v>
      </c>
      <c r="Z393">
        <v>151</v>
      </c>
    </row>
    <row r="394" spans="25:26">
      <c r="Y394" t="s">
        <v>6228</v>
      </c>
      <c r="Z394">
        <v>152</v>
      </c>
    </row>
    <row r="395" spans="25:26">
      <c r="Y395" t="s">
        <v>6228</v>
      </c>
      <c r="Z395">
        <v>153</v>
      </c>
    </row>
    <row r="396" spans="25:26">
      <c r="Y396" t="s">
        <v>6228</v>
      </c>
      <c r="Z396">
        <v>154</v>
      </c>
    </row>
    <row r="397" spans="25:26">
      <c r="Y397" t="s">
        <v>6228</v>
      </c>
      <c r="Z397">
        <v>155</v>
      </c>
    </row>
    <row r="398" spans="25:26">
      <c r="Y398" t="s">
        <v>6228</v>
      </c>
      <c r="Z398">
        <v>156</v>
      </c>
    </row>
    <row r="399" spans="25:26">
      <c r="Y399" t="s">
        <v>6228</v>
      </c>
      <c r="Z399">
        <v>157</v>
      </c>
    </row>
    <row r="400" spans="25:26">
      <c r="Y400" t="s">
        <v>6228</v>
      </c>
      <c r="Z400">
        <v>158</v>
      </c>
    </row>
    <row r="401" spans="25:26">
      <c r="Y401" t="s">
        <v>6228</v>
      </c>
      <c r="Z401">
        <v>159</v>
      </c>
    </row>
    <row r="402" spans="25:26">
      <c r="Y402" t="s">
        <v>6228</v>
      </c>
      <c r="Z402">
        <v>160</v>
      </c>
    </row>
    <row r="403" spans="25:26">
      <c r="Y403" t="s">
        <v>6228</v>
      </c>
      <c r="Z403">
        <v>161</v>
      </c>
    </row>
    <row r="404" spans="25:26">
      <c r="Y404" t="s">
        <v>6228</v>
      </c>
      <c r="Z404">
        <v>162</v>
      </c>
    </row>
    <row r="405" spans="25:26">
      <c r="Y405" t="s">
        <v>6228</v>
      </c>
      <c r="Z405">
        <v>163</v>
      </c>
    </row>
    <row r="406" spans="25:26">
      <c r="Y406" t="s">
        <v>6228</v>
      </c>
      <c r="Z406">
        <v>164</v>
      </c>
    </row>
    <row r="407" spans="25:26">
      <c r="Y407" t="s">
        <v>6228</v>
      </c>
      <c r="Z407">
        <v>165</v>
      </c>
    </row>
    <row r="408" spans="25:26">
      <c r="Y408" t="s">
        <v>6228</v>
      </c>
      <c r="Z408">
        <v>166</v>
      </c>
    </row>
    <row r="409" spans="25:26">
      <c r="Y409" t="s">
        <v>6228</v>
      </c>
      <c r="Z409">
        <v>167</v>
      </c>
    </row>
    <row r="410" spans="25:26">
      <c r="Y410" t="s">
        <v>6228</v>
      </c>
      <c r="Z410">
        <v>168</v>
      </c>
    </row>
    <row r="411" spans="25:26">
      <c r="Y411" t="s">
        <v>6228</v>
      </c>
      <c r="Z411">
        <v>169</v>
      </c>
    </row>
    <row r="412" spans="25:26">
      <c r="Y412" t="s">
        <v>6228</v>
      </c>
      <c r="Z412">
        <v>170</v>
      </c>
    </row>
    <row r="413" spans="25:26">
      <c r="Y413" t="s">
        <v>6228</v>
      </c>
      <c r="Z413">
        <v>171</v>
      </c>
    </row>
    <row r="414" spans="25:26">
      <c r="Y414" t="s">
        <v>6228</v>
      </c>
      <c r="Z414">
        <v>172</v>
      </c>
    </row>
    <row r="415" spans="25:26">
      <c r="Y415" t="s">
        <v>6228</v>
      </c>
      <c r="Z415">
        <v>173</v>
      </c>
    </row>
    <row r="416" spans="25:26">
      <c r="Y416" t="s">
        <v>6228</v>
      </c>
      <c r="Z416">
        <v>174</v>
      </c>
    </row>
    <row r="417" spans="25:26">
      <c r="Y417" t="s">
        <v>6228</v>
      </c>
      <c r="Z417">
        <v>175</v>
      </c>
    </row>
    <row r="418" spans="25:26">
      <c r="Y418" t="s">
        <v>6228</v>
      </c>
      <c r="Z418">
        <v>176</v>
      </c>
    </row>
    <row r="419" spans="25:26">
      <c r="Y419" t="s">
        <v>6228</v>
      </c>
      <c r="Z419">
        <v>177</v>
      </c>
    </row>
    <row r="420" spans="25:26">
      <c r="Y420" t="s">
        <v>6228</v>
      </c>
      <c r="Z420">
        <v>178</v>
      </c>
    </row>
    <row r="421" spans="25:26">
      <c r="Y421" t="s">
        <v>6228</v>
      </c>
      <c r="Z421">
        <v>179</v>
      </c>
    </row>
    <row r="422" spans="25:26">
      <c r="Y422" t="s">
        <v>6228</v>
      </c>
      <c r="Z422">
        <v>180</v>
      </c>
    </row>
    <row r="423" spans="25:26">
      <c r="Y423" t="s">
        <v>6228</v>
      </c>
      <c r="Z423">
        <v>181</v>
      </c>
    </row>
    <row r="424" spans="25:26">
      <c r="Y424" t="s">
        <v>6228</v>
      </c>
      <c r="Z424">
        <v>182</v>
      </c>
    </row>
    <row r="425" spans="25:26">
      <c r="Y425" t="s">
        <v>6228</v>
      </c>
      <c r="Z425">
        <v>183</v>
      </c>
    </row>
    <row r="426" spans="25:26">
      <c r="Y426" t="s">
        <v>6228</v>
      </c>
      <c r="Z426">
        <v>184</v>
      </c>
    </row>
    <row r="427" spans="25:26">
      <c r="Y427" t="s">
        <v>6228</v>
      </c>
      <c r="Z427">
        <v>185</v>
      </c>
    </row>
    <row r="428" spans="25:26">
      <c r="Y428" t="s">
        <v>6228</v>
      </c>
      <c r="Z428">
        <v>186</v>
      </c>
    </row>
    <row r="429" spans="25:26">
      <c r="Y429" t="s">
        <v>6228</v>
      </c>
      <c r="Z429">
        <v>187</v>
      </c>
    </row>
    <row r="430" spans="25:26">
      <c r="Y430" t="s">
        <v>6228</v>
      </c>
      <c r="Z430">
        <v>188</v>
      </c>
    </row>
    <row r="431" spans="25:26">
      <c r="Y431" t="s">
        <v>6228</v>
      </c>
      <c r="Z431">
        <v>189</v>
      </c>
    </row>
    <row r="432" spans="25:26">
      <c r="Y432" t="s">
        <v>6228</v>
      </c>
      <c r="Z432">
        <v>190</v>
      </c>
    </row>
    <row r="433" spans="25:26">
      <c r="Y433" t="s">
        <v>6228</v>
      </c>
      <c r="Z433">
        <v>191</v>
      </c>
    </row>
    <row r="434" spans="25:26">
      <c r="Y434" t="s">
        <v>6228</v>
      </c>
      <c r="Z434">
        <v>192</v>
      </c>
    </row>
    <row r="435" spans="25:26">
      <c r="Y435" t="s">
        <v>6228</v>
      </c>
      <c r="Z435">
        <v>193</v>
      </c>
    </row>
    <row r="436" spans="25:26">
      <c r="Y436" t="s">
        <v>6228</v>
      </c>
      <c r="Z436">
        <v>194</v>
      </c>
    </row>
    <row r="437" spans="25:26">
      <c r="Y437" t="s">
        <v>6228</v>
      </c>
      <c r="Z437">
        <v>195</v>
      </c>
    </row>
    <row r="438" spans="25:26">
      <c r="Y438" t="s">
        <v>6228</v>
      </c>
      <c r="Z438">
        <v>196</v>
      </c>
    </row>
    <row r="439" spans="25:26">
      <c r="Y439" t="s">
        <v>6228</v>
      </c>
      <c r="Z439">
        <v>197</v>
      </c>
    </row>
    <row r="440" spans="25:26">
      <c r="Y440" t="s">
        <v>6228</v>
      </c>
      <c r="Z440">
        <v>198</v>
      </c>
    </row>
    <row r="441" spans="25:26">
      <c r="Y441" t="s">
        <v>6228</v>
      </c>
      <c r="Z441">
        <v>199</v>
      </c>
    </row>
    <row r="442" spans="25:26">
      <c r="Y442" t="s">
        <v>6228</v>
      </c>
      <c r="Z442">
        <v>200</v>
      </c>
    </row>
    <row r="443" spans="25:26">
      <c r="Y443" t="s">
        <v>6228</v>
      </c>
      <c r="Z443">
        <v>201</v>
      </c>
    </row>
    <row r="444" spans="25:26">
      <c r="Y444" t="s">
        <v>6228</v>
      </c>
      <c r="Z444">
        <v>202</v>
      </c>
    </row>
    <row r="445" spans="25:26">
      <c r="Y445" t="s">
        <v>6228</v>
      </c>
      <c r="Z445">
        <v>203</v>
      </c>
    </row>
    <row r="446" spans="25:26">
      <c r="Y446" t="s">
        <v>6228</v>
      </c>
      <c r="Z446">
        <v>204</v>
      </c>
    </row>
    <row r="447" spans="25:26">
      <c r="Y447" t="s">
        <v>6228</v>
      </c>
      <c r="Z447">
        <v>205</v>
      </c>
    </row>
    <row r="448" spans="25:26">
      <c r="Y448" t="s">
        <v>6228</v>
      </c>
      <c r="Z448">
        <v>206</v>
      </c>
    </row>
    <row r="449" spans="25:26">
      <c r="Y449" t="s">
        <v>6228</v>
      </c>
      <c r="Z449">
        <v>207</v>
      </c>
    </row>
    <row r="450" spans="25:26">
      <c r="Y450" t="s">
        <v>6228</v>
      </c>
      <c r="Z450">
        <v>208</v>
      </c>
    </row>
    <row r="451" spans="25:26">
      <c r="Y451" t="s">
        <v>6228</v>
      </c>
      <c r="Z451">
        <v>209</v>
      </c>
    </row>
    <row r="452" spans="25:26">
      <c r="Y452" t="s">
        <v>6228</v>
      </c>
      <c r="Z452">
        <v>210</v>
      </c>
    </row>
    <row r="453" spans="25:26">
      <c r="Y453" t="s">
        <v>6228</v>
      </c>
      <c r="Z453">
        <v>211</v>
      </c>
    </row>
    <row r="454" spans="25:26">
      <c r="Y454" t="s">
        <v>6228</v>
      </c>
      <c r="Z454">
        <v>212</v>
      </c>
    </row>
    <row r="455" spans="25:26">
      <c r="Y455" t="s">
        <v>6228</v>
      </c>
      <c r="Z455">
        <v>213</v>
      </c>
    </row>
    <row r="456" spans="25:26">
      <c r="Y456" t="s">
        <v>6228</v>
      </c>
      <c r="Z456">
        <v>214</v>
      </c>
    </row>
    <row r="457" spans="25:26">
      <c r="Y457" t="s">
        <v>6228</v>
      </c>
      <c r="Z457">
        <v>215</v>
      </c>
    </row>
    <row r="458" spans="25:26">
      <c r="Y458" t="s">
        <v>6228</v>
      </c>
      <c r="Z458">
        <v>216</v>
      </c>
    </row>
    <row r="459" spans="25:26">
      <c r="Y459" t="s">
        <v>6228</v>
      </c>
      <c r="Z459">
        <v>217</v>
      </c>
    </row>
    <row r="460" spans="25:26">
      <c r="Y460" t="s">
        <v>6228</v>
      </c>
      <c r="Z460">
        <v>218</v>
      </c>
    </row>
    <row r="461" spans="25:26">
      <c r="Y461" t="s">
        <v>6228</v>
      </c>
      <c r="Z461">
        <v>219</v>
      </c>
    </row>
    <row r="462" spans="25:26">
      <c r="Y462" t="s">
        <v>6228</v>
      </c>
      <c r="Z462">
        <v>220</v>
      </c>
    </row>
    <row r="463" spans="25:26">
      <c r="Y463" t="s">
        <v>6228</v>
      </c>
      <c r="Z463">
        <v>221</v>
      </c>
    </row>
    <row r="464" spans="25:26">
      <c r="Y464" t="s">
        <v>6228</v>
      </c>
      <c r="Z464">
        <v>222</v>
      </c>
    </row>
    <row r="465" spans="25:26">
      <c r="Y465" t="s">
        <v>6228</v>
      </c>
      <c r="Z465">
        <v>223</v>
      </c>
    </row>
    <row r="466" spans="25:26">
      <c r="Y466" t="s">
        <v>6228</v>
      </c>
      <c r="Z466">
        <v>224</v>
      </c>
    </row>
    <row r="467" spans="25:26">
      <c r="Y467" t="s">
        <v>6228</v>
      </c>
      <c r="Z467">
        <v>225</v>
      </c>
    </row>
    <row r="468" spans="25:26">
      <c r="Y468" t="s">
        <v>6228</v>
      </c>
      <c r="Z468">
        <v>226</v>
      </c>
    </row>
    <row r="469" spans="25:26">
      <c r="Y469" t="s">
        <v>6228</v>
      </c>
      <c r="Z469">
        <v>227</v>
      </c>
    </row>
    <row r="470" spans="25:26">
      <c r="Y470" t="s">
        <v>6228</v>
      </c>
      <c r="Z470">
        <v>228</v>
      </c>
    </row>
    <row r="471" spans="25:26">
      <c r="Y471" t="s">
        <v>6228</v>
      </c>
      <c r="Z471">
        <v>229</v>
      </c>
    </row>
    <row r="472" spans="25:26">
      <c r="Y472" t="s">
        <v>6228</v>
      </c>
      <c r="Z472">
        <v>230</v>
      </c>
    </row>
    <row r="473" spans="25:26">
      <c r="Y473" t="s">
        <v>6228</v>
      </c>
      <c r="Z473">
        <v>231</v>
      </c>
    </row>
    <row r="474" spans="25:26">
      <c r="Y474" t="s">
        <v>6228</v>
      </c>
      <c r="Z474">
        <v>232</v>
      </c>
    </row>
    <row r="475" spans="25:26">
      <c r="Y475" t="s">
        <v>6228</v>
      </c>
      <c r="Z475">
        <v>233</v>
      </c>
    </row>
    <row r="476" spans="25:26">
      <c r="Y476" t="s">
        <v>6228</v>
      </c>
      <c r="Z476">
        <v>234</v>
      </c>
    </row>
    <row r="477" spans="25:26">
      <c r="Y477" t="s">
        <v>6228</v>
      </c>
      <c r="Z477">
        <v>235</v>
      </c>
    </row>
    <row r="478" spans="25:26">
      <c r="Y478" t="s">
        <v>6228</v>
      </c>
      <c r="Z478">
        <v>236</v>
      </c>
    </row>
    <row r="479" spans="25:26">
      <c r="Y479" t="s">
        <v>6228</v>
      </c>
      <c r="Z479">
        <v>237</v>
      </c>
    </row>
    <row r="480" spans="25:26">
      <c r="Y480" t="s">
        <v>6228</v>
      </c>
      <c r="Z480">
        <v>238</v>
      </c>
    </row>
    <row r="481" spans="25:26">
      <c r="Y481" t="s">
        <v>6228</v>
      </c>
      <c r="Z481">
        <v>239</v>
      </c>
    </row>
    <row r="482" spans="25:26">
      <c r="Y482" t="s">
        <v>6228</v>
      </c>
      <c r="Z482">
        <v>240</v>
      </c>
    </row>
    <row r="483" spans="25:26">
      <c r="Y483" t="s">
        <v>6228</v>
      </c>
      <c r="Z483">
        <v>241</v>
      </c>
    </row>
    <row r="484" spans="25:26">
      <c r="Y484" t="s">
        <v>6228</v>
      </c>
      <c r="Z484">
        <v>242</v>
      </c>
    </row>
    <row r="485" spans="25:26">
      <c r="Y485" t="s">
        <v>6228</v>
      </c>
      <c r="Z485">
        <v>243</v>
      </c>
    </row>
    <row r="486" spans="25:26">
      <c r="Y486" t="s">
        <v>6228</v>
      </c>
      <c r="Z486">
        <v>244</v>
      </c>
    </row>
    <row r="487" spans="25:26">
      <c r="Y487" t="s">
        <v>6228</v>
      </c>
      <c r="Z487">
        <v>245</v>
      </c>
    </row>
    <row r="488" spans="25:26">
      <c r="Y488" t="s">
        <v>6228</v>
      </c>
      <c r="Z488">
        <v>246</v>
      </c>
    </row>
    <row r="489" spans="25:26">
      <c r="Y489" t="s">
        <v>6228</v>
      </c>
      <c r="Z489">
        <v>247</v>
      </c>
    </row>
    <row r="490" spans="25:26">
      <c r="Y490" t="s">
        <v>6228</v>
      </c>
      <c r="Z490">
        <v>248</v>
      </c>
    </row>
    <row r="491" spans="25:26">
      <c r="Y491" t="s">
        <v>6228</v>
      </c>
      <c r="Z491">
        <v>249</v>
      </c>
    </row>
    <row r="492" spans="25:26">
      <c r="Y492" t="s">
        <v>6228</v>
      </c>
      <c r="Z492">
        <v>250</v>
      </c>
    </row>
    <row r="493" spans="25:26">
      <c r="Y493" t="s">
        <v>6230</v>
      </c>
      <c r="Z493">
        <v>4</v>
      </c>
    </row>
    <row r="494" spans="25:26">
      <c r="Y494" t="s">
        <v>6230</v>
      </c>
      <c r="Z494">
        <v>5</v>
      </c>
    </row>
    <row r="495" spans="25:26">
      <c r="Y495" t="s">
        <v>6230</v>
      </c>
      <c r="Z495">
        <v>6</v>
      </c>
    </row>
    <row r="496" spans="25:26">
      <c r="Y496" t="s">
        <v>6230</v>
      </c>
      <c r="Z496">
        <v>7</v>
      </c>
    </row>
    <row r="497" spans="25:26">
      <c r="Y497" t="s">
        <v>6230</v>
      </c>
      <c r="Z497">
        <v>8</v>
      </c>
    </row>
    <row r="498" spans="25:26">
      <c r="Y498" t="s">
        <v>6230</v>
      </c>
      <c r="Z498">
        <v>9</v>
      </c>
    </row>
    <row r="499" spans="25:26">
      <c r="Y499" t="s">
        <v>6230</v>
      </c>
      <c r="Z499">
        <v>10</v>
      </c>
    </row>
    <row r="500" spans="25:26">
      <c r="Y500" t="s">
        <v>6230</v>
      </c>
      <c r="Z500">
        <v>11</v>
      </c>
    </row>
    <row r="501" spans="25:26">
      <c r="Y501" t="s">
        <v>6230</v>
      </c>
      <c r="Z501">
        <v>12</v>
      </c>
    </row>
    <row r="502" spans="25:26">
      <c r="Y502" t="s">
        <v>6230</v>
      </c>
      <c r="Z502">
        <v>13</v>
      </c>
    </row>
    <row r="503" spans="25:26">
      <c r="Y503" t="s">
        <v>6230</v>
      </c>
      <c r="Z503">
        <v>14</v>
      </c>
    </row>
    <row r="504" spans="25:26">
      <c r="Y504" t="s">
        <v>6230</v>
      </c>
      <c r="Z504">
        <v>15</v>
      </c>
    </row>
    <row r="505" spans="25:26">
      <c r="Y505" t="s">
        <v>6230</v>
      </c>
      <c r="Z505">
        <v>16</v>
      </c>
    </row>
    <row r="506" spans="25:26">
      <c r="Y506" t="s">
        <v>6230</v>
      </c>
      <c r="Z506">
        <v>17</v>
      </c>
    </row>
    <row r="507" spans="25:26">
      <c r="Y507" t="s">
        <v>6230</v>
      </c>
      <c r="Z507">
        <v>18</v>
      </c>
    </row>
    <row r="508" spans="25:26">
      <c r="Y508" t="s">
        <v>6230</v>
      </c>
      <c r="Z508">
        <v>19</v>
      </c>
    </row>
    <row r="509" spans="25:26">
      <c r="Y509" t="s">
        <v>6230</v>
      </c>
      <c r="Z509">
        <v>20</v>
      </c>
    </row>
    <row r="510" spans="25:26">
      <c r="Y510" t="s">
        <v>6230</v>
      </c>
      <c r="Z510">
        <v>21</v>
      </c>
    </row>
    <row r="511" spans="25:26">
      <c r="Y511" t="s">
        <v>6230</v>
      </c>
      <c r="Z511">
        <v>22</v>
      </c>
    </row>
    <row r="512" spans="25:26">
      <c r="Y512" t="s">
        <v>6230</v>
      </c>
      <c r="Z512">
        <v>23</v>
      </c>
    </row>
    <row r="513" spans="25:26">
      <c r="Y513" t="s">
        <v>6230</v>
      </c>
      <c r="Z513">
        <v>24</v>
      </c>
    </row>
    <row r="514" spans="25:26">
      <c r="Y514" t="s">
        <v>6230</v>
      </c>
      <c r="Z514">
        <v>25</v>
      </c>
    </row>
    <row r="515" spans="25:26">
      <c r="Y515" t="s">
        <v>6230</v>
      </c>
      <c r="Z515">
        <v>26</v>
      </c>
    </row>
    <row r="516" spans="25:26">
      <c r="Y516" t="s">
        <v>6230</v>
      </c>
      <c r="Z516">
        <v>27</v>
      </c>
    </row>
    <row r="517" spans="25:26">
      <c r="Y517" t="s">
        <v>6230</v>
      </c>
      <c r="Z517">
        <v>28</v>
      </c>
    </row>
    <row r="518" spans="25:26">
      <c r="Y518" t="s">
        <v>6230</v>
      </c>
      <c r="Z518">
        <v>29</v>
      </c>
    </row>
    <row r="519" spans="25:26">
      <c r="Y519" t="s">
        <v>6230</v>
      </c>
      <c r="Z519">
        <v>30</v>
      </c>
    </row>
    <row r="520" spans="25:26">
      <c r="Y520" t="s">
        <v>6230</v>
      </c>
      <c r="Z520">
        <v>31</v>
      </c>
    </row>
    <row r="521" spans="25:26">
      <c r="Y521" t="s">
        <v>6230</v>
      </c>
      <c r="Z521">
        <v>32</v>
      </c>
    </row>
    <row r="522" spans="25:26">
      <c r="Y522" t="s">
        <v>6230</v>
      </c>
      <c r="Z522">
        <v>33</v>
      </c>
    </row>
    <row r="523" spans="25:26">
      <c r="Y523" t="s">
        <v>6230</v>
      </c>
      <c r="Z523">
        <v>34</v>
      </c>
    </row>
    <row r="524" spans="25:26">
      <c r="Y524" t="s">
        <v>6230</v>
      </c>
      <c r="Z524">
        <v>35</v>
      </c>
    </row>
    <row r="525" spans="25:26">
      <c r="Y525" t="s">
        <v>6230</v>
      </c>
      <c r="Z525">
        <v>36</v>
      </c>
    </row>
    <row r="526" spans="25:26">
      <c r="Y526" t="s">
        <v>6230</v>
      </c>
      <c r="Z526">
        <v>37</v>
      </c>
    </row>
    <row r="527" spans="25:26">
      <c r="Y527" t="s">
        <v>6230</v>
      </c>
      <c r="Z527">
        <v>38</v>
      </c>
    </row>
    <row r="528" spans="25:26">
      <c r="Y528" t="s">
        <v>6230</v>
      </c>
      <c r="Z528">
        <v>39</v>
      </c>
    </row>
    <row r="529" spans="25:26">
      <c r="Y529" t="s">
        <v>6230</v>
      </c>
      <c r="Z529">
        <v>40</v>
      </c>
    </row>
    <row r="530" spans="25:26">
      <c r="Y530" t="s">
        <v>6230</v>
      </c>
      <c r="Z530">
        <v>41</v>
      </c>
    </row>
    <row r="531" spans="25:26">
      <c r="Y531" t="s">
        <v>6230</v>
      </c>
      <c r="Z531">
        <v>42</v>
      </c>
    </row>
    <row r="532" spans="25:26">
      <c r="Y532" t="s">
        <v>6230</v>
      </c>
      <c r="Z532">
        <v>43</v>
      </c>
    </row>
    <row r="533" spans="25:26">
      <c r="Y533" t="s">
        <v>6230</v>
      </c>
      <c r="Z533">
        <v>44</v>
      </c>
    </row>
    <row r="534" spans="25:26">
      <c r="Y534" t="s">
        <v>6230</v>
      </c>
      <c r="Z534">
        <v>45</v>
      </c>
    </row>
    <row r="535" spans="25:26">
      <c r="Y535" t="s">
        <v>6230</v>
      </c>
      <c r="Z535">
        <v>46</v>
      </c>
    </row>
    <row r="536" spans="25:26">
      <c r="Y536" t="s">
        <v>6230</v>
      </c>
      <c r="Z536">
        <v>47</v>
      </c>
    </row>
    <row r="537" spans="25:26">
      <c r="Y537" t="s">
        <v>6230</v>
      </c>
      <c r="Z537">
        <v>48</v>
      </c>
    </row>
    <row r="538" spans="25:26">
      <c r="Y538" t="s">
        <v>6230</v>
      </c>
      <c r="Z538">
        <v>49</v>
      </c>
    </row>
    <row r="539" spans="25:26">
      <c r="Y539" t="s">
        <v>6230</v>
      </c>
      <c r="Z539">
        <v>50</v>
      </c>
    </row>
    <row r="540" spans="25:26">
      <c r="Y540" t="s">
        <v>6230</v>
      </c>
      <c r="Z540">
        <v>51</v>
      </c>
    </row>
    <row r="541" spans="25:26">
      <c r="Y541" t="s">
        <v>6230</v>
      </c>
      <c r="Z541">
        <v>52</v>
      </c>
    </row>
    <row r="542" spans="25:26">
      <c r="Y542" t="s">
        <v>6230</v>
      </c>
      <c r="Z542">
        <v>53</v>
      </c>
    </row>
    <row r="543" spans="25:26">
      <c r="Y543" t="s">
        <v>6230</v>
      </c>
      <c r="Z543">
        <v>54</v>
      </c>
    </row>
    <row r="544" spans="25:26">
      <c r="Y544" t="s">
        <v>6230</v>
      </c>
      <c r="Z544">
        <v>55</v>
      </c>
    </row>
    <row r="545" spans="25:26">
      <c r="Y545" t="s">
        <v>6230</v>
      </c>
      <c r="Z545">
        <v>56</v>
      </c>
    </row>
    <row r="546" spans="25:26">
      <c r="Y546" t="s">
        <v>6230</v>
      </c>
      <c r="Z546">
        <v>57</v>
      </c>
    </row>
    <row r="547" spans="25:26">
      <c r="Y547" t="s">
        <v>6230</v>
      </c>
      <c r="Z547">
        <v>58</v>
      </c>
    </row>
    <row r="548" spans="25:26">
      <c r="Y548" t="s">
        <v>6230</v>
      </c>
      <c r="Z548">
        <v>59</v>
      </c>
    </row>
    <row r="549" spans="25:26">
      <c r="Y549" t="s">
        <v>6230</v>
      </c>
      <c r="Z549">
        <v>60</v>
      </c>
    </row>
    <row r="550" spans="25:26">
      <c r="Y550" t="s">
        <v>6230</v>
      </c>
      <c r="Z550">
        <v>61</v>
      </c>
    </row>
    <row r="551" spans="25:26">
      <c r="Y551" t="s">
        <v>6230</v>
      </c>
      <c r="Z551">
        <v>62</v>
      </c>
    </row>
    <row r="552" spans="25:26">
      <c r="Y552" t="s">
        <v>6230</v>
      </c>
      <c r="Z552">
        <v>63</v>
      </c>
    </row>
    <row r="553" spans="25:26">
      <c r="Y553" t="s">
        <v>6230</v>
      </c>
      <c r="Z553">
        <v>64</v>
      </c>
    </row>
    <row r="554" spans="25:26">
      <c r="Y554" t="s">
        <v>6230</v>
      </c>
      <c r="Z554">
        <v>65</v>
      </c>
    </row>
    <row r="555" spans="25:26">
      <c r="Y555" t="s">
        <v>6230</v>
      </c>
      <c r="Z555">
        <v>66</v>
      </c>
    </row>
    <row r="556" spans="25:26">
      <c r="Y556" t="s">
        <v>6230</v>
      </c>
      <c r="Z556">
        <v>67</v>
      </c>
    </row>
    <row r="557" spans="25:26">
      <c r="Y557" t="s">
        <v>6230</v>
      </c>
      <c r="Z557">
        <v>68</v>
      </c>
    </row>
    <row r="558" spans="25:26">
      <c r="Y558" t="s">
        <v>6230</v>
      </c>
      <c r="Z558">
        <v>69</v>
      </c>
    </row>
    <row r="559" spans="25:26">
      <c r="Y559" t="s">
        <v>6230</v>
      </c>
      <c r="Z559">
        <v>70</v>
      </c>
    </row>
    <row r="560" spans="25:26">
      <c r="Y560" t="s">
        <v>6230</v>
      </c>
      <c r="Z560">
        <v>71</v>
      </c>
    </row>
    <row r="561" spans="25:26">
      <c r="Y561" t="s">
        <v>6230</v>
      </c>
      <c r="Z561">
        <v>72</v>
      </c>
    </row>
    <row r="562" spans="25:26">
      <c r="Y562" t="s">
        <v>6230</v>
      </c>
      <c r="Z562">
        <v>73</v>
      </c>
    </row>
    <row r="563" spans="25:26">
      <c r="Y563" t="s">
        <v>6230</v>
      </c>
      <c r="Z563">
        <v>74</v>
      </c>
    </row>
    <row r="564" spans="25:26">
      <c r="Y564" t="s">
        <v>6230</v>
      </c>
      <c r="Z564">
        <v>75</v>
      </c>
    </row>
    <row r="565" spans="25:26">
      <c r="Y565" t="s">
        <v>6230</v>
      </c>
      <c r="Z565">
        <v>76</v>
      </c>
    </row>
    <row r="566" spans="25:26">
      <c r="Y566" t="s">
        <v>6230</v>
      </c>
      <c r="Z566">
        <v>77</v>
      </c>
    </row>
    <row r="567" spans="25:26">
      <c r="Y567" t="s">
        <v>6230</v>
      </c>
      <c r="Z567">
        <v>78</v>
      </c>
    </row>
    <row r="568" spans="25:26">
      <c r="Y568" t="s">
        <v>6230</v>
      </c>
      <c r="Z568">
        <v>79</v>
      </c>
    </row>
    <row r="569" spans="25:26">
      <c r="Y569" t="s">
        <v>6230</v>
      </c>
      <c r="Z569">
        <v>80</v>
      </c>
    </row>
    <row r="570" spans="25:26">
      <c r="Y570" t="s">
        <v>6230</v>
      </c>
      <c r="Z570">
        <v>81</v>
      </c>
    </row>
    <row r="571" spans="25:26">
      <c r="Y571" t="s">
        <v>6230</v>
      </c>
      <c r="Z571">
        <v>82</v>
      </c>
    </row>
    <row r="572" spans="25:26">
      <c r="Y572" t="s">
        <v>6230</v>
      </c>
      <c r="Z572">
        <v>83</v>
      </c>
    </row>
    <row r="573" spans="25:26">
      <c r="Y573" t="s">
        <v>6230</v>
      </c>
      <c r="Z573">
        <v>84</v>
      </c>
    </row>
    <row r="574" spans="25:26">
      <c r="Y574" t="s">
        <v>6230</v>
      </c>
      <c r="Z574">
        <v>85</v>
      </c>
    </row>
    <row r="575" spans="25:26">
      <c r="Y575" t="s">
        <v>6230</v>
      </c>
      <c r="Z575">
        <v>86</v>
      </c>
    </row>
    <row r="576" spans="25:26">
      <c r="Y576" t="s">
        <v>6230</v>
      </c>
      <c r="Z576">
        <v>87</v>
      </c>
    </row>
    <row r="577" spans="25:26">
      <c r="Y577" t="s">
        <v>6230</v>
      </c>
      <c r="Z577">
        <v>88</v>
      </c>
    </row>
    <row r="578" spans="25:26">
      <c r="Y578" t="s">
        <v>6230</v>
      </c>
      <c r="Z578">
        <v>89</v>
      </c>
    </row>
    <row r="579" spans="25:26">
      <c r="Y579" t="s">
        <v>6230</v>
      </c>
      <c r="Z579">
        <v>90</v>
      </c>
    </row>
    <row r="580" spans="25:26">
      <c r="Y580" t="s">
        <v>6230</v>
      </c>
      <c r="Z580">
        <v>91</v>
      </c>
    </row>
    <row r="581" spans="25:26">
      <c r="Y581" t="s">
        <v>6230</v>
      </c>
      <c r="Z581">
        <v>92</v>
      </c>
    </row>
    <row r="582" spans="25:26">
      <c r="Y582" t="s">
        <v>6230</v>
      </c>
      <c r="Z582">
        <v>93</v>
      </c>
    </row>
    <row r="583" spans="25:26">
      <c r="Y583" t="s">
        <v>6230</v>
      </c>
      <c r="Z583">
        <v>94</v>
      </c>
    </row>
    <row r="584" spans="25:26">
      <c r="Y584" t="s">
        <v>6230</v>
      </c>
      <c r="Z584">
        <v>95</v>
      </c>
    </row>
    <row r="585" spans="25:26">
      <c r="Y585" t="s">
        <v>6230</v>
      </c>
      <c r="Z585">
        <v>96</v>
      </c>
    </row>
    <row r="586" spans="25:26">
      <c r="Y586" t="s">
        <v>6230</v>
      </c>
      <c r="Z586">
        <v>97</v>
      </c>
    </row>
    <row r="587" spans="25:26">
      <c r="Y587" t="s">
        <v>6230</v>
      </c>
      <c r="Z587">
        <v>98</v>
      </c>
    </row>
    <row r="588" spans="25:26">
      <c r="Y588" t="s">
        <v>6230</v>
      </c>
      <c r="Z588">
        <v>99</v>
      </c>
    </row>
    <row r="589" spans="25:26">
      <c r="Y589" t="s">
        <v>6230</v>
      </c>
      <c r="Z589">
        <v>100</v>
      </c>
    </row>
    <row r="590" spans="25:26">
      <c r="Y590" t="s">
        <v>6230</v>
      </c>
      <c r="Z590">
        <v>101</v>
      </c>
    </row>
    <row r="591" spans="25:26">
      <c r="Y591" t="s">
        <v>6230</v>
      </c>
      <c r="Z591">
        <v>102</v>
      </c>
    </row>
    <row r="592" spans="25:26">
      <c r="Y592" t="s">
        <v>6230</v>
      </c>
      <c r="Z592">
        <v>103</v>
      </c>
    </row>
    <row r="593" spans="25:26">
      <c r="Y593" t="s">
        <v>6230</v>
      </c>
      <c r="Z593">
        <v>104</v>
      </c>
    </row>
    <row r="594" spans="25:26">
      <c r="Y594" t="s">
        <v>6230</v>
      </c>
      <c r="Z594">
        <v>105</v>
      </c>
    </row>
    <row r="595" spans="25:26">
      <c r="Y595" t="s">
        <v>6230</v>
      </c>
      <c r="Z595">
        <v>106</v>
      </c>
    </row>
    <row r="596" spans="25:26">
      <c r="Y596" t="s">
        <v>6230</v>
      </c>
      <c r="Z596">
        <v>107</v>
      </c>
    </row>
    <row r="597" spans="25:26">
      <c r="Y597" t="s">
        <v>6230</v>
      </c>
      <c r="Z597">
        <v>108</v>
      </c>
    </row>
    <row r="598" spans="25:26">
      <c r="Y598" t="s">
        <v>6230</v>
      </c>
      <c r="Z598">
        <v>109</v>
      </c>
    </row>
    <row r="599" spans="25:26">
      <c r="Y599" t="s">
        <v>6230</v>
      </c>
      <c r="Z599">
        <v>110</v>
      </c>
    </row>
    <row r="600" spans="25:26">
      <c r="Y600" t="s">
        <v>6230</v>
      </c>
      <c r="Z600">
        <v>111</v>
      </c>
    </row>
    <row r="601" spans="25:26">
      <c r="Y601" t="s">
        <v>6230</v>
      </c>
      <c r="Z601">
        <v>112</v>
      </c>
    </row>
    <row r="602" spans="25:26">
      <c r="Y602" t="s">
        <v>6230</v>
      </c>
      <c r="Z602">
        <v>113</v>
      </c>
    </row>
    <row r="603" spans="25:26">
      <c r="Y603" t="s">
        <v>6230</v>
      </c>
      <c r="Z603">
        <v>114</v>
      </c>
    </row>
    <row r="604" spans="25:26">
      <c r="Y604" t="s">
        <v>6230</v>
      </c>
      <c r="Z604">
        <v>115</v>
      </c>
    </row>
    <row r="605" spans="25:26">
      <c r="Y605" t="s">
        <v>6230</v>
      </c>
      <c r="Z605">
        <v>116</v>
      </c>
    </row>
    <row r="606" spans="25:26">
      <c r="Y606" t="s">
        <v>6230</v>
      </c>
      <c r="Z606">
        <v>117</v>
      </c>
    </row>
    <row r="607" spans="25:26">
      <c r="Y607" t="s">
        <v>6230</v>
      </c>
      <c r="Z607">
        <v>118</v>
      </c>
    </row>
    <row r="608" spans="25:26">
      <c r="Y608" t="s">
        <v>6230</v>
      </c>
      <c r="Z608">
        <v>119</v>
      </c>
    </row>
    <row r="609" spans="25:26">
      <c r="Y609" t="s">
        <v>6230</v>
      </c>
      <c r="Z609">
        <v>120</v>
      </c>
    </row>
    <row r="610" spans="25:26">
      <c r="Y610" t="s">
        <v>6230</v>
      </c>
      <c r="Z610">
        <v>121</v>
      </c>
    </row>
    <row r="611" spans="25:26">
      <c r="Y611" t="s">
        <v>6230</v>
      </c>
      <c r="Z611">
        <v>122</v>
      </c>
    </row>
    <row r="612" spans="25:26">
      <c r="Y612" t="s">
        <v>6230</v>
      </c>
      <c r="Z612">
        <v>123</v>
      </c>
    </row>
    <row r="613" spans="25:26">
      <c r="Y613" t="s">
        <v>6230</v>
      </c>
      <c r="Z613">
        <v>124</v>
      </c>
    </row>
    <row r="614" spans="25:26">
      <c r="Y614" t="s">
        <v>6230</v>
      </c>
      <c r="Z614">
        <v>125</v>
      </c>
    </row>
    <row r="615" spans="25:26">
      <c r="Y615" t="s">
        <v>6230</v>
      </c>
      <c r="Z615">
        <v>126</v>
      </c>
    </row>
    <row r="616" spans="25:26">
      <c r="Y616" t="s">
        <v>6230</v>
      </c>
      <c r="Z616">
        <v>127</v>
      </c>
    </row>
    <row r="617" spans="25:26">
      <c r="Y617" t="s">
        <v>6230</v>
      </c>
      <c r="Z617">
        <v>128</v>
      </c>
    </row>
    <row r="618" spans="25:26">
      <c r="Y618" t="s">
        <v>6230</v>
      </c>
      <c r="Z618">
        <v>129</v>
      </c>
    </row>
    <row r="619" spans="25:26">
      <c r="Y619" t="s">
        <v>6230</v>
      </c>
      <c r="Z619">
        <v>130</v>
      </c>
    </row>
    <row r="620" spans="25:26">
      <c r="Y620" t="s">
        <v>6230</v>
      </c>
      <c r="Z620">
        <v>131</v>
      </c>
    </row>
    <row r="621" spans="25:26">
      <c r="Y621" t="s">
        <v>6230</v>
      </c>
      <c r="Z621">
        <v>132</v>
      </c>
    </row>
    <row r="622" spans="25:26">
      <c r="Y622" t="s">
        <v>6230</v>
      </c>
      <c r="Z622">
        <v>133</v>
      </c>
    </row>
    <row r="623" spans="25:26">
      <c r="Y623" t="s">
        <v>6230</v>
      </c>
      <c r="Z623">
        <v>134</v>
      </c>
    </row>
    <row r="624" spans="25:26">
      <c r="Y624" t="s">
        <v>6230</v>
      </c>
      <c r="Z624">
        <v>135</v>
      </c>
    </row>
    <row r="625" spans="25:26">
      <c r="Y625" t="s">
        <v>6230</v>
      </c>
      <c r="Z625">
        <v>136</v>
      </c>
    </row>
    <row r="626" spans="25:26">
      <c r="Y626" t="s">
        <v>6230</v>
      </c>
      <c r="Z626">
        <v>137</v>
      </c>
    </row>
    <row r="627" spans="25:26">
      <c r="Y627" t="s">
        <v>6230</v>
      </c>
      <c r="Z627">
        <v>138</v>
      </c>
    </row>
    <row r="628" spans="25:26">
      <c r="Y628" t="s">
        <v>6230</v>
      </c>
      <c r="Z628">
        <v>139</v>
      </c>
    </row>
    <row r="629" spans="25:26">
      <c r="Y629" t="s">
        <v>6230</v>
      </c>
      <c r="Z629">
        <v>140</v>
      </c>
    </row>
    <row r="630" spans="25:26">
      <c r="Y630" t="s">
        <v>6230</v>
      </c>
      <c r="Z630">
        <v>141</v>
      </c>
    </row>
    <row r="631" spans="25:26">
      <c r="Y631" t="s">
        <v>6230</v>
      </c>
      <c r="Z631">
        <v>142</v>
      </c>
    </row>
    <row r="632" spans="25:26">
      <c r="Y632" t="s">
        <v>6230</v>
      </c>
      <c r="Z632">
        <v>143</v>
      </c>
    </row>
    <row r="633" spans="25:26">
      <c r="Y633" t="s">
        <v>6230</v>
      </c>
      <c r="Z633">
        <v>144</v>
      </c>
    </row>
    <row r="634" spans="25:26">
      <c r="Y634" t="s">
        <v>6230</v>
      </c>
      <c r="Z634">
        <v>145</v>
      </c>
    </row>
    <row r="635" spans="25:26">
      <c r="Y635" t="s">
        <v>6230</v>
      </c>
      <c r="Z635">
        <v>146</v>
      </c>
    </row>
    <row r="636" spans="25:26">
      <c r="Y636" t="s">
        <v>6230</v>
      </c>
      <c r="Z636">
        <v>147</v>
      </c>
    </row>
    <row r="637" spans="25:26">
      <c r="Y637" t="s">
        <v>6230</v>
      </c>
      <c r="Z637">
        <v>148</v>
      </c>
    </row>
    <row r="638" spans="25:26">
      <c r="Y638" t="s">
        <v>6230</v>
      </c>
      <c r="Z638">
        <v>149</v>
      </c>
    </row>
    <row r="639" spans="25:26">
      <c r="Y639" t="s">
        <v>6230</v>
      </c>
      <c r="Z639">
        <v>150</v>
      </c>
    </row>
    <row r="640" spans="25:26">
      <c r="Y640" t="s">
        <v>6230</v>
      </c>
      <c r="Z640">
        <v>151</v>
      </c>
    </row>
    <row r="641" spans="25:26">
      <c r="Y641" t="s">
        <v>6230</v>
      </c>
      <c r="Z641">
        <v>152</v>
      </c>
    </row>
    <row r="642" spans="25:26">
      <c r="Y642" t="s">
        <v>6230</v>
      </c>
      <c r="Z642">
        <v>153</v>
      </c>
    </row>
    <row r="643" spans="25:26">
      <c r="Y643" t="s">
        <v>6230</v>
      </c>
      <c r="Z643">
        <v>154</v>
      </c>
    </row>
    <row r="644" spans="25:26">
      <c r="Y644" t="s">
        <v>6230</v>
      </c>
      <c r="Z644">
        <v>155</v>
      </c>
    </row>
    <row r="645" spans="25:26">
      <c r="Y645" t="s">
        <v>6230</v>
      </c>
      <c r="Z645">
        <v>156</v>
      </c>
    </row>
    <row r="646" spans="25:26">
      <c r="Y646" t="s">
        <v>6230</v>
      </c>
      <c r="Z646">
        <v>157</v>
      </c>
    </row>
    <row r="647" spans="25:26">
      <c r="Y647" t="s">
        <v>6230</v>
      </c>
      <c r="Z647">
        <v>158</v>
      </c>
    </row>
    <row r="648" spans="25:26">
      <c r="Y648" t="s">
        <v>6230</v>
      </c>
      <c r="Z648">
        <v>159</v>
      </c>
    </row>
    <row r="649" spans="25:26">
      <c r="Y649" t="s">
        <v>6230</v>
      </c>
      <c r="Z649">
        <v>160</v>
      </c>
    </row>
    <row r="650" spans="25:26">
      <c r="Y650" t="s">
        <v>6230</v>
      </c>
      <c r="Z650">
        <v>161</v>
      </c>
    </row>
    <row r="651" spans="25:26">
      <c r="Y651" t="s">
        <v>6230</v>
      </c>
      <c r="Z651">
        <v>162</v>
      </c>
    </row>
    <row r="652" spans="25:26">
      <c r="Y652" t="s">
        <v>6230</v>
      </c>
      <c r="Z652">
        <v>163</v>
      </c>
    </row>
    <row r="653" spans="25:26">
      <c r="Y653" t="s">
        <v>6230</v>
      </c>
      <c r="Z653">
        <v>164</v>
      </c>
    </row>
    <row r="654" spans="25:26">
      <c r="Y654" t="s">
        <v>6230</v>
      </c>
      <c r="Z654">
        <v>165</v>
      </c>
    </row>
    <row r="655" spans="25:26">
      <c r="Y655" t="s">
        <v>6230</v>
      </c>
      <c r="Z655">
        <v>166</v>
      </c>
    </row>
    <row r="656" spans="25:26">
      <c r="Y656" t="s">
        <v>6230</v>
      </c>
      <c r="Z656">
        <v>167</v>
      </c>
    </row>
    <row r="657" spans="25:26">
      <c r="Y657" t="s">
        <v>6230</v>
      </c>
      <c r="Z657">
        <v>168</v>
      </c>
    </row>
    <row r="658" spans="25:26">
      <c r="Y658" t="s">
        <v>6230</v>
      </c>
      <c r="Z658">
        <v>169</v>
      </c>
    </row>
    <row r="659" spans="25:26">
      <c r="Y659" t="s">
        <v>6230</v>
      </c>
      <c r="Z659">
        <v>170</v>
      </c>
    </row>
    <row r="660" spans="25:26">
      <c r="Y660" t="s">
        <v>6230</v>
      </c>
      <c r="Z660">
        <v>171</v>
      </c>
    </row>
    <row r="661" spans="25:26">
      <c r="Y661" t="s">
        <v>6230</v>
      </c>
      <c r="Z661">
        <v>172</v>
      </c>
    </row>
    <row r="662" spans="25:26">
      <c r="Y662" t="s">
        <v>6230</v>
      </c>
      <c r="Z662">
        <v>173</v>
      </c>
    </row>
    <row r="663" spans="25:26">
      <c r="Y663" t="s">
        <v>6230</v>
      </c>
      <c r="Z663">
        <v>174</v>
      </c>
    </row>
    <row r="664" spans="25:26">
      <c r="Y664" t="s">
        <v>6230</v>
      </c>
      <c r="Z664">
        <v>175</v>
      </c>
    </row>
    <row r="665" spans="25:26">
      <c r="Y665" t="s">
        <v>6230</v>
      </c>
      <c r="Z665">
        <v>176</v>
      </c>
    </row>
    <row r="666" spans="25:26">
      <c r="Y666" t="s">
        <v>6230</v>
      </c>
      <c r="Z666">
        <v>177</v>
      </c>
    </row>
    <row r="667" spans="25:26">
      <c r="Y667" t="s">
        <v>6230</v>
      </c>
      <c r="Z667">
        <v>178</v>
      </c>
    </row>
    <row r="668" spans="25:26">
      <c r="Y668" t="s">
        <v>6230</v>
      </c>
      <c r="Z668">
        <v>179</v>
      </c>
    </row>
    <row r="669" spans="25:26">
      <c r="Y669" t="s">
        <v>6230</v>
      </c>
      <c r="Z669">
        <v>180</v>
      </c>
    </row>
    <row r="670" spans="25:26">
      <c r="Y670" t="s">
        <v>6230</v>
      </c>
      <c r="Z670">
        <v>181</v>
      </c>
    </row>
    <row r="671" spans="25:26">
      <c r="Y671" t="s">
        <v>6230</v>
      </c>
      <c r="Z671">
        <v>182</v>
      </c>
    </row>
    <row r="672" spans="25:26">
      <c r="Y672" t="s">
        <v>6230</v>
      </c>
      <c r="Z672">
        <v>183</v>
      </c>
    </row>
    <row r="673" spans="25:26">
      <c r="Y673" t="s">
        <v>6230</v>
      </c>
      <c r="Z673">
        <v>184</v>
      </c>
    </row>
    <row r="674" spans="25:26">
      <c r="Y674" t="s">
        <v>6230</v>
      </c>
      <c r="Z674">
        <v>185</v>
      </c>
    </row>
    <row r="675" spans="25:26">
      <c r="Y675" t="s">
        <v>6230</v>
      </c>
      <c r="Z675">
        <v>186</v>
      </c>
    </row>
    <row r="676" spans="25:26">
      <c r="Y676" t="s">
        <v>6230</v>
      </c>
      <c r="Z676">
        <v>187</v>
      </c>
    </row>
    <row r="677" spans="25:26">
      <c r="Y677" t="s">
        <v>6230</v>
      </c>
      <c r="Z677">
        <v>188</v>
      </c>
    </row>
    <row r="678" spans="25:26">
      <c r="Y678" t="s">
        <v>6230</v>
      </c>
      <c r="Z678">
        <v>189</v>
      </c>
    </row>
    <row r="679" spans="25:26">
      <c r="Y679" t="s">
        <v>6230</v>
      </c>
      <c r="Z679">
        <v>190</v>
      </c>
    </row>
    <row r="680" spans="25:26">
      <c r="Y680" t="s">
        <v>6230</v>
      </c>
      <c r="Z680">
        <v>191</v>
      </c>
    </row>
    <row r="681" spans="25:26">
      <c r="Y681" t="s">
        <v>6230</v>
      </c>
      <c r="Z681">
        <v>192</v>
      </c>
    </row>
    <row r="682" spans="25:26">
      <c r="Y682" t="s">
        <v>6230</v>
      </c>
      <c r="Z682">
        <v>193</v>
      </c>
    </row>
    <row r="683" spans="25:26">
      <c r="Y683" t="s">
        <v>6230</v>
      </c>
      <c r="Z683">
        <v>194</v>
      </c>
    </row>
    <row r="684" spans="25:26">
      <c r="Y684" t="s">
        <v>6230</v>
      </c>
      <c r="Z684">
        <v>195</v>
      </c>
    </row>
    <row r="685" spans="25:26">
      <c r="Y685" t="s">
        <v>6230</v>
      </c>
      <c r="Z685">
        <v>196</v>
      </c>
    </row>
    <row r="686" spans="25:26">
      <c r="Y686" t="s">
        <v>6230</v>
      </c>
      <c r="Z686">
        <v>197</v>
      </c>
    </row>
    <row r="687" spans="25:26">
      <c r="Y687" t="s">
        <v>6230</v>
      </c>
      <c r="Z687">
        <v>198</v>
      </c>
    </row>
    <row r="688" spans="25:26">
      <c r="Y688" t="s">
        <v>6230</v>
      </c>
      <c r="Z688">
        <v>199</v>
      </c>
    </row>
    <row r="689" spans="25:26">
      <c r="Y689" t="s">
        <v>6230</v>
      </c>
      <c r="Z689">
        <v>200</v>
      </c>
    </row>
    <row r="690" spans="25:26">
      <c r="Y690" t="s">
        <v>6230</v>
      </c>
      <c r="Z690">
        <v>201</v>
      </c>
    </row>
    <row r="691" spans="25:26">
      <c r="Y691" t="s">
        <v>6230</v>
      </c>
      <c r="Z691">
        <v>202</v>
      </c>
    </row>
    <row r="692" spans="25:26">
      <c r="Y692" t="s">
        <v>6230</v>
      </c>
      <c r="Z692">
        <v>203</v>
      </c>
    </row>
    <row r="693" spans="25:26">
      <c r="Y693" t="s">
        <v>6230</v>
      </c>
      <c r="Z693">
        <v>204</v>
      </c>
    </row>
    <row r="694" spans="25:26">
      <c r="Y694" t="s">
        <v>6230</v>
      </c>
      <c r="Z694">
        <v>205</v>
      </c>
    </row>
    <row r="695" spans="25:26">
      <c r="Y695" t="s">
        <v>6230</v>
      </c>
      <c r="Z695">
        <v>206</v>
      </c>
    </row>
    <row r="696" spans="25:26">
      <c r="Y696" t="s">
        <v>6230</v>
      </c>
      <c r="Z696">
        <v>207</v>
      </c>
    </row>
    <row r="697" spans="25:26">
      <c r="Y697" t="s">
        <v>6230</v>
      </c>
      <c r="Z697">
        <v>208</v>
      </c>
    </row>
    <row r="698" spans="25:26">
      <c r="Y698" t="s">
        <v>6230</v>
      </c>
      <c r="Z698">
        <v>209</v>
      </c>
    </row>
    <row r="699" spans="25:26">
      <c r="Y699" t="s">
        <v>6230</v>
      </c>
      <c r="Z699">
        <v>210</v>
      </c>
    </row>
    <row r="700" spans="25:26">
      <c r="Y700" t="s">
        <v>6230</v>
      </c>
      <c r="Z700">
        <v>211</v>
      </c>
    </row>
    <row r="701" spans="25:26">
      <c r="Y701" t="s">
        <v>6230</v>
      </c>
      <c r="Z701">
        <v>212</v>
      </c>
    </row>
    <row r="702" spans="25:26">
      <c r="Y702" t="s">
        <v>6230</v>
      </c>
      <c r="Z702">
        <v>213</v>
      </c>
    </row>
    <row r="703" spans="25:26">
      <c r="Y703" t="s">
        <v>6230</v>
      </c>
      <c r="Z703">
        <v>214</v>
      </c>
    </row>
    <row r="704" spans="25:26">
      <c r="Y704" t="s">
        <v>6230</v>
      </c>
      <c r="Z704">
        <v>215</v>
      </c>
    </row>
    <row r="705" spans="25:26">
      <c r="Y705" t="s">
        <v>6230</v>
      </c>
      <c r="Z705">
        <v>216</v>
      </c>
    </row>
    <row r="706" spans="25:26">
      <c r="Y706" t="s">
        <v>6230</v>
      </c>
      <c r="Z706">
        <v>217</v>
      </c>
    </row>
    <row r="707" spans="25:26">
      <c r="Y707" t="s">
        <v>6230</v>
      </c>
      <c r="Z707">
        <v>218</v>
      </c>
    </row>
    <row r="708" spans="25:26">
      <c r="Y708" t="s">
        <v>6230</v>
      </c>
      <c r="Z708">
        <v>219</v>
      </c>
    </row>
    <row r="709" spans="25:26">
      <c r="Y709" t="s">
        <v>6230</v>
      </c>
      <c r="Z709">
        <v>220</v>
      </c>
    </row>
    <row r="710" spans="25:26">
      <c r="Y710" t="s">
        <v>6230</v>
      </c>
      <c r="Z710">
        <v>221</v>
      </c>
    </row>
    <row r="711" spans="25:26">
      <c r="Y711" t="s">
        <v>6230</v>
      </c>
      <c r="Z711">
        <v>222</v>
      </c>
    </row>
    <row r="712" spans="25:26">
      <c r="Y712" t="s">
        <v>6230</v>
      </c>
      <c r="Z712">
        <v>223</v>
      </c>
    </row>
    <row r="713" spans="25:26">
      <c r="Y713" t="s">
        <v>6230</v>
      </c>
      <c r="Z713">
        <v>224</v>
      </c>
    </row>
    <row r="714" spans="25:26">
      <c r="Y714" t="s">
        <v>6230</v>
      </c>
      <c r="Z714">
        <v>225</v>
      </c>
    </row>
    <row r="715" spans="25:26">
      <c r="Y715" t="s">
        <v>6230</v>
      </c>
      <c r="Z715">
        <v>226</v>
      </c>
    </row>
    <row r="716" spans="25:26">
      <c r="Y716" t="s">
        <v>6230</v>
      </c>
      <c r="Z716">
        <v>227</v>
      </c>
    </row>
    <row r="717" spans="25:26">
      <c r="Y717" t="s">
        <v>6230</v>
      </c>
      <c r="Z717">
        <v>228</v>
      </c>
    </row>
    <row r="718" spans="25:26">
      <c r="Y718" t="s">
        <v>6230</v>
      </c>
      <c r="Z718">
        <v>229</v>
      </c>
    </row>
    <row r="719" spans="25:26">
      <c r="Y719" t="s">
        <v>6230</v>
      </c>
      <c r="Z719">
        <v>230</v>
      </c>
    </row>
    <row r="720" spans="25:26">
      <c r="Y720" t="s">
        <v>6230</v>
      </c>
      <c r="Z720">
        <v>231</v>
      </c>
    </row>
    <row r="721" spans="25:26">
      <c r="Y721" t="s">
        <v>6230</v>
      </c>
      <c r="Z721">
        <v>232</v>
      </c>
    </row>
    <row r="722" spans="25:26">
      <c r="Y722" t="s">
        <v>6230</v>
      </c>
      <c r="Z722">
        <v>233</v>
      </c>
    </row>
    <row r="723" spans="25:26">
      <c r="Y723" t="s">
        <v>6230</v>
      </c>
      <c r="Z723">
        <v>234</v>
      </c>
    </row>
    <row r="724" spans="25:26">
      <c r="Y724" t="s">
        <v>6230</v>
      </c>
      <c r="Z724">
        <v>235</v>
      </c>
    </row>
    <row r="725" spans="25:26">
      <c r="Y725" t="s">
        <v>6230</v>
      </c>
      <c r="Z725">
        <v>236</v>
      </c>
    </row>
    <row r="726" spans="25:26">
      <c r="Y726" t="s">
        <v>6230</v>
      </c>
      <c r="Z726">
        <v>237</v>
      </c>
    </row>
    <row r="727" spans="25:26">
      <c r="Y727" t="s">
        <v>6230</v>
      </c>
      <c r="Z727">
        <v>238</v>
      </c>
    </row>
    <row r="728" spans="25:26">
      <c r="Y728" t="s">
        <v>6230</v>
      </c>
      <c r="Z728">
        <v>239</v>
      </c>
    </row>
    <row r="729" spans="25:26">
      <c r="Y729" t="s">
        <v>6230</v>
      </c>
      <c r="Z729">
        <v>240</v>
      </c>
    </row>
    <row r="730" spans="25:26">
      <c r="Y730" t="s">
        <v>6230</v>
      </c>
      <c r="Z730">
        <v>241</v>
      </c>
    </row>
    <row r="731" spans="25:26">
      <c r="Y731" t="s">
        <v>6230</v>
      </c>
      <c r="Z731">
        <v>242</v>
      </c>
    </row>
    <row r="732" spans="25:26">
      <c r="Y732" t="s">
        <v>6230</v>
      </c>
      <c r="Z732">
        <v>243</v>
      </c>
    </row>
    <row r="733" spans="25:26">
      <c r="Y733" t="s">
        <v>6230</v>
      </c>
      <c r="Z733">
        <v>244</v>
      </c>
    </row>
    <row r="734" spans="25:26">
      <c r="Y734" t="s">
        <v>6230</v>
      </c>
      <c r="Z734">
        <v>245</v>
      </c>
    </row>
    <row r="735" spans="25:26">
      <c r="Y735" t="s">
        <v>6230</v>
      </c>
      <c r="Z735">
        <v>246</v>
      </c>
    </row>
    <row r="736" spans="25:26">
      <c r="Y736" t="s">
        <v>6230</v>
      </c>
      <c r="Z736">
        <v>247</v>
      </c>
    </row>
    <row r="737" spans="25:26">
      <c r="Y737" t="s">
        <v>6230</v>
      </c>
      <c r="Z737">
        <v>248</v>
      </c>
    </row>
    <row r="738" spans="25:26">
      <c r="Y738" t="s">
        <v>6230</v>
      </c>
      <c r="Z738">
        <v>249</v>
      </c>
    </row>
    <row r="739" spans="25:26">
      <c r="Y739" t="s">
        <v>6230</v>
      </c>
      <c r="Z739">
        <v>250</v>
      </c>
    </row>
    <row r="740" spans="25:26">
      <c r="Y740" t="s">
        <v>6232</v>
      </c>
      <c r="Z740">
        <v>4</v>
      </c>
    </row>
    <row r="741" spans="25:26">
      <c r="Y741" t="s">
        <v>6232</v>
      </c>
      <c r="Z741">
        <v>5</v>
      </c>
    </row>
    <row r="742" spans="25:26">
      <c r="Y742" t="s">
        <v>6232</v>
      </c>
      <c r="Z742">
        <v>6</v>
      </c>
    </row>
    <row r="743" spans="25:26">
      <c r="Y743" t="s">
        <v>6232</v>
      </c>
      <c r="Z743">
        <v>7</v>
      </c>
    </row>
    <row r="744" spans="25:26">
      <c r="Y744" t="s">
        <v>6232</v>
      </c>
      <c r="Z744">
        <v>8</v>
      </c>
    </row>
    <row r="745" spans="25:26">
      <c r="Y745" t="s">
        <v>6232</v>
      </c>
      <c r="Z745">
        <v>9</v>
      </c>
    </row>
    <row r="746" spans="25:26">
      <c r="Y746" t="s">
        <v>6232</v>
      </c>
      <c r="Z746">
        <v>10</v>
      </c>
    </row>
    <row r="747" spans="25:26">
      <c r="Y747" t="s">
        <v>6232</v>
      </c>
      <c r="Z747">
        <v>11</v>
      </c>
    </row>
    <row r="748" spans="25:26">
      <c r="Y748" t="s">
        <v>6232</v>
      </c>
      <c r="Z748">
        <v>12</v>
      </c>
    </row>
    <row r="749" spans="25:26">
      <c r="Y749" t="s">
        <v>6232</v>
      </c>
      <c r="Z749">
        <v>13</v>
      </c>
    </row>
    <row r="750" spans="25:26">
      <c r="Y750" t="s">
        <v>6232</v>
      </c>
      <c r="Z750">
        <v>14</v>
      </c>
    </row>
    <row r="751" spans="25:26">
      <c r="Y751" t="s">
        <v>6232</v>
      </c>
      <c r="Z751">
        <v>15</v>
      </c>
    </row>
    <row r="752" spans="25:26">
      <c r="Y752" t="s">
        <v>6232</v>
      </c>
      <c r="Z752">
        <v>16</v>
      </c>
    </row>
    <row r="753" spans="25:26">
      <c r="Y753" t="s">
        <v>6232</v>
      </c>
      <c r="Z753">
        <v>17</v>
      </c>
    </row>
    <row r="754" spans="25:26">
      <c r="Y754" t="s">
        <v>6232</v>
      </c>
      <c r="Z754">
        <v>18</v>
      </c>
    </row>
    <row r="755" spans="25:26">
      <c r="Y755" t="s">
        <v>6232</v>
      </c>
      <c r="Z755">
        <v>19</v>
      </c>
    </row>
    <row r="756" spans="25:26">
      <c r="Y756" t="s">
        <v>6232</v>
      </c>
      <c r="Z756">
        <v>20</v>
      </c>
    </row>
    <row r="757" spans="25:26">
      <c r="Y757" t="s">
        <v>6232</v>
      </c>
      <c r="Z757">
        <v>21</v>
      </c>
    </row>
    <row r="758" spans="25:26">
      <c r="Y758" t="s">
        <v>6232</v>
      </c>
      <c r="Z758">
        <v>22</v>
      </c>
    </row>
    <row r="759" spans="25:26">
      <c r="Y759" t="s">
        <v>6232</v>
      </c>
      <c r="Z759">
        <v>23</v>
      </c>
    </row>
    <row r="760" spans="25:26">
      <c r="Y760" t="s">
        <v>6232</v>
      </c>
      <c r="Z760">
        <v>24</v>
      </c>
    </row>
    <row r="761" spans="25:26">
      <c r="Y761" t="s">
        <v>6232</v>
      </c>
      <c r="Z761">
        <v>25</v>
      </c>
    </row>
    <row r="762" spans="25:26">
      <c r="Y762" t="s">
        <v>6232</v>
      </c>
      <c r="Z762">
        <v>26</v>
      </c>
    </row>
    <row r="763" spans="25:26">
      <c r="Y763" t="s">
        <v>6232</v>
      </c>
      <c r="Z763">
        <v>27</v>
      </c>
    </row>
    <row r="764" spans="25:26">
      <c r="Y764" t="s">
        <v>6232</v>
      </c>
      <c r="Z764">
        <v>28</v>
      </c>
    </row>
    <row r="765" spans="25:26">
      <c r="Y765" t="s">
        <v>6232</v>
      </c>
      <c r="Z765">
        <v>29</v>
      </c>
    </row>
    <row r="766" spans="25:26">
      <c r="Y766" t="s">
        <v>6232</v>
      </c>
      <c r="Z766">
        <v>30</v>
      </c>
    </row>
    <row r="767" spans="25:26">
      <c r="Y767" t="s">
        <v>6232</v>
      </c>
      <c r="Z767">
        <v>31</v>
      </c>
    </row>
    <row r="768" spans="25:26">
      <c r="Y768" t="s">
        <v>6232</v>
      </c>
      <c r="Z768">
        <v>32</v>
      </c>
    </row>
    <row r="769" spans="25:26">
      <c r="Y769" t="s">
        <v>6232</v>
      </c>
      <c r="Z769">
        <v>33</v>
      </c>
    </row>
    <row r="770" spans="25:26">
      <c r="Y770" t="s">
        <v>6232</v>
      </c>
      <c r="Z770">
        <v>34</v>
      </c>
    </row>
    <row r="771" spans="25:26">
      <c r="Y771" t="s">
        <v>6232</v>
      </c>
      <c r="Z771">
        <v>35</v>
      </c>
    </row>
    <row r="772" spans="25:26">
      <c r="Y772" t="s">
        <v>6232</v>
      </c>
      <c r="Z772">
        <v>36</v>
      </c>
    </row>
    <row r="773" spans="25:26">
      <c r="Y773" t="s">
        <v>6232</v>
      </c>
      <c r="Z773">
        <v>37</v>
      </c>
    </row>
    <row r="774" spans="25:26">
      <c r="Y774" t="s">
        <v>6232</v>
      </c>
      <c r="Z774">
        <v>38</v>
      </c>
    </row>
    <row r="775" spans="25:26">
      <c r="Y775" t="s">
        <v>6232</v>
      </c>
      <c r="Z775">
        <v>39</v>
      </c>
    </row>
    <row r="776" spans="25:26">
      <c r="Y776" t="s">
        <v>6232</v>
      </c>
      <c r="Z776">
        <v>40</v>
      </c>
    </row>
    <row r="777" spans="25:26">
      <c r="Y777" t="s">
        <v>6232</v>
      </c>
      <c r="Z777">
        <v>41</v>
      </c>
    </row>
    <row r="778" spans="25:26">
      <c r="Y778" t="s">
        <v>6232</v>
      </c>
      <c r="Z778">
        <v>42</v>
      </c>
    </row>
    <row r="779" spans="25:26">
      <c r="Y779" t="s">
        <v>6232</v>
      </c>
      <c r="Z779">
        <v>43</v>
      </c>
    </row>
    <row r="780" spans="25:26">
      <c r="Y780" t="s">
        <v>6232</v>
      </c>
      <c r="Z780">
        <v>44</v>
      </c>
    </row>
    <row r="781" spans="25:26">
      <c r="Y781" t="s">
        <v>6232</v>
      </c>
      <c r="Z781">
        <v>45</v>
      </c>
    </row>
    <row r="782" spans="25:26">
      <c r="Y782" t="s">
        <v>6232</v>
      </c>
      <c r="Z782">
        <v>46</v>
      </c>
    </row>
    <row r="783" spans="25:26">
      <c r="Y783" t="s">
        <v>6232</v>
      </c>
      <c r="Z783">
        <v>47</v>
      </c>
    </row>
    <row r="784" spans="25:26">
      <c r="Y784" t="s">
        <v>6232</v>
      </c>
      <c r="Z784">
        <v>48</v>
      </c>
    </row>
    <row r="785" spans="25:26">
      <c r="Y785" t="s">
        <v>6232</v>
      </c>
      <c r="Z785">
        <v>49</v>
      </c>
    </row>
    <row r="786" spans="25:26">
      <c r="Y786" t="s">
        <v>6232</v>
      </c>
      <c r="Z786">
        <v>50</v>
      </c>
    </row>
    <row r="787" spans="25:26">
      <c r="Y787" t="s">
        <v>6232</v>
      </c>
      <c r="Z787">
        <v>51</v>
      </c>
    </row>
    <row r="788" spans="25:26">
      <c r="Y788" t="s">
        <v>6232</v>
      </c>
      <c r="Z788">
        <v>52</v>
      </c>
    </row>
    <row r="789" spans="25:26">
      <c r="Y789" t="s">
        <v>6232</v>
      </c>
      <c r="Z789">
        <v>53</v>
      </c>
    </row>
    <row r="790" spans="25:26">
      <c r="Y790" t="s">
        <v>6232</v>
      </c>
      <c r="Z790">
        <v>54</v>
      </c>
    </row>
    <row r="791" spans="25:26">
      <c r="Y791" t="s">
        <v>6232</v>
      </c>
      <c r="Z791">
        <v>55</v>
      </c>
    </row>
    <row r="792" spans="25:26">
      <c r="Y792" t="s">
        <v>6232</v>
      </c>
      <c r="Z792">
        <v>56</v>
      </c>
    </row>
    <row r="793" spans="25:26">
      <c r="Y793" t="s">
        <v>6232</v>
      </c>
      <c r="Z793">
        <v>57</v>
      </c>
    </row>
    <row r="794" spans="25:26">
      <c r="Y794" t="s">
        <v>6232</v>
      </c>
      <c r="Z794">
        <v>58</v>
      </c>
    </row>
    <row r="795" spans="25:26">
      <c r="Y795" t="s">
        <v>6232</v>
      </c>
      <c r="Z795">
        <v>59</v>
      </c>
    </row>
    <row r="796" spans="25:26">
      <c r="Y796" t="s">
        <v>6232</v>
      </c>
      <c r="Z796">
        <v>60</v>
      </c>
    </row>
    <row r="797" spans="25:26">
      <c r="Y797" t="s">
        <v>6232</v>
      </c>
      <c r="Z797">
        <v>61</v>
      </c>
    </row>
    <row r="798" spans="25:26">
      <c r="Y798" t="s">
        <v>6232</v>
      </c>
      <c r="Z798">
        <v>62</v>
      </c>
    </row>
    <row r="799" spans="25:26">
      <c r="Y799" t="s">
        <v>6232</v>
      </c>
      <c r="Z799">
        <v>63</v>
      </c>
    </row>
    <row r="800" spans="25:26">
      <c r="Y800" t="s">
        <v>6232</v>
      </c>
      <c r="Z800">
        <v>64</v>
      </c>
    </row>
    <row r="801" spans="25:26">
      <c r="Y801" t="s">
        <v>6232</v>
      </c>
      <c r="Z801">
        <v>65</v>
      </c>
    </row>
    <row r="802" spans="25:26">
      <c r="Y802" t="s">
        <v>6232</v>
      </c>
      <c r="Z802">
        <v>66</v>
      </c>
    </row>
    <row r="803" spans="25:26">
      <c r="Y803" t="s">
        <v>6232</v>
      </c>
      <c r="Z803">
        <v>67</v>
      </c>
    </row>
    <row r="804" spans="25:26">
      <c r="Y804" t="s">
        <v>6232</v>
      </c>
      <c r="Z804">
        <v>68</v>
      </c>
    </row>
    <row r="805" spans="25:26">
      <c r="Y805" t="s">
        <v>6232</v>
      </c>
      <c r="Z805">
        <v>69</v>
      </c>
    </row>
    <row r="806" spans="25:26">
      <c r="Y806" t="s">
        <v>6232</v>
      </c>
      <c r="Z806">
        <v>70</v>
      </c>
    </row>
    <row r="807" spans="25:26">
      <c r="Y807" t="s">
        <v>6232</v>
      </c>
      <c r="Z807">
        <v>71</v>
      </c>
    </row>
    <row r="808" spans="25:26">
      <c r="Y808" t="s">
        <v>6232</v>
      </c>
      <c r="Z808">
        <v>72</v>
      </c>
    </row>
    <row r="809" spans="25:26">
      <c r="Y809" t="s">
        <v>6232</v>
      </c>
      <c r="Z809">
        <v>73</v>
      </c>
    </row>
    <row r="810" spans="25:26">
      <c r="Y810" t="s">
        <v>6232</v>
      </c>
      <c r="Z810">
        <v>74</v>
      </c>
    </row>
    <row r="811" spans="25:26">
      <c r="Y811" t="s">
        <v>6232</v>
      </c>
      <c r="Z811">
        <v>75</v>
      </c>
    </row>
    <row r="812" spans="25:26">
      <c r="Y812" t="s">
        <v>6232</v>
      </c>
      <c r="Z812">
        <v>76</v>
      </c>
    </row>
    <row r="813" spans="25:26">
      <c r="Y813" t="s">
        <v>6232</v>
      </c>
      <c r="Z813">
        <v>77</v>
      </c>
    </row>
    <row r="814" spans="25:26">
      <c r="Y814" t="s">
        <v>6232</v>
      </c>
      <c r="Z814">
        <v>78</v>
      </c>
    </row>
    <row r="815" spans="25:26">
      <c r="Y815" t="s">
        <v>6232</v>
      </c>
      <c r="Z815">
        <v>79</v>
      </c>
    </row>
    <row r="816" spans="25:26">
      <c r="Y816" t="s">
        <v>6232</v>
      </c>
      <c r="Z816">
        <v>80</v>
      </c>
    </row>
    <row r="817" spans="25:26">
      <c r="Y817" t="s">
        <v>6232</v>
      </c>
      <c r="Z817">
        <v>81</v>
      </c>
    </row>
    <row r="818" spans="25:26">
      <c r="Y818" t="s">
        <v>6232</v>
      </c>
      <c r="Z818">
        <v>82</v>
      </c>
    </row>
    <row r="819" spans="25:26">
      <c r="Y819" t="s">
        <v>6232</v>
      </c>
      <c r="Z819">
        <v>83</v>
      </c>
    </row>
    <row r="820" spans="25:26">
      <c r="Y820" t="s">
        <v>6232</v>
      </c>
      <c r="Z820">
        <v>84</v>
      </c>
    </row>
    <row r="821" spans="25:26">
      <c r="Y821" t="s">
        <v>6232</v>
      </c>
      <c r="Z821">
        <v>85</v>
      </c>
    </row>
    <row r="822" spans="25:26">
      <c r="Y822" t="s">
        <v>6232</v>
      </c>
      <c r="Z822">
        <v>86</v>
      </c>
    </row>
    <row r="823" spans="25:26">
      <c r="Y823" t="s">
        <v>6232</v>
      </c>
      <c r="Z823">
        <v>87</v>
      </c>
    </row>
    <row r="824" spans="25:26">
      <c r="Y824" t="s">
        <v>6232</v>
      </c>
      <c r="Z824">
        <v>88</v>
      </c>
    </row>
    <row r="825" spans="25:26">
      <c r="Y825" t="s">
        <v>6232</v>
      </c>
      <c r="Z825">
        <v>89</v>
      </c>
    </row>
    <row r="826" spans="25:26">
      <c r="Y826" t="s">
        <v>6232</v>
      </c>
      <c r="Z826">
        <v>90</v>
      </c>
    </row>
    <row r="827" spans="25:26">
      <c r="Y827" t="s">
        <v>6232</v>
      </c>
      <c r="Z827">
        <v>91</v>
      </c>
    </row>
    <row r="828" spans="25:26">
      <c r="Y828" t="s">
        <v>6232</v>
      </c>
      <c r="Z828">
        <v>92</v>
      </c>
    </row>
    <row r="829" spans="25:26">
      <c r="Y829" t="s">
        <v>6232</v>
      </c>
      <c r="Z829">
        <v>93</v>
      </c>
    </row>
    <row r="830" spans="25:26">
      <c r="Y830" t="s">
        <v>6232</v>
      </c>
      <c r="Z830">
        <v>94</v>
      </c>
    </row>
    <row r="831" spans="25:26">
      <c r="Y831" t="s">
        <v>6232</v>
      </c>
      <c r="Z831">
        <v>95</v>
      </c>
    </row>
    <row r="832" spans="25:26">
      <c r="Y832" t="s">
        <v>6232</v>
      </c>
      <c r="Z832">
        <v>96</v>
      </c>
    </row>
    <row r="833" spans="25:26">
      <c r="Y833" t="s">
        <v>6232</v>
      </c>
      <c r="Z833">
        <v>97</v>
      </c>
    </row>
    <row r="834" spans="25:26">
      <c r="Y834" t="s">
        <v>6232</v>
      </c>
      <c r="Z834">
        <v>98</v>
      </c>
    </row>
    <row r="835" spans="25:26">
      <c r="Y835" t="s">
        <v>6232</v>
      </c>
      <c r="Z835">
        <v>99</v>
      </c>
    </row>
    <row r="836" spans="25:26">
      <c r="Y836" t="s">
        <v>6232</v>
      </c>
      <c r="Z836">
        <v>100</v>
      </c>
    </row>
    <row r="837" spans="25:26">
      <c r="Y837" t="s">
        <v>6232</v>
      </c>
      <c r="Z837">
        <v>101</v>
      </c>
    </row>
    <row r="838" spans="25:26">
      <c r="Y838" t="s">
        <v>6232</v>
      </c>
      <c r="Z838">
        <v>102</v>
      </c>
    </row>
    <row r="839" spans="25:26">
      <c r="Y839" t="s">
        <v>6232</v>
      </c>
      <c r="Z839">
        <v>103</v>
      </c>
    </row>
    <row r="840" spans="25:26">
      <c r="Y840" t="s">
        <v>6232</v>
      </c>
      <c r="Z840">
        <v>104</v>
      </c>
    </row>
    <row r="841" spans="25:26">
      <c r="Y841" t="s">
        <v>6232</v>
      </c>
      <c r="Z841">
        <v>105</v>
      </c>
    </row>
    <row r="842" spans="25:26">
      <c r="Y842" t="s">
        <v>6232</v>
      </c>
      <c r="Z842">
        <v>106</v>
      </c>
    </row>
    <row r="843" spans="25:26">
      <c r="Y843" t="s">
        <v>6232</v>
      </c>
      <c r="Z843">
        <v>107</v>
      </c>
    </row>
    <row r="844" spans="25:26">
      <c r="Y844" t="s">
        <v>6232</v>
      </c>
      <c r="Z844">
        <v>108</v>
      </c>
    </row>
    <row r="845" spans="25:26">
      <c r="Y845" t="s">
        <v>6232</v>
      </c>
      <c r="Z845">
        <v>109</v>
      </c>
    </row>
    <row r="846" spans="25:26">
      <c r="Y846" t="s">
        <v>6232</v>
      </c>
      <c r="Z846">
        <v>110</v>
      </c>
    </row>
    <row r="847" spans="25:26">
      <c r="Y847" t="s">
        <v>6232</v>
      </c>
      <c r="Z847">
        <v>111</v>
      </c>
    </row>
    <row r="848" spans="25:26">
      <c r="Y848" t="s">
        <v>6232</v>
      </c>
      <c r="Z848">
        <v>112</v>
      </c>
    </row>
    <row r="849" spans="25:26">
      <c r="Y849" t="s">
        <v>6232</v>
      </c>
      <c r="Z849">
        <v>113</v>
      </c>
    </row>
    <row r="850" spans="25:26">
      <c r="Y850" t="s">
        <v>6232</v>
      </c>
      <c r="Z850">
        <v>114</v>
      </c>
    </row>
    <row r="851" spans="25:26">
      <c r="Y851" t="s">
        <v>6232</v>
      </c>
      <c r="Z851">
        <v>115</v>
      </c>
    </row>
    <row r="852" spans="25:26">
      <c r="Y852" t="s">
        <v>6232</v>
      </c>
      <c r="Z852">
        <v>116</v>
      </c>
    </row>
    <row r="853" spans="25:26">
      <c r="Y853" t="s">
        <v>6232</v>
      </c>
      <c r="Z853">
        <v>117</v>
      </c>
    </row>
    <row r="854" spans="25:26">
      <c r="Y854" t="s">
        <v>6232</v>
      </c>
      <c r="Z854">
        <v>118</v>
      </c>
    </row>
    <row r="855" spans="25:26">
      <c r="Y855" t="s">
        <v>6232</v>
      </c>
      <c r="Z855">
        <v>119</v>
      </c>
    </row>
    <row r="856" spans="25:26">
      <c r="Y856" t="s">
        <v>6232</v>
      </c>
      <c r="Z856">
        <v>120</v>
      </c>
    </row>
    <row r="857" spans="25:26">
      <c r="Y857" t="s">
        <v>6232</v>
      </c>
      <c r="Z857">
        <v>121</v>
      </c>
    </row>
    <row r="858" spans="25:26">
      <c r="Y858" t="s">
        <v>6232</v>
      </c>
      <c r="Z858">
        <v>122</v>
      </c>
    </row>
    <row r="859" spans="25:26">
      <c r="Y859" t="s">
        <v>6232</v>
      </c>
      <c r="Z859">
        <v>123</v>
      </c>
    </row>
    <row r="860" spans="25:26">
      <c r="Y860" t="s">
        <v>6232</v>
      </c>
      <c r="Z860">
        <v>124</v>
      </c>
    </row>
    <row r="861" spans="25:26">
      <c r="Y861" t="s">
        <v>6232</v>
      </c>
      <c r="Z861">
        <v>125</v>
      </c>
    </row>
    <row r="862" spans="25:26">
      <c r="Y862" t="s">
        <v>6232</v>
      </c>
      <c r="Z862">
        <v>126</v>
      </c>
    </row>
    <row r="863" spans="25:26">
      <c r="Y863" t="s">
        <v>6232</v>
      </c>
      <c r="Z863">
        <v>127</v>
      </c>
    </row>
    <row r="864" spans="25:26">
      <c r="Y864" t="s">
        <v>6232</v>
      </c>
      <c r="Z864">
        <v>128</v>
      </c>
    </row>
    <row r="865" spans="25:26">
      <c r="Y865" t="s">
        <v>6232</v>
      </c>
      <c r="Z865">
        <v>129</v>
      </c>
    </row>
    <row r="866" spans="25:26">
      <c r="Y866" t="s">
        <v>6232</v>
      </c>
      <c r="Z866">
        <v>130</v>
      </c>
    </row>
    <row r="867" spans="25:26">
      <c r="Y867" t="s">
        <v>6232</v>
      </c>
      <c r="Z867">
        <v>131</v>
      </c>
    </row>
    <row r="868" spans="25:26">
      <c r="Y868" t="s">
        <v>6232</v>
      </c>
      <c r="Z868">
        <v>132</v>
      </c>
    </row>
    <row r="869" spans="25:26">
      <c r="Y869" t="s">
        <v>6232</v>
      </c>
      <c r="Z869">
        <v>133</v>
      </c>
    </row>
    <row r="870" spans="25:26">
      <c r="Y870" t="s">
        <v>6232</v>
      </c>
      <c r="Z870">
        <v>134</v>
      </c>
    </row>
    <row r="871" spans="25:26">
      <c r="Y871" t="s">
        <v>6232</v>
      </c>
      <c r="Z871">
        <v>135</v>
      </c>
    </row>
    <row r="872" spans="25:26">
      <c r="Y872" t="s">
        <v>6232</v>
      </c>
      <c r="Z872">
        <v>136</v>
      </c>
    </row>
    <row r="873" spans="25:26">
      <c r="Y873" t="s">
        <v>6232</v>
      </c>
      <c r="Z873">
        <v>137</v>
      </c>
    </row>
    <row r="874" spans="25:26">
      <c r="Y874" t="s">
        <v>6232</v>
      </c>
      <c r="Z874">
        <v>138</v>
      </c>
    </row>
    <row r="875" spans="25:26">
      <c r="Y875" t="s">
        <v>6232</v>
      </c>
      <c r="Z875">
        <v>139</v>
      </c>
    </row>
    <row r="876" spans="25:26">
      <c r="Y876" t="s">
        <v>6232</v>
      </c>
      <c r="Z876">
        <v>140</v>
      </c>
    </row>
    <row r="877" spans="25:26">
      <c r="Y877" t="s">
        <v>6232</v>
      </c>
      <c r="Z877">
        <v>141</v>
      </c>
    </row>
    <row r="878" spans="25:26">
      <c r="Y878" t="s">
        <v>6232</v>
      </c>
      <c r="Z878">
        <v>142</v>
      </c>
    </row>
    <row r="879" spans="25:26">
      <c r="Y879" t="s">
        <v>6232</v>
      </c>
      <c r="Z879">
        <v>143</v>
      </c>
    </row>
    <row r="880" spans="25:26">
      <c r="Y880" t="s">
        <v>6232</v>
      </c>
      <c r="Z880">
        <v>144</v>
      </c>
    </row>
    <row r="881" spans="25:26">
      <c r="Y881" t="s">
        <v>6232</v>
      </c>
      <c r="Z881">
        <v>145</v>
      </c>
    </row>
    <row r="882" spans="25:26">
      <c r="Y882" t="s">
        <v>6232</v>
      </c>
      <c r="Z882">
        <v>146</v>
      </c>
    </row>
    <row r="883" spans="25:26">
      <c r="Y883" t="s">
        <v>6232</v>
      </c>
      <c r="Z883">
        <v>147</v>
      </c>
    </row>
    <row r="884" spans="25:26">
      <c r="Y884" t="s">
        <v>6232</v>
      </c>
      <c r="Z884">
        <v>148</v>
      </c>
    </row>
    <row r="885" spans="25:26">
      <c r="Y885" t="s">
        <v>6232</v>
      </c>
      <c r="Z885">
        <v>149</v>
      </c>
    </row>
    <row r="886" spans="25:26">
      <c r="Y886" t="s">
        <v>6232</v>
      </c>
      <c r="Z886">
        <v>150</v>
      </c>
    </row>
    <row r="887" spans="25:26">
      <c r="Y887" t="s">
        <v>6232</v>
      </c>
      <c r="Z887">
        <v>151</v>
      </c>
    </row>
    <row r="888" spans="25:26">
      <c r="Y888" t="s">
        <v>6232</v>
      </c>
      <c r="Z888">
        <v>152</v>
      </c>
    </row>
    <row r="889" spans="25:26">
      <c r="Y889" t="s">
        <v>6232</v>
      </c>
      <c r="Z889">
        <v>153</v>
      </c>
    </row>
    <row r="890" spans="25:26">
      <c r="Y890" t="s">
        <v>6232</v>
      </c>
      <c r="Z890">
        <v>154</v>
      </c>
    </row>
    <row r="891" spans="25:26">
      <c r="Y891" t="s">
        <v>6232</v>
      </c>
      <c r="Z891">
        <v>155</v>
      </c>
    </row>
    <row r="892" spans="25:26">
      <c r="Y892" t="s">
        <v>6232</v>
      </c>
      <c r="Z892">
        <v>156</v>
      </c>
    </row>
    <row r="893" spans="25:26">
      <c r="Y893" t="s">
        <v>6232</v>
      </c>
      <c r="Z893">
        <v>157</v>
      </c>
    </row>
    <row r="894" spans="25:26">
      <c r="Y894" t="s">
        <v>6232</v>
      </c>
      <c r="Z894">
        <v>158</v>
      </c>
    </row>
    <row r="895" spans="25:26">
      <c r="Y895" t="s">
        <v>6232</v>
      </c>
      <c r="Z895">
        <v>159</v>
      </c>
    </row>
    <row r="896" spans="25:26">
      <c r="Y896" t="s">
        <v>6232</v>
      </c>
      <c r="Z896">
        <v>160</v>
      </c>
    </row>
    <row r="897" spans="25:26">
      <c r="Y897" t="s">
        <v>6232</v>
      </c>
      <c r="Z897">
        <v>161</v>
      </c>
    </row>
    <row r="898" spans="25:26">
      <c r="Y898" t="s">
        <v>6232</v>
      </c>
      <c r="Z898">
        <v>162</v>
      </c>
    </row>
    <row r="899" spans="25:26">
      <c r="Y899" t="s">
        <v>6232</v>
      </c>
      <c r="Z899">
        <v>163</v>
      </c>
    </row>
    <row r="900" spans="25:26">
      <c r="Y900" t="s">
        <v>6232</v>
      </c>
      <c r="Z900">
        <v>164</v>
      </c>
    </row>
    <row r="901" spans="25:26">
      <c r="Y901" t="s">
        <v>6232</v>
      </c>
      <c r="Z901">
        <v>165</v>
      </c>
    </row>
    <row r="902" spans="25:26">
      <c r="Y902" t="s">
        <v>6232</v>
      </c>
      <c r="Z902">
        <v>166</v>
      </c>
    </row>
    <row r="903" spans="25:26">
      <c r="Y903" t="s">
        <v>6232</v>
      </c>
      <c r="Z903">
        <v>167</v>
      </c>
    </row>
    <row r="904" spans="25:26">
      <c r="Y904" t="s">
        <v>6232</v>
      </c>
      <c r="Z904">
        <v>168</v>
      </c>
    </row>
    <row r="905" spans="25:26">
      <c r="Y905" t="s">
        <v>6232</v>
      </c>
      <c r="Z905">
        <v>169</v>
      </c>
    </row>
    <row r="906" spans="25:26">
      <c r="Y906" t="s">
        <v>6232</v>
      </c>
      <c r="Z906">
        <v>170</v>
      </c>
    </row>
    <row r="907" spans="25:26">
      <c r="Y907" t="s">
        <v>6232</v>
      </c>
      <c r="Z907">
        <v>171</v>
      </c>
    </row>
    <row r="908" spans="25:26">
      <c r="Y908" t="s">
        <v>6232</v>
      </c>
      <c r="Z908">
        <v>172</v>
      </c>
    </row>
    <row r="909" spans="25:26">
      <c r="Y909" t="s">
        <v>6232</v>
      </c>
      <c r="Z909">
        <v>173</v>
      </c>
    </row>
    <row r="910" spans="25:26">
      <c r="Y910" t="s">
        <v>6232</v>
      </c>
      <c r="Z910">
        <v>174</v>
      </c>
    </row>
    <row r="911" spans="25:26">
      <c r="Y911" t="s">
        <v>6232</v>
      </c>
      <c r="Z911">
        <v>175</v>
      </c>
    </row>
    <row r="912" spans="25:26">
      <c r="Y912" t="s">
        <v>6232</v>
      </c>
      <c r="Z912">
        <v>176</v>
      </c>
    </row>
    <row r="913" spans="25:26">
      <c r="Y913" t="s">
        <v>6232</v>
      </c>
      <c r="Z913">
        <v>177</v>
      </c>
    </row>
    <row r="914" spans="25:26">
      <c r="Y914" t="s">
        <v>6232</v>
      </c>
      <c r="Z914">
        <v>178</v>
      </c>
    </row>
    <row r="915" spans="25:26">
      <c r="Y915" t="s">
        <v>6232</v>
      </c>
      <c r="Z915">
        <v>179</v>
      </c>
    </row>
    <row r="916" spans="25:26">
      <c r="Y916" t="s">
        <v>6232</v>
      </c>
      <c r="Z916">
        <v>180</v>
      </c>
    </row>
    <row r="917" spans="25:26">
      <c r="Y917" t="s">
        <v>6232</v>
      </c>
      <c r="Z917">
        <v>181</v>
      </c>
    </row>
    <row r="918" spans="25:26">
      <c r="Y918" t="s">
        <v>6232</v>
      </c>
      <c r="Z918">
        <v>182</v>
      </c>
    </row>
    <row r="919" spans="25:26">
      <c r="Y919" t="s">
        <v>6232</v>
      </c>
      <c r="Z919">
        <v>183</v>
      </c>
    </row>
    <row r="920" spans="25:26">
      <c r="Y920" t="s">
        <v>6232</v>
      </c>
      <c r="Z920">
        <v>184</v>
      </c>
    </row>
    <row r="921" spans="25:26">
      <c r="Y921" t="s">
        <v>6232</v>
      </c>
      <c r="Z921">
        <v>185</v>
      </c>
    </row>
    <row r="922" spans="25:26">
      <c r="Y922" t="s">
        <v>6232</v>
      </c>
      <c r="Z922">
        <v>186</v>
      </c>
    </row>
    <row r="923" spans="25:26">
      <c r="Y923" t="s">
        <v>6232</v>
      </c>
      <c r="Z923">
        <v>187</v>
      </c>
    </row>
    <row r="924" spans="25:26">
      <c r="Y924" t="s">
        <v>6232</v>
      </c>
      <c r="Z924">
        <v>188</v>
      </c>
    </row>
    <row r="925" spans="25:26">
      <c r="Y925" t="s">
        <v>6232</v>
      </c>
      <c r="Z925">
        <v>189</v>
      </c>
    </row>
    <row r="926" spans="25:26">
      <c r="Y926" t="s">
        <v>6232</v>
      </c>
      <c r="Z926">
        <v>190</v>
      </c>
    </row>
    <row r="927" spans="25:26">
      <c r="Y927" t="s">
        <v>6232</v>
      </c>
      <c r="Z927">
        <v>191</v>
      </c>
    </row>
    <row r="928" spans="25:26">
      <c r="Y928" t="s">
        <v>6232</v>
      </c>
      <c r="Z928">
        <v>192</v>
      </c>
    </row>
    <row r="929" spans="25:26">
      <c r="Y929" t="s">
        <v>6232</v>
      </c>
      <c r="Z929">
        <v>193</v>
      </c>
    </row>
    <row r="930" spans="25:26">
      <c r="Y930" t="s">
        <v>6232</v>
      </c>
      <c r="Z930">
        <v>194</v>
      </c>
    </row>
    <row r="931" spans="25:26">
      <c r="Y931" t="s">
        <v>6232</v>
      </c>
      <c r="Z931">
        <v>195</v>
      </c>
    </row>
    <row r="932" spans="25:26">
      <c r="Y932" t="s">
        <v>6232</v>
      </c>
      <c r="Z932">
        <v>196</v>
      </c>
    </row>
    <row r="933" spans="25:26">
      <c r="Y933" t="s">
        <v>6232</v>
      </c>
      <c r="Z933">
        <v>197</v>
      </c>
    </row>
    <row r="934" spans="25:26">
      <c r="Y934" t="s">
        <v>6232</v>
      </c>
      <c r="Z934">
        <v>198</v>
      </c>
    </row>
    <row r="935" spans="25:26">
      <c r="Y935" t="s">
        <v>6232</v>
      </c>
      <c r="Z935">
        <v>199</v>
      </c>
    </row>
    <row r="936" spans="25:26">
      <c r="Y936" t="s">
        <v>6232</v>
      </c>
      <c r="Z936">
        <v>200</v>
      </c>
    </row>
    <row r="937" spans="25:26">
      <c r="Y937" t="s">
        <v>6232</v>
      </c>
      <c r="Z937">
        <v>201</v>
      </c>
    </row>
    <row r="938" spans="25:26">
      <c r="Y938" t="s">
        <v>6232</v>
      </c>
      <c r="Z938">
        <v>202</v>
      </c>
    </row>
    <row r="939" spans="25:26">
      <c r="Y939" t="s">
        <v>6232</v>
      </c>
      <c r="Z939">
        <v>203</v>
      </c>
    </row>
    <row r="940" spans="25:26">
      <c r="Y940" t="s">
        <v>6232</v>
      </c>
      <c r="Z940">
        <v>204</v>
      </c>
    </row>
    <row r="941" spans="25:26">
      <c r="Y941" t="s">
        <v>6232</v>
      </c>
      <c r="Z941">
        <v>205</v>
      </c>
    </row>
    <row r="942" spans="25:26">
      <c r="Y942" t="s">
        <v>6232</v>
      </c>
      <c r="Z942">
        <v>206</v>
      </c>
    </row>
    <row r="943" spans="25:26">
      <c r="Y943" t="s">
        <v>6232</v>
      </c>
      <c r="Z943">
        <v>207</v>
      </c>
    </row>
    <row r="944" spans="25:26">
      <c r="Y944" t="s">
        <v>6232</v>
      </c>
      <c r="Z944">
        <v>208</v>
      </c>
    </row>
    <row r="945" spans="25:26">
      <c r="Y945" t="s">
        <v>6232</v>
      </c>
      <c r="Z945">
        <v>209</v>
      </c>
    </row>
    <row r="946" spans="25:26">
      <c r="Y946" t="s">
        <v>6232</v>
      </c>
      <c r="Z946">
        <v>210</v>
      </c>
    </row>
    <row r="947" spans="25:26">
      <c r="Y947" t="s">
        <v>6232</v>
      </c>
      <c r="Z947">
        <v>211</v>
      </c>
    </row>
    <row r="948" spans="25:26">
      <c r="Y948" t="s">
        <v>6232</v>
      </c>
      <c r="Z948">
        <v>212</v>
      </c>
    </row>
    <row r="949" spans="25:26">
      <c r="Y949" t="s">
        <v>6232</v>
      </c>
      <c r="Z949">
        <v>213</v>
      </c>
    </row>
    <row r="950" spans="25:26">
      <c r="Y950" t="s">
        <v>6232</v>
      </c>
      <c r="Z950">
        <v>214</v>
      </c>
    </row>
    <row r="951" spans="25:26">
      <c r="Y951" t="s">
        <v>6232</v>
      </c>
      <c r="Z951">
        <v>215</v>
      </c>
    </row>
    <row r="952" spans="25:26">
      <c r="Y952" t="s">
        <v>6232</v>
      </c>
      <c r="Z952">
        <v>216</v>
      </c>
    </row>
    <row r="953" spans="25:26">
      <c r="Y953" t="s">
        <v>6232</v>
      </c>
      <c r="Z953">
        <v>217</v>
      </c>
    </row>
    <row r="954" spans="25:26">
      <c r="Y954" t="s">
        <v>6232</v>
      </c>
      <c r="Z954">
        <v>218</v>
      </c>
    </row>
    <row r="955" spans="25:26">
      <c r="Y955" t="s">
        <v>6232</v>
      </c>
      <c r="Z955">
        <v>219</v>
      </c>
    </row>
    <row r="956" spans="25:26">
      <c r="Y956" t="s">
        <v>6232</v>
      </c>
      <c r="Z956">
        <v>220</v>
      </c>
    </row>
    <row r="957" spans="25:26">
      <c r="Y957" t="s">
        <v>6232</v>
      </c>
      <c r="Z957">
        <v>221</v>
      </c>
    </row>
    <row r="958" spans="25:26">
      <c r="Y958" t="s">
        <v>6232</v>
      </c>
      <c r="Z958">
        <v>222</v>
      </c>
    </row>
    <row r="959" spans="25:26">
      <c r="Y959" t="s">
        <v>6232</v>
      </c>
      <c r="Z959">
        <v>223</v>
      </c>
    </row>
    <row r="960" spans="25:26">
      <c r="Y960" t="s">
        <v>6232</v>
      </c>
      <c r="Z960">
        <v>224</v>
      </c>
    </row>
    <row r="961" spans="25:26">
      <c r="Y961" t="s">
        <v>6232</v>
      </c>
      <c r="Z961">
        <v>225</v>
      </c>
    </row>
    <row r="962" spans="25:26">
      <c r="Y962" t="s">
        <v>6232</v>
      </c>
      <c r="Z962">
        <v>226</v>
      </c>
    </row>
    <row r="963" spans="25:26">
      <c r="Y963" t="s">
        <v>6232</v>
      </c>
      <c r="Z963">
        <v>227</v>
      </c>
    </row>
    <row r="964" spans="25:26">
      <c r="Y964" t="s">
        <v>6232</v>
      </c>
      <c r="Z964">
        <v>228</v>
      </c>
    </row>
    <row r="965" spans="25:26">
      <c r="Y965" t="s">
        <v>6232</v>
      </c>
      <c r="Z965">
        <v>229</v>
      </c>
    </row>
    <row r="966" spans="25:26">
      <c r="Y966" t="s">
        <v>6232</v>
      </c>
      <c r="Z966">
        <v>230</v>
      </c>
    </row>
    <row r="967" spans="25:26">
      <c r="Y967" t="s">
        <v>6232</v>
      </c>
      <c r="Z967">
        <v>231</v>
      </c>
    </row>
    <row r="968" spans="25:26">
      <c r="Y968" t="s">
        <v>6232</v>
      </c>
      <c r="Z968">
        <v>232</v>
      </c>
    </row>
    <row r="969" spans="25:26">
      <c r="Y969" t="s">
        <v>6232</v>
      </c>
      <c r="Z969">
        <v>233</v>
      </c>
    </row>
    <row r="970" spans="25:26">
      <c r="Y970" t="s">
        <v>6232</v>
      </c>
      <c r="Z970">
        <v>234</v>
      </c>
    </row>
    <row r="971" spans="25:26">
      <c r="Y971" t="s">
        <v>6232</v>
      </c>
      <c r="Z971">
        <v>235</v>
      </c>
    </row>
    <row r="972" spans="25:26">
      <c r="Y972" t="s">
        <v>6232</v>
      </c>
      <c r="Z972">
        <v>236</v>
      </c>
    </row>
    <row r="973" spans="25:26">
      <c r="Y973" t="s">
        <v>6232</v>
      </c>
      <c r="Z973">
        <v>237</v>
      </c>
    </row>
    <row r="974" spans="25:26">
      <c r="Y974" t="s">
        <v>6232</v>
      </c>
      <c r="Z974">
        <v>238</v>
      </c>
    </row>
    <row r="975" spans="25:26">
      <c r="Y975" t="s">
        <v>6232</v>
      </c>
      <c r="Z975">
        <v>239</v>
      </c>
    </row>
    <row r="976" spans="25:26">
      <c r="Y976" t="s">
        <v>6232</v>
      </c>
      <c r="Z976">
        <v>240</v>
      </c>
    </row>
    <row r="977" spans="25:26">
      <c r="Y977" t="s">
        <v>6232</v>
      </c>
      <c r="Z977">
        <v>241</v>
      </c>
    </row>
    <row r="978" spans="25:26">
      <c r="Y978" t="s">
        <v>6232</v>
      </c>
      <c r="Z978">
        <v>242</v>
      </c>
    </row>
    <row r="979" spans="25:26">
      <c r="Y979" t="s">
        <v>6232</v>
      </c>
      <c r="Z979">
        <v>243</v>
      </c>
    </row>
    <row r="980" spans="25:26">
      <c r="Y980" t="s">
        <v>6232</v>
      </c>
      <c r="Z980">
        <v>244</v>
      </c>
    </row>
    <row r="981" spans="25:26">
      <c r="Y981" t="s">
        <v>6232</v>
      </c>
      <c r="Z981">
        <v>245</v>
      </c>
    </row>
    <row r="982" spans="25:26">
      <c r="Y982" t="s">
        <v>6232</v>
      </c>
      <c r="Z982">
        <v>246</v>
      </c>
    </row>
    <row r="983" spans="25:26">
      <c r="Y983" t="s">
        <v>6232</v>
      </c>
      <c r="Z983">
        <v>247</v>
      </c>
    </row>
    <row r="984" spans="25:26">
      <c r="Y984" t="s">
        <v>6232</v>
      </c>
      <c r="Z984">
        <v>248</v>
      </c>
    </row>
    <row r="985" spans="25:26">
      <c r="Y985" t="s">
        <v>6232</v>
      </c>
      <c r="Z985">
        <v>249</v>
      </c>
    </row>
    <row r="986" spans="25:26">
      <c r="Y986" t="s">
        <v>6232</v>
      </c>
      <c r="Z986">
        <v>250</v>
      </c>
    </row>
    <row r="987" spans="25:26">
      <c r="Y987" t="s">
        <v>6235</v>
      </c>
      <c r="Z987">
        <v>5</v>
      </c>
    </row>
    <row r="988" spans="25:26">
      <c r="Y988" t="s">
        <v>6235</v>
      </c>
      <c r="Z988">
        <v>6</v>
      </c>
    </row>
    <row r="989" spans="25:26">
      <c r="Y989" t="s">
        <v>6235</v>
      </c>
      <c r="Z989">
        <v>7</v>
      </c>
    </row>
    <row r="990" spans="25:26">
      <c r="Y990" t="s">
        <v>6235</v>
      </c>
      <c r="Z990">
        <v>8</v>
      </c>
    </row>
    <row r="991" spans="25:26">
      <c r="Y991" t="s">
        <v>6235</v>
      </c>
      <c r="Z991">
        <v>9</v>
      </c>
    </row>
    <row r="992" spans="25:26">
      <c r="Y992" t="s">
        <v>6235</v>
      </c>
      <c r="Z992">
        <v>10</v>
      </c>
    </row>
    <row r="993" spans="25:26">
      <c r="Y993" t="s">
        <v>6235</v>
      </c>
      <c r="Z993">
        <v>11</v>
      </c>
    </row>
    <row r="994" spans="25:26">
      <c r="Y994" t="s">
        <v>6235</v>
      </c>
      <c r="Z994">
        <v>12</v>
      </c>
    </row>
    <row r="995" spans="25:26">
      <c r="Y995" t="s">
        <v>6235</v>
      </c>
      <c r="Z995">
        <v>13</v>
      </c>
    </row>
    <row r="996" spans="25:26">
      <c r="Y996" t="s">
        <v>6235</v>
      </c>
      <c r="Z996">
        <v>14</v>
      </c>
    </row>
    <row r="997" spans="25:26">
      <c r="Y997" t="s">
        <v>6235</v>
      </c>
      <c r="Z997">
        <v>15</v>
      </c>
    </row>
    <row r="998" spans="25:26">
      <c r="Y998" t="s">
        <v>6235</v>
      </c>
      <c r="Z998">
        <v>16</v>
      </c>
    </row>
    <row r="999" spans="25:26">
      <c r="Y999" t="s">
        <v>6235</v>
      </c>
      <c r="Z999">
        <v>17</v>
      </c>
    </row>
    <row r="1000" spans="25:26">
      <c r="Y1000" t="s">
        <v>6235</v>
      </c>
      <c r="Z1000">
        <v>18</v>
      </c>
    </row>
    <row r="1001" spans="25:26">
      <c r="Y1001" t="s">
        <v>6235</v>
      </c>
      <c r="Z1001">
        <v>19</v>
      </c>
    </row>
    <row r="1002" spans="25:26">
      <c r="Y1002" t="s">
        <v>6235</v>
      </c>
      <c r="Z1002">
        <v>20</v>
      </c>
    </row>
    <row r="1003" spans="25:26">
      <c r="Y1003" t="s">
        <v>6235</v>
      </c>
      <c r="Z1003">
        <v>21</v>
      </c>
    </row>
    <row r="1004" spans="25:26">
      <c r="Y1004" t="s">
        <v>6235</v>
      </c>
      <c r="Z1004">
        <v>22</v>
      </c>
    </row>
    <row r="1005" spans="25:26">
      <c r="Y1005" t="s">
        <v>6235</v>
      </c>
      <c r="Z1005">
        <v>23</v>
      </c>
    </row>
    <row r="1006" spans="25:26">
      <c r="Y1006" t="s">
        <v>6235</v>
      </c>
      <c r="Z1006">
        <v>24</v>
      </c>
    </row>
    <row r="1007" spans="25:26">
      <c r="Y1007" t="s">
        <v>6235</v>
      </c>
      <c r="Z1007">
        <v>25</v>
      </c>
    </row>
    <row r="1008" spans="25:26">
      <c r="Y1008" t="s">
        <v>6235</v>
      </c>
      <c r="Z1008">
        <v>26</v>
      </c>
    </row>
    <row r="1009" spans="25:26">
      <c r="Y1009" t="s">
        <v>6235</v>
      </c>
      <c r="Z1009">
        <v>27</v>
      </c>
    </row>
    <row r="1010" spans="25:26">
      <c r="Y1010" t="s">
        <v>6235</v>
      </c>
      <c r="Z1010">
        <v>28</v>
      </c>
    </row>
    <row r="1011" spans="25:26">
      <c r="Y1011" t="s">
        <v>6235</v>
      </c>
      <c r="Z1011">
        <v>29</v>
      </c>
    </row>
    <row r="1012" spans="25:26">
      <c r="Y1012" t="s">
        <v>6235</v>
      </c>
      <c r="Z1012">
        <v>30</v>
      </c>
    </row>
    <row r="1013" spans="25:26">
      <c r="Y1013" t="s">
        <v>6235</v>
      </c>
      <c r="Z1013">
        <v>31</v>
      </c>
    </row>
    <row r="1014" spans="25:26">
      <c r="Y1014" t="s">
        <v>6235</v>
      </c>
      <c r="Z1014">
        <v>32</v>
      </c>
    </row>
    <row r="1015" spans="25:26">
      <c r="Y1015" t="s">
        <v>6235</v>
      </c>
      <c r="Z1015">
        <v>33</v>
      </c>
    </row>
    <row r="1016" spans="25:26">
      <c r="Y1016" t="s">
        <v>6235</v>
      </c>
      <c r="Z1016">
        <v>34</v>
      </c>
    </row>
    <row r="1017" spans="25:26">
      <c r="Y1017" t="s">
        <v>6235</v>
      </c>
      <c r="Z1017">
        <v>35</v>
      </c>
    </row>
    <row r="1018" spans="25:26">
      <c r="Y1018" t="s">
        <v>6235</v>
      </c>
      <c r="Z1018">
        <v>36</v>
      </c>
    </row>
    <row r="1019" spans="25:26">
      <c r="Y1019" t="s">
        <v>6235</v>
      </c>
      <c r="Z1019">
        <v>37</v>
      </c>
    </row>
    <row r="1020" spans="25:26">
      <c r="Y1020" t="s">
        <v>6235</v>
      </c>
      <c r="Z1020">
        <v>38</v>
      </c>
    </row>
    <row r="1021" spans="25:26">
      <c r="Y1021" t="s">
        <v>6235</v>
      </c>
      <c r="Z1021">
        <v>39</v>
      </c>
    </row>
    <row r="1022" spans="25:26">
      <c r="Y1022" t="s">
        <v>6235</v>
      </c>
      <c r="Z1022">
        <v>40</v>
      </c>
    </row>
    <row r="1023" spans="25:26">
      <c r="Y1023" t="s">
        <v>6235</v>
      </c>
      <c r="Z1023">
        <v>41</v>
      </c>
    </row>
    <row r="1024" spans="25:26">
      <c r="Y1024" t="s">
        <v>6235</v>
      </c>
      <c r="Z1024">
        <v>42</v>
      </c>
    </row>
    <row r="1025" spans="25:26">
      <c r="Y1025" t="s">
        <v>6235</v>
      </c>
      <c r="Z1025">
        <v>43</v>
      </c>
    </row>
    <row r="1026" spans="25:26">
      <c r="Y1026" t="s">
        <v>6235</v>
      </c>
      <c r="Z1026">
        <v>44</v>
      </c>
    </row>
    <row r="1027" spans="25:26">
      <c r="Y1027" t="s">
        <v>6235</v>
      </c>
      <c r="Z1027">
        <v>45</v>
      </c>
    </row>
    <row r="1028" spans="25:26">
      <c r="Y1028" t="s">
        <v>6235</v>
      </c>
      <c r="Z1028">
        <v>46</v>
      </c>
    </row>
    <row r="1029" spans="25:26">
      <c r="Y1029" t="s">
        <v>6235</v>
      </c>
      <c r="Z1029">
        <v>47</v>
      </c>
    </row>
    <row r="1030" spans="25:26">
      <c r="Y1030" t="s">
        <v>6235</v>
      </c>
      <c r="Z1030">
        <v>48</v>
      </c>
    </row>
    <row r="1031" spans="25:26">
      <c r="Y1031" t="s">
        <v>6235</v>
      </c>
      <c r="Z1031">
        <v>49</v>
      </c>
    </row>
    <row r="1032" spans="25:26">
      <c r="Y1032" t="s">
        <v>6235</v>
      </c>
      <c r="Z1032">
        <v>50</v>
      </c>
    </row>
    <row r="1033" spans="25:26">
      <c r="Y1033" t="s">
        <v>6235</v>
      </c>
      <c r="Z1033">
        <v>51</v>
      </c>
    </row>
    <row r="1034" spans="25:26">
      <c r="Y1034" t="s">
        <v>6235</v>
      </c>
      <c r="Z1034">
        <v>52</v>
      </c>
    </row>
    <row r="1035" spans="25:26">
      <c r="Y1035" t="s">
        <v>6235</v>
      </c>
      <c r="Z1035">
        <v>53</v>
      </c>
    </row>
    <row r="1036" spans="25:26">
      <c r="Y1036" t="s">
        <v>6235</v>
      </c>
      <c r="Z1036">
        <v>54</v>
      </c>
    </row>
    <row r="1037" spans="25:26">
      <c r="Y1037" t="s">
        <v>6235</v>
      </c>
      <c r="Z1037">
        <v>55</v>
      </c>
    </row>
    <row r="1038" spans="25:26">
      <c r="Y1038" t="s">
        <v>6235</v>
      </c>
      <c r="Z1038">
        <v>56</v>
      </c>
    </row>
    <row r="1039" spans="25:26">
      <c r="Y1039" t="s">
        <v>6235</v>
      </c>
      <c r="Z1039">
        <v>57</v>
      </c>
    </row>
    <row r="1040" spans="25:26">
      <c r="Y1040" t="s">
        <v>6235</v>
      </c>
      <c r="Z1040">
        <v>58</v>
      </c>
    </row>
    <row r="1041" spans="25:26">
      <c r="Y1041" t="s">
        <v>6235</v>
      </c>
      <c r="Z1041">
        <v>59</v>
      </c>
    </row>
    <row r="1042" spans="25:26">
      <c r="Y1042" t="s">
        <v>6235</v>
      </c>
      <c r="Z1042">
        <v>60</v>
      </c>
    </row>
    <row r="1043" spans="25:26">
      <c r="Y1043" t="s">
        <v>6235</v>
      </c>
      <c r="Z1043">
        <v>61</v>
      </c>
    </row>
    <row r="1044" spans="25:26">
      <c r="Y1044" t="s">
        <v>6235</v>
      </c>
      <c r="Z1044">
        <v>62</v>
      </c>
    </row>
    <row r="1045" spans="25:26">
      <c r="Y1045" t="s">
        <v>6235</v>
      </c>
      <c r="Z1045">
        <v>63</v>
      </c>
    </row>
    <row r="1046" spans="25:26">
      <c r="Y1046" t="s">
        <v>6235</v>
      </c>
      <c r="Z1046">
        <v>64</v>
      </c>
    </row>
    <row r="1047" spans="25:26">
      <c r="Y1047" t="s">
        <v>6235</v>
      </c>
      <c r="Z1047">
        <v>65</v>
      </c>
    </row>
    <row r="1048" spans="25:26">
      <c r="Y1048" t="s">
        <v>6235</v>
      </c>
      <c r="Z1048">
        <v>66</v>
      </c>
    </row>
    <row r="1049" spans="25:26">
      <c r="Y1049" t="s">
        <v>6235</v>
      </c>
      <c r="Z1049">
        <v>67</v>
      </c>
    </row>
    <row r="1050" spans="25:26">
      <c r="Y1050" t="s">
        <v>6235</v>
      </c>
      <c r="Z1050">
        <v>68</v>
      </c>
    </row>
    <row r="1051" spans="25:26">
      <c r="Y1051" t="s">
        <v>6235</v>
      </c>
      <c r="Z1051">
        <v>69</v>
      </c>
    </row>
    <row r="1052" spans="25:26">
      <c r="Y1052" t="s">
        <v>6235</v>
      </c>
      <c r="Z1052">
        <v>70</v>
      </c>
    </row>
    <row r="1053" spans="25:26">
      <c r="Y1053" t="s">
        <v>6235</v>
      </c>
      <c r="Z1053">
        <v>71</v>
      </c>
    </row>
    <row r="1054" spans="25:26">
      <c r="Y1054" t="s">
        <v>6235</v>
      </c>
      <c r="Z1054">
        <v>72</v>
      </c>
    </row>
    <row r="1055" spans="25:26">
      <c r="Y1055" t="s">
        <v>6235</v>
      </c>
      <c r="Z1055">
        <v>73</v>
      </c>
    </row>
    <row r="1056" spans="25:26">
      <c r="Y1056" t="s">
        <v>6235</v>
      </c>
      <c r="Z1056">
        <v>74</v>
      </c>
    </row>
    <row r="1057" spans="25:26">
      <c r="Y1057" t="s">
        <v>6235</v>
      </c>
      <c r="Z1057">
        <v>75</v>
      </c>
    </row>
    <row r="1058" spans="25:26">
      <c r="Y1058" t="s">
        <v>6235</v>
      </c>
      <c r="Z1058">
        <v>76</v>
      </c>
    </row>
    <row r="1059" spans="25:26">
      <c r="Y1059" t="s">
        <v>6235</v>
      </c>
      <c r="Z1059">
        <v>77</v>
      </c>
    </row>
    <row r="1060" spans="25:26">
      <c r="Y1060" t="s">
        <v>6235</v>
      </c>
      <c r="Z1060">
        <v>78</v>
      </c>
    </row>
    <row r="1061" spans="25:26">
      <c r="Y1061" t="s">
        <v>6235</v>
      </c>
      <c r="Z1061">
        <v>79</v>
      </c>
    </row>
    <row r="1062" spans="25:26">
      <c r="Y1062" t="s">
        <v>6235</v>
      </c>
      <c r="Z1062">
        <v>80</v>
      </c>
    </row>
    <row r="1063" spans="25:26">
      <c r="Y1063" t="s">
        <v>6235</v>
      </c>
      <c r="Z1063">
        <v>81</v>
      </c>
    </row>
    <row r="1064" spans="25:26">
      <c r="Y1064" t="s">
        <v>6235</v>
      </c>
      <c r="Z1064">
        <v>82</v>
      </c>
    </row>
    <row r="1065" spans="25:26">
      <c r="Y1065" t="s">
        <v>6235</v>
      </c>
      <c r="Z1065">
        <v>83</v>
      </c>
    </row>
    <row r="1066" spans="25:26">
      <c r="Y1066" t="s">
        <v>6235</v>
      </c>
      <c r="Z1066">
        <v>84</v>
      </c>
    </row>
    <row r="1067" spans="25:26">
      <c r="Y1067" t="s">
        <v>6235</v>
      </c>
      <c r="Z1067">
        <v>85</v>
      </c>
    </row>
    <row r="1068" spans="25:26">
      <c r="Y1068" t="s">
        <v>6235</v>
      </c>
      <c r="Z1068">
        <v>86</v>
      </c>
    </row>
    <row r="1069" spans="25:26">
      <c r="Y1069" t="s">
        <v>6235</v>
      </c>
      <c r="Z1069">
        <v>87</v>
      </c>
    </row>
    <row r="1070" spans="25:26">
      <c r="Y1070" t="s">
        <v>6235</v>
      </c>
      <c r="Z1070">
        <v>88</v>
      </c>
    </row>
    <row r="1071" spans="25:26">
      <c r="Y1071" t="s">
        <v>6235</v>
      </c>
      <c r="Z1071">
        <v>89</v>
      </c>
    </row>
    <row r="1072" spans="25:26">
      <c r="Y1072" t="s">
        <v>6235</v>
      </c>
      <c r="Z1072">
        <v>90</v>
      </c>
    </row>
    <row r="1073" spans="25:26">
      <c r="Y1073" t="s">
        <v>6235</v>
      </c>
      <c r="Z1073">
        <v>91</v>
      </c>
    </row>
    <row r="1074" spans="25:26">
      <c r="Y1074" t="s">
        <v>6235</v>
      </c>
      <c r="Z1074">
        <v>92</v>
      </c>
    </row>
    <row r="1075" spans="25:26">
      <c r="Y1075" t="s">
        <v>6235</v>
      </c>
      <c r="Z1075">
        <v>93</v>
      </c>
    </row>
    <row r="1076" spans="25:26">
      <c r="Y1076" t="s">
        <v>6235</v>
      </c>
      <c r="Z1076">
        <v>94</v>
      </c>
    </row>
    <row r="1077" spans="25:26">
      <c r="Y1077" t="s">
        <v>6235</v>
      </c>
      <c r="Z1077">
        <v>95</v>
      </c>
    </row>
    <row r="1078" spans="25:26">
      <c r="Y1078" t="s">
        <v>6235</v>
      </c>
      <c r="Z1078">
        <v>96</v>
      </c>
    </row>
    <row r="1079" spans="25:26">
      <c r="Y1079" t="s">
        <v>6235</v>
      </c>
      <c r="Z1079">
        <v>97</v>
      </c>
    </row>
    <row r="1080" spans="25:26">
      <c r="Y1080" t="s">
        <v>6235</v>
      </c>
      <c r="Z1080">
        <v>98</v>
      </c>
    </row>
    <row r="1081" spans="25:26">
      <c r="Y1081" t="s">
        <v>6235</v>
      </c>
      <c r="Z1081">
        <v>99</v>
      </c>
    </row>
    <row r="1082" spans="25:26">
      <c r="Y1082" t="s">
        <v>6235</v>
      </c>
      <c r="Z1082">
        <v>100</v>
      </c>
    </row>
    <row r="1083" spans="25:26">
      <c r="Y1083" t="s">
        <v>6235</v>
      </c>
      <c r="Z1083">
        <v>101</v>
      </c>
    </row>
    <row r="1084" spans="25:26">
      <c r="Y1084" t="s">
        <v>6235</v>
      </c>
      <c r="Z1084">
        <v>102</v>
      </c>
    </row>
    <row r="1085" spans="25:26">
      <c r="Y1085" t="s">
        <v>6235</v>
      </c>
      <c r="Z1085">
        <v>103</v>
      </c>
    </row>
    <row r="1086" spans="25:26">
      <c r="Y1086" t="s">
        <v>6235</v>
      </c>
      <c r="Z1086">
        <v>104</v>
      </c>
    </row>
    <row r="1087" spans="25:26">
      <c r="Y1087" t="s">
        <v>6235</v>
      </c>
      <c r="Z1087">
        <v>105</v>
      </c>
    </row>
    <row r="1088" spans="25:26">
      <c r="Y1088" t="s">
        <v>6235</v>
      </c>
      <c r="Z1088">
        <v>106</v>
      </c>
    </row>
    <row r="1089" spans="25:26">
      <c r="Y1089" t="s">
        <v>6235</v>
      </c>
      <c r="Z1089">
        <v>107</v>
      </c>
    </row>
    <row r="1090" spans="25:26">
      <c r="Y1090" t="s">
        <v>6235</v>
      </c>
      <c r="Z1090">
        <v>108</v>
      </c>
    </row>
    <row r="1091" spans="25:26">
      <c r="Y1091" t="s">
        <v>6235</v>
      </c>
      <c r="Z1091">
        <v>109</v>
      </c>
    </row>
    <row r="1092" spans="25:26">
      <c r="Y1092" t="s">
        <v>6235</v>
      </c>
      <c r="Z1092">
        <v>110</v>
      </c>
    </row>
    <row r="1093" spans="25:26">
      <c r="Y1093" t="s">
        <v>6235</v>
      </c>
      <c r="Z1093">
        <v>111</v>
      </c>
    </row>
    <row r="1094" spans="25:26">
      <c r="Y1094" t="s">
        <v>6235</v>
      </c>
      <c r="Z1094">
        <v>112</v>
      </c>
    </row>
    <row r="1095" spans="25:26">
      <c r="Y1095" t="s">
        <v>6235</v>
      </c>
      <c r="Z1095">
        <v>113</v>
      </c>
    </row>
    <row r="1096" spans="25:26">
      <c r="Y1096" t="s">
        <v>6235</v>
      </c>
      <c r="Z1096">
        <v>114</v>
      </c>
    </row>
    <row r="1097" spans="25:26">
      <c r="Y1097" t="s">
        <v>6235</v>
      </c>
      <c r="Z1097">
        <v>115</v>
      </c>
    </row>
    <row r="1098" spans="25:26">
      <c r="Y1098" t="s">
        <v>6235</v>
      </c>
      <c r="Z1098">
        <v>116</v>
      </c>
    </row>
    <row r="1099" spans="25:26">
      <c r="Y1099" t="s">
        <v>6235</v>
      </c>
      <c r="Z1099">
        <v>117</v>
      </c>
    </row>
    <row r="1100" spans="25:26">
      <c r="Y1100" t="s">
        <v>6235</v>
      </c>
      <c r="Z1100">
        <v>118</v>
      </c>
    </row>
    <row r="1101" spans="25:26">
      <c r="Y1101" t="s">
        <v>6235</v>
      </c>
      <c r="Z1101">
        <v>119</v>
      </c>
    </row>
    <row r="1102" spans="25:26">
      <c r="Y1102" t="s">
        <v>6235</v>
      </c>
      <c r="Z1102">
        <v>120</v>
      </c>
    </row>
    <row r="1103" spans="25:26">
      <c r="Y1103" t="s">
        <v>6235</v>
      </c>
      <c r="Z1103">
        <v>121</v>
      </c>
    </row>
    <row r="1104" spans="25:26">
      <c r="Y1104" t="s">
        <v>6235</v>
      </c>
      <c r="Z1104">
        <v>122</v>
      </c>
    </row>
    <row r="1105" spans="25:26">
      <c r="Y1105" t="s">
        <v>6235</v>
      </c>
      <c r="Z1105">
        <v>123</v>
      </c>
    </row>
    <row r="1106" spans="25:26">
      <c r="Y1106" t="s">
        <v>6235</v>
      </c>
      <c r="Z1106">
        <v>124</v>
      </c>
    </row>
    <row r="1107" spans="25:26">
      <c r="Y1107" t="s">
        <v>6235</v>
      </c>
      <c r="Z1107">
        <v>125</v>
      </c>
    </row>
    <row r="1108" spans="25:26">
      <c r="Y1108" t="s">
        <v>6235</v>
      </c>
      <c r="Z1108">
        <v>126</v>
      </c>
    </row>
    <row r="1109" spans="25:26">
      <c r="Y1109" t="s">
        <v>6235</v>
      </c>
      <c r="Z1109">
        <v>127</v>
      </c>
    </row>
    <row r="1110" spans="25:26">
      <c r="Y1110" t="s">
        <v>6235</v>
      </c>
      <c r="Z1110">
        <v>128</v>
      </c>
    </row>
    <row r="1111" spans="25:26">
      <c r="Y1111" t="s">
        <v>6235</v>
      </c>
      <c r="Z1111">
        <v>129</v>
      </c>
    </row>
    <row r="1112" spans="25:26">
      <c r="Y1112" t="s">
        <v>6235</v>
      </c>
      <c r="Z1112">
        <v>130</v>
      </c>
    </row>
    <row r="1113" spans="25:26">
      <c r="Y1113" t="s">
        <v>6235</v>
      </c>
      <c r="Z1113">
        <v>131</v>
      </c>
    </row>
    <row r="1114" spans="25:26">
      <c r="Y1114" t="s">
        <v>6235</v>
      </c>
      <c r="Z1114">
        <v>132</v>
      </c>
    </row>
    <row r="1115" spans="25:26">
      <c r="Y1115" t="s">
        <v>6235</v>
      </c>
      <c r="Z1115">
        <v>133</v>
      </c>
    </row>
    <row r="1116" spans="25:26">
      <c r="Y1116" t="s">
        <v>6235</v>
      </c>
      <c r="Z1116">
        <v>134</v>
      </c>
    </row>
    <row r="1117" spans="25:26">
      <c r="Y1117" t="s">
        <v>6235</v>
      </c>
      <c r="Z1117">
        <v>135</v>
      </c>
    </row>
    <row r="1118" spans="25:26">
      <c r="Y1118" t="s">
        <v>6235</v>
      </c>
      <c r="Z1118">
        <v>136</v>
      </c>
    </row>
    <row r="1119" spans="25:26">
      <c r="Y1119" t="s">
        <v>6235</v>
      </c>
      <c r="Z1119">
        <v>137</v>
      </c>
    </row>
    <row r="1120" spans="25:26">
      <c r="Y1120" t="s">
        <v>6235</v>
      </c>
      <c r="Z1120">
        <v>138</v>
      </c>
    </row>
    <row r="1121" spans="25:26">
      <c r="Y1121" t="s">
        <v>6235</v>
      </c>
      <c r="Z1121">
        <v>139</v>
      </c>
    </row>
    <row r="1122" spans="25:26">
      <c r="Y1122" t="s">
        <v>6235</v>
      </c>
      <c r="Z1122">
        <v>140</v>
      </c>
    </row>
    <row r="1123" spans="25:26">
      <c r="Y1123" t="s">
        <v>6235</v>
      </c>
      <c r="Z1123">
        <v>141</v>
      </c>
    </row>
    <row r="1124" spans="25:26">
      <c r="Y1124" t="s">
        <v>6235</v>
      </c>
      <c r="Z1124">
        <v>142</v>
      </c>
    </row>
    <row r="1125" spans="25:26">
      <c r="Y1125" t="s">
        <v>6235</v>
      </c>
      <c r="Z1125">
        <v>143</v>
      </c>
    </row>
    <row r="1126" spans="25:26">
      <c r="Y1126" t="s">
        <v>6235</v>
      </c>
      <c r="Z1126">
        <v>144</v>
      </c>
    </row>
    <row r="1127" spans="25:26">
      <c r="Y1127" t="s">
        <v>6235</v>
      </c>
      <c r="Z1127">
        <v>145</v>
      </c>
    </row>
    <row r="1128" spans="25:26">
      <c r="Y1128" t="s">
        <v>6235</v>
      </c>
      <c r="Z1128">
        <v>146</v>
      </c>
    </row>
    <row r="1129" spans="25:26">
      <c r="Y1129" t="s">
        <v>6235</v>
      </c>
      <c r="Z1129">
        <v>147</v>
      </c>
    </row>
    <row r="1130" spans="25:26">
      <c r="Y1130" t="s">
        <v>6235</v>
      </c>
      <c r="Z1130">
        <v>148</v>
      </c>
    </row>
    <row r="1131" spans="25:26">
      <c r="Y1131" t="s">
        <v>6235</v>
      </c>
      <c r="Z1131">
        <v>149</v>
      </c>
    </row>
    <row r="1132" spans="25:26">
      <c r="Y1132" t="s">
        <v>6235</v>
      </c>
      <c r="Z1132">
        <v>150</v>
      </c>
    </row>
    <row r="1133" spans="25:26">
      <c r="Y1133" t="s">
        <v>6235</v>
      </c>
      <c r="Z1133">
        <v>151</v>
      </c>
    </row>
    <row r="1134" spans="25:26">
      <c r="Y1134" t="s">
        <v>6235</v>
      </c>
      <c r="Z1134">
        <v>152</v>
      </c>
    </row>
    <row r="1135" spans="25:26">
      <c r="Y1135" t="s">
        <v>6235</v>
      </c>
      <c r="Z1135">
        <v>153</v>
      </c>
    </row>
    <row r="1136" spans="25:26">
      <c r="Y1136" t="s">
        <v>6235</v>
      </c>
      <c r="Z1136">
        <v>154</v>
      </c>
    </row>
    <row r="1137" spans="25:26">
      <c r="Y1137" t="s">
        <v>6235</v>
      </c>
      <c r="Z1137">
        <v>155</v>
      </c>
    </row>
    <row r="1138" spans="25:26">
      <c r="Y1138" t="s">
        <v>6235</v>
      </c>
      <c r="Z1138">
        <v>156</v>
      </c>
    </row>
    <row r="1139" spans="25:26">
      <c r="Y1139" t="s">
        <v>6235</v>
      </c>
      <c r="Z1139">
        <v>157</v>
      </c>
    </row>
    <row r="1140" spans="25:26">
      <c r="Y1140" t="s">
        <v>6235</v>
      </c>
      <c r="Z1140">
        <v>158</v>
      </c>
    </row>
    <row r="1141" spans="25:26">
      <c r="Y1141" t="s">
        <v>6235</v>
      </c>
      <c r="Z1141">
        <v>159</v>
      </c>
    </row>
    <row r="1142" spans="25:26">
      <c r="Y1142" t="s">
        <v>6235</v>
      </c>
      <c r="Z1142">
        <v>160</v>
      </c>
    </row>
    <row r="1143" spans="25:26">
      <c r="Y1143" t="s">
        <v>6235</v>
      </c>
      <c r="Z1143">
        <v>161</v>
      </c>
    </row>
    <row r="1144" spans="25:26">
      <c r="Y1144" t="s">
        <v>6235</v>
      </c>
      <c r="Z1144">
        <v>162</v>
      </c>
    </row>
    <row r="1145" spans="25:26">
      <c r="Y1145" t="s">
        <v>6235</v>
      </c>
      <c r="Z1145">
        <v>163</v>
      </c>
    </row>
    <row r="1146" spans="25:26">
      <c r="Y1146" t="s">
        <v>6235</v>
      </c>
      <c r="Z1146">
        <v>164</v>
      </c>
    </row>
    <row r="1147" spans="25:26">
      <c r="Y1147" t="s">
        <v>6235</v>
      </c>
      <c r="Z1147">
        <v>165</v>
      </c>
    </row>
    <row r="1148" spans="25:26">
      <c r="Y1148" t="s">
        <v>6235</v>
      </c>
      <c r="Z1148">
        <v>166</v>
      </c>
    </row>
    <row r="1149" spans="25:26">
      <c r="Y1149" t="s">
        <v>6235</v>
      </c>
      <c r="Z1149">
        <v>167</v>
      </c>
    </row>
    <row r="1150" spans="25:26">
      <c r="Y1150" t="s">
        <v>6235</v>
      </c>
      <c r="Z1150">
        <v>168</v>
      </c>
    </row>
    <row r="1151" spans="25:26">
      <c r="Y1151" t="s">
        <v>6235</v>
      </c>
      <c r="Z1151">
        <v>169</v>
      </c>
    </row>
    <row r="1152" spans="25:26">
      <c r="Y1152" t="s">
        <v>6235</v>
      </c>
      <c r="Z1152">
        <v>170</v>
      </c>
    </row>
    <row r="1153" spans="25:26">
      <c r="Y1153" t="s">
        <v>6235</v>
      </c>
      <c r="Z1153">
        <v>171</v>
      </c>
    </row>
    <row r="1154" spans="25:26">
      <c r="Y1154" t="s">
        <v>6235</v>
      </c>
      <c r="Z1154">
        <v>172</v>
      </c>
    </row>
    <row r="1155" spans="25:26">
      <c r="Y1155" t="s">
        <v>6235</v>
      </c>
      <c r="Z1155">
        <v>173</v>
      </c>
    </row>
    <row r="1156" spans="25:26">
      <c r="Y1156" t="s">
        <v>6235</v>
      </c>
      <c r="Z1156">
        <v>174</v>
      </c>
    </row>
    <row r="1157" spans="25:26">
      <c r="Y1157" t="s">
        <v>6235</v>
      </c>
      <c r="Z1157">
        <v>175</v>
      </c>
    </row>
    <row r="1158" spans="25:26">
      <c r="Y1158" t="s">
        <v>6235</v>
      </c>
      <c r="Z1158">
        <v>176</v>
      </c>
    </row>
    <row r="1159" spans="25:26">
      <c r="Y1159" t="s">
        <v>6235</v>
      </c>
      <c r="Z1159">
        <v>177</v>
      </c>
    </row>
    <row r="1160" spans="25:26">
      <c r="Y1160" t="s">
        <v>6235</v>
      </c>
      <c r="Z1160">
        <v>178</v>
      </c>
    </row>
    <row r="1161" spans="25:26">
      <c r="Y1161" t="s">
        <v>6235</v>
      </c>
      <c r="Z1161">
        <v>179</v>
      </c>
    </row>
    <row r="1162" spans="25:26">
      <c r="Y1162" t="s">
        <v>6235</v>
      </c>
      <c r="Z1162">
        <v>180</v>
      </c>
    </row>
    <row r="1163" spans="25:26">
      <c r="Y1163" t="s">
        <v>6235</v>
      </c>
      <c r="Z1163">
        <v>181</v>
      </c>
    </row>
    <row r="1164" spans="25:26">
      <c r="Y1164" t="s">
        <v>6235</v>
      </c>
      <c r="Z1164">
        <v>182</v>
      </c>
    </row>
    <row r="1165" spans="25:26">
      <c r="Y1165" t="s">
        <v>6235</v>
      </c>
      <c r="Z1165">
        <v>183</v>
      </c>
    </row>
    <row r="1166" spans="25:26">
      <c r="Y1166" t="s">
        <v>6235</v>
      </c>
      <c r="Z1166">
        <v>184</v>
      </c>
    </row>
    <row r="1167" spans="25:26">
      <c r="Y1167" t="s">
        <v>6235</v>
      </c>
      <c r="Z1167">
        <v>185</v>
      </c>
    </row>
    <row r="1168" spans="25:26">
      <c r="Y1168" t="s">
        <v>6235</v>
      </c>
      <c r="Z1168">
        <v>186</v>
      </c>
    </row>
    <row r="1169" spans="25:26">
      <c r="Y1169" t="s">
        <v>6235</v>
      </c>
      <c r="Z1169">
        <v>187</v>
      </c>
    </row>
    <row r="1170" spans="25:26">
      <c r="Y1170" t="s">
        <v>6235</v>
      </c>
      <c r="Z1170">
        <v>188</v>
      </c>
    </row>
    <row r="1171" spans="25:26">
      <c r="Y1171" t="s">
        <v>6235</v>
      </c>
      <c r="Z1171">
        <v>189</v>
      </c>
    </row>
    <row r="1172" spans="25:26">
      <c r="Y1172" t="s">
        <v>6235</v>
      </c>
      <c r="Z1172">
        <v>190</v>
      </c>
    </row>
    <row r="1173" spans="25:26">
      <c r="Y1173" t="s">
        <v>6235</v>
      </c>
      <c r="Z1173">
        <v>191</v>
      </c>
    </row>
    <row r="1174" spans="25:26">
      <c r="Y1174" t="s">
        <v>6235</v>
      </c>
      <c r="Z1174">
        <v>192</v>
      </c>
    </row>
    <row r="1175" spans="25:26">
      <c r="Y1175" t="s">
        <v>6235</v>
      </c>
      <c r="Z1175">
        <v>193</v>
      </c>
    </row>
    <row r="1176" spans="25:26">
      <c r="Y1176" t="s">
        <v>6235</v>
      </c>
      <c r="Z1176">
        <v>194</v>
      </c>
    </row>
    <row r="1177" spans="25:26">
      <c r="Y1177" t="s">
        <v>6235</v>
      </c>
      <c r="Z1177">
        <v>195</v>
      </c>
    </row>
    <row r="1178" spans="25:26">
      <c r="Y1178" t="s">
        <v>6235</v>
      </c>
      <c r="Z1178">
        <v>196</v>
      </c>
    </row>
    <row r="1179" spans="25:26">
      <c r="Y1179" t="s">
        <v>6235</v>
      </c>
      <c r="Z1179">
        <v>197</v>
      </c>
    </row>
    <row r="1180" spans="25:26">
      <c r="Y1180" t="s">
        <v>6235</v>
      </c>
      <c r="Z1180">
        <v>198</v>
      </c>
    </row>
    <row r="1181" spans="25:26">
      <c r="Y1181" t="s">
        <v>6235</v>
      </c>
      <c r="Z1181">
        <v>199</v>
      </c>
    </row>
    <row r="1182" spans="25:26">
      <c r="Y1182" t="s">
        <v>6235</v>
      </c>
      <c r="Z1182">
        <v>200</v>
      </c>
    </row>
    <row r="1183" spans="25:26">
      <c r="Y1183" t="s">
        <v>6235</v>
      </c>
      <c r="Z1183">
        <v>201</v>
      </c>
    </row>
    <row r="1184" spans="25:26">
      <c r="Y1184" t="s">
        <v>6235</v>
      </c>
      <c r="Z1184">
        <v>202</v>
      </c>
    </row>
    <row r="1185" spans="25:26">
      <c r="Y1185" t="s">
        <v>6235</v>
      </c>
      <c r="Z1185">
        <v>203</v>
      </c>
    </row>
    <row r="1186" spans="25:26">
      <c r="Y1186" t="s">
        <v>6235</v>
      </c>
      <c r="Z1186">
        <v>204</v>
      </c>
    </row>
    <row r="1187" spans="25:26">
      <c r="Y1187" t="s">
        <v>6235</v>
      </c>
      <c r="Z1187">
        <v>205</v>
      </c>
    </row>
    <row r="1188" spans="25:26">
      <c r="Y1188" t="s">
        <v>6235</v>
      </c>
      <c r="Z1188">
        <v>206</v>
      </c>
    </row>
    <row r="1189" spans="25:26">
      <c r="Y1189" t="s">
        <v>6235</v>
      </c>
      <c r="Z1189">
        <v>207</v>
      </c>
    </row>
    <row r="1190" spans="25:26">
      <c r="Y1190" t="s">
        <v>6235</v>
      </c>
      <c r="Z1190">
        <v>208</v>
      </c>
    </row>
    <row r="1191" spans="25:26">
      <c r="Y1191" t="s">
        <v>6235</v>
      </c>
      <c r="Z1191">
        <v>209</v>
      </c>
    </row>
    <row r="1192" spans="25:26">
      <c r="Y1192" t="s">
        <v>6235</v>
      </c>
      <c r="Z1192">
        <v>210</v>
      </c>
    </row>
    <row r="1193" spans="25:26">
      <c r="Y1193" t="s">
        <v>6235</v>
      </c>
      <c r="Z1193">
        <v>211</v>
      </c>
    </row>
    <row r="1194" spans="25:26">
      <c r="Y1194" t="s">
        <v>6235</v>
      </c>
      <c r="Z1194">
        <v>212</v>
      </c>
    </row>
    <row r="1195" spans="25:26">
      <c r="Y1195" t="s">
        <v>6235</v>
      </c>
      <c r="Z1195">
        <v>213</v>
      </c>
    </row>
    <row r="1196" spans="25:26">
      <c r="Y1196" t="s">
        <v>6235</v>
      </c>
      <c r="Z1196">
        <v>214</v>
      </c>
    </row>
    <row r="1197" spans="25:26">
      <c r="Y1197" t="s">
        <v>6235</v>
      </c>
      <c r="Z1197">
        <v>215</v>
      </c>
    </row>
    <row r="1198" spans="25:26">
      <c r="Y1198" t="s">
        <v>6235</v>
      </c>
      <c r="Z1198">
        <v>216</v>
      </c>
    </row>
    <row r="1199" spans="25:26">
      <c r="Y1199" t="s">
        <v>6235</v>
      </c>
      <c r="Z1199">
        <v>217</v>
      </c>
    </row>
    <row r="1200" spans="25:26">
      <c r="Y1200" t="s">
        <v>6235</v>
      </c>
      <c r="Z1200">
        <v>218</v>
      </c>
    </row>
    <row r="1201" spans="25:26">
      <c r="Y1201" t="s">
        <v>6235</v>
      </c>
      <c r="Z1201">
        <v>219</v>
      </c>
    </row>
    <row r="1202" spans="25:26">
      <c r="Y1202" t="s">
        <v>6235</v>
      </c>
      <c r="Z1202">
        <v>220</v>
      </c>
    </row>
    <row r="1203" spans="25:26">
      <c r="Y1203" t="s">
        <v>6235</v>
      </c>
      <c r="Z1203">
        <v>221</v>
      </c>
    </row>
    <row r="1204" spans="25:26">
      <c r="Y1204" t="s">
        <v>6235</v>
      </c>
      <c r="Z1204">
        <v>222</v>
      </c>
    </row>
    <row r="1205" spans="25:26">
      <c r="Y1205" t="s">
        <v>6235</v>
      </c>
      <c r="Z1205">
        <v>223</v>
      </c>
    </row>
    <row r="1206" spans="25:26">
      <c r="Y1206" t="s">
        <v>6235</v>
      </c>
      <c r="Z1206">
        <v>224</v>
      </c>
    </row>
    <row r="1207" spans="25:26">
      <c r="Y1207" t="s">
        <v>6235</v>
      </c>
      <c r="Z1207">
        <v>225</v>
      </c>
    </row>
    <row r="1208" spans="25:26">
      <c r="Y1208" t="s">
        <v>6235</v>
      </c>
      <c r="Z1208">
        <v>226</v>
      </c>
    </row>
    <row r="1209" spans="25:26">
      <c r="Y1209" t="s">
        <v>6235</v>
      </c>
      <c r="Z1209">
        <v>227</v>
      </c>
    </row>
    <row r="1210" spans="25:26">
      <c r="Y1210" t="s">
        <v>6235</v>
      </c>
      <c r="Z1210">
        <v>228</v>
      </c>
    </row>
    <row r="1211" spans="25:26">
      <c r="Y1211" t="s">
        <v>6235</v>
      </c>
      <c r="Z1211">
        <v>229</v>
      </c>
    </row>
    <row r="1212" spans="25:26">
      <c r="Y1212" t="s">
        <v>6235</v>
      </c>
      <c r="Z1212">
        <v>230</v>
      </c>
    </row>
    <row r="1213" spans="25:26">
      <c r="Y1213" t="s">
        <v>6235</v>
      </c>
      <c r="Z1213">
        <v>231</v>
      </c>
    </row>
    <row r="1214" spans="25:26">
      <c r="Y1214" t="s">
        <v>6235</v>
      </c>
      <c r="Z1214">
        <v>232</v>
      </c>
    </row>
    <row r="1215" spans="25:26">
      <c r="Y1215" t="s">
        <v>6235</v>
      </c>
      <c r="Z1215">
        <v>233</v>
      </c>
    </row>
    <row r="1216" spans="25:26">
      <c r="Y1216" t="s">
        <v>6235</v>
      </c>
      <c r="Z1216">
        <v>234</v>
      </c>
    </row>
    <row r="1217" spans="25:26">
      <c r="Y1217" t="s">
        <v>6235</v>
      </c>
      <c r="Z1217">
        <v>235</v>
      </c>
    </row>
    <row r="1218" spans="25:26">
      <c r="Y1218" t="s">
        <v>6235</v>
      </c>
      <c r="Z1218">
        <v>236</v>
      </c>
    </row>
    <row r="1219" spans="25:26">
      <c r="Y1219" t="s">
        <v>6235</v>
      </c>
      <c r="Z1219">
        <v>237</v>
      </c>
    </row>
    <row r="1220" spans="25:26">
      <c r="Y1220" t="s">
        <v>6235</v>
      </c>
      <c r="Z1220">
        <v>238</v>
      </c>
    </row>
    <row r="1221" spans="25:26">
      <c r="Y1221" t="s">
        <v>6235</v>
      </c>
      <c r="Z1221">
        <v>239</v>
      </c>
    </row>
    <row r="1222" spans="25:26">
      <c r="Y1222" t="s">
        <v>6235</v>
      </c>
      <c r="Z1222">
        <v>240</v>
      </c>
    </row>
    <row r="1223" spans="25:26">
      <c r="Y1223" t="s">
        <v>6235</v>
      </c>
      <c r="Z1223">
        <v>241</v>
      </c>
    </row>
    <row r="1224" spans="25:26">
      <c r="Y1224" t="s">
        <v>6235</v>
      </c>
      <c r="Z1224">
        <v>242</v>
      </c>
    </row>
    <row r="1225" spans="25:26">
      <c r="Y1225" t="s">
        <v>6235</v>
      </c>
      <c r="Z1225">
        <v>243</v>
      </c>
    </row>
    <row r="1226" spans="25:26">
      <c r="Y1226" t="s">
        <v>6235</v>
      </c>
      <c r="Z1226">
        <v>244</v>
      </c>
    </row>
    <row r="1227" spans="25:26">
      <c r="Y1227" t="s">
        <v>6235</v>
      </c>
      <c r="Z1227">
        <v>245</v>
      </c>
    </row>
    <row r="1228" spans="25:26">
      <c r="Y1228" t="s">
        <v>6235</v>
      </c>
      <c r="Z1228">
        <v>246</v>
      </c>
    </row>
    <row r="1229" spans="25:26">
      <c r="Y1229" t="s">
        <v>6235</v>
      </c>
      <c r="Z1229">
        <v>247</v>
      </c>
    </row>
    <row r="1230" spans="25:26">
      <c r="Y1230" t="s">
        <v>6235</v>
      </c>
      <c r="Z1230">
        <v>248</v>
      </c>
    </row>
    <row r="1231" spans="25:26">
      <c r="Y1231" t="s">
        <v>6235</v>
      </c>
      <c r="Z1231">
        <v>249</v>
      </c>
    </row>
    <row r="1232" spans="25:26">
      <c r="Y1232" t="s">
        <v>6235</v>
      </c>
      <c r="Z1232">
        <v>250</v>
      </c>
    </row>
    <row r="1233" spans="25:26">
      <c r="Y1233" t="s">
        <v>6552</v>
      </c>
      <c r="Z1233">
        <v>5</v>
      </c>
    </row>
    <row r="1234" spans="25:26">
      <c r="Y1234" t="s">
        <v>6552</v>
      </c>
      <c r="Z1234">
        <v>6</v>
      </c>
    </row>
    <row r="1235" spans="25:26">
      <c r="Y1235" t="s">
        <v>6552</v>
      </c>
      <c r="Z1235">
        <v>7</v>
      </c>
    </row>
    <row r="1236" spans="25:26">
      <c r="Y1236" t="s">
        <v>6552</v>
      </c>
      <c r="Z1236">
        <v>8</v>
      </c>
    </row>
    <row r="1237" spans="25:26">
      <c r="Y1237" t="s">
        <v>6552</v>
      </c>
      <c r="Z1237">
        <v>9</v>
      </c>
    </row>
    <row r="1238" spans="25:26">
      <c r="Y1238" t="s">
        <v>6552</v>
      </c>
      <c r="Z1238">
        <v>10</v>
      </c>
    </row>
    <row r="1239" spans="25:26">
      <c r="Y1239" t="s">
        <v>6552</v>
      </c>
      <c r="Z1239">
        <v>11</v>
      </c>
    </row>
    <row r="1240" spans="25:26">
      <c r="Y1240" t="s">
        <v>6552</v>
      </c>
      <c r="Z1240">
        <v>12</v>
      </c>
    </row>
    <row r="1241" spans="25:26">
      <c r="Y1241" t="s">
        <v>6552</v>
      </c>
      <c r="Z1241">
        <v>13</v>
      </c>
    </row>
    <row r="1242" spans="25:26">
      <c r="Y1242" t="s">
        <v>6552</v>
      </c>
      <c r="Z1242">
        <v>14</v>
      </c>
    </row>
    <row r="1243" spans="25:26">
      <c r="Y1243" t="s">
        <v>6552</v>
      </c>
      <c r="Z1243">
        <v>15</v>
      </c>
    </row>
    <row r="1244" spans="25:26">
      <c r="Y1244" t="s">
        <v>6552</v>
      </c>
      <c r="Z1244">
        <v>16</v>
      </c>
    </row>
    <row r="1245" spans="25:26">
      <c r="Y1245" t="s">
        <v>6552</v>
      </c>
      <c r="Z1245">
        <v>17</v>
      </c>
    </row>
    <row r="1246" spans="25:26">
      <c r="Y1246" t="s">
        <v>6552</v>
      </c>
      <c r="Z1246">
        <v>18</v>
      </c>
    </row>
    <row r="1247" spans="25:26">
      <c r="Y1247" t="s">
        <v>6552</v>
      </c>
      <c r="Z1247">
        <v>19</v>
      </c>
    </row>
    <row r="1248" spans="25:26">
      <c r="Y1248" t="s">
        <v>6552</v>
      </c>
      <c r="Z1248">
        <v>20</v>
      </c>
    </row>
    <row r="1249" spans="25:26">
      <c r="Y1249" t="s">
        <v>6552</v>
      </c>
      <c r="Z1249">
        <v>21</v>
      </c>
    </row>
    <row r="1250" spans="25:26">
      <c r="Y1250" t="s">
        <v>6552</v>
      </c>
      <c r="Z1250">
        <v>22</v>
      </c>
    </row>
    <row r="1251" spans="25:26">
      <c r="Y1251" t="s">
        <v>6552</v>
      </c>
      <c r="Z1251">
        <v>23</v>
      </c>
    </row>
    <row r="1252" spans="25:26">
      <c r="Y1252" t="s">
        <v>6552</v>
      </c>
      <c r="Z1252">
        <v>24</v>
      </c>
    </row>
    <row r="1253" spans="25:26">
      <c r="Y1253" t="s">
        <v>6552</v>
      </c>
      <c r="Z1253">
        <v>25</v>
      </c>
    </row>
    <row r="1254" spans="25:26">
      <c r="Y1254" t="s">
        <v>6552</v>
      </c>
      <c r="Z1254">
        <v>26</v>
      </c>
    </row>
    <row r="1255" spans="25:26">
      <c r="Y1255" t="s">
        <v>6552</v>
      </c>
      <c r="Z1255">
        <v>27</v>
      </c>
    </row>
    <row r="1256" spans="25:26">
      <c r="Y1256" t="s">
        <v>6552</v>
      </c>
      <c r="Z1256">
        <v>28</v>
      </c>
    </row>
    <row r="1257" spans="25:26">
      <c r="Y1257" t="s">
        <v>6552</v>
      </c>
      <c r="Z1257">
        <v>29</v>
      </c>
    </row>
    <row r="1258" spans="25:26">
      <c r="Y1258" t="s">
        <v>6552</v>
      </c>
      <c r="Z1258">
        <v>30</v>
      </c>
    </row>
    <row r="1259" spans="25:26">
      <c r="Y1259" t="s">
        <v>6552</v>
      </c>
      <c r="Z1259">
        <v>31</v>
      </c>
    </row>
    <row r="1260" spans="25:26">
      <c r="Y1260" t="s">
        <v>6552</v>
      </c>
      <c r="Z1260">
        <v>32</v>
      </c>
    </row>
    <row r="1261" spans="25:26">
      <c r="Y1261" t="s">
        <v>6552</v>
      </c>
      <c r="Z1261">
        <v>33</v>
      </c>
    </row>
    <row r="1262" spans="25:26">
      <c r="Y1262" t="s">
        <v>6552</v>
      </c>
      <c r="Z1262">
        <v>34</v>
      </c>
    </row>
    <row r="1263" spans="25:26">
      <c r="Y1263" t="s">
        <v>6552</v>
      </c>
      <c r="Z1263">
        <v>35</v>
      </c>
    </row>
    <row r="1264" spans="25:26">
      <c r="Y1264" t="s">
        <v>6552</v>
      </c>
      <c r="Z1264">
        <v>36</v>
      </c>
    </row>
    <row r="1265" spans="25:26">
      <c r="Y1265" t="s">
        <v>6552</v>
      </c>
      <c r="Z1265">
        <v>37</v>
      </c>
    </row>
    <row r="1266" spans="25:26">
      <c r="Y1266" t="s">
        <v>6552</v>
      </c>
      <c r="Z1266">
        <v>38</v>
      </c>
    </row>
    <row r="1267" spans="25:26">
      <c r="Y1267" t="s">
        <v>6552</v>
      </c>
      <c r="Z1267">
        <v>39</v>
      </c>
    </row>
    <row r="1268" spans="25:26">
      <c r="Y1268" t="s">
        <v>6552</v>
      </c>
      <c r="Z1268">
        <v>40</v>
      </c>
    </row>
    <row r="1269" spans="25:26">
      <c r="Y1269" t="s">
        <v>6552</v>
      </c>
      <c r="Z1269">
        <v>41</v>
      </c>
    </row>
    <row r="1270" spans="25:26">
      <c r="Y1270" t="s">
        <v>6552</v>
      </c>
      <c r="Z1270">
        <v>42</v>
      </c>
    </row>
    <row r="1271" spans="25:26">
      <c r="Y1271" t="s">
        <v>6552</v>
      </c>
      <c r="Z1271">
        <v>43</v>
      </c>
    </row>
    <row r="1272" spans="25:26">
      <c r="Y1272" t="s">
        <v>6552</v>
      </c>
      <c r="Z1272">
        <v>44</v>
      </c>
    </row>
    <row r="1273" spans="25:26">
      <c r="Y1273" t="s">
        <v>6552</v>
      </c>
      <c r="Z1273">
        <v>45</v>
      </c>
    </row>
    <row r="1274" spans="25:26">
      <c r="Y1274" t="s">
        <v>6552</v>
      </c>
      <c r="Z1274">
        <v>46</v>
      </c>
    </row>
    <row r="1275" spans="25:26">
      <c r="Y1275" t="s">
        <v>6552</v>
      </c>
      <c r="Z1275">
        <v>47</v>
      </c>
    </row>
    <row r="1276" spans="25:26">
      <c r="Y1276" t="s">
        <v>6552</v>
      </c>
      <c r="Z1276">
        <v>48</v>
      </c>
    </row>
    <row r="1277" spans="25:26">
      <c r="Y1277" t="s">
        <v>6552</v>
      </c>
      <c r="Z1277">
        <v>49</v>
      </c>
    </row>
    <row r="1278" spans="25:26">
      <c r="Y1278" t="s">
        <v>6552</v>
      </c>
      <c r="Z1278">
        <v>50</v>
      </c>
    </row>
    <row r="1279" spans="25:26">
      <c r="Y1279" t="s">
        <v>6552</v>
      </c>
      <c r="Z1279">
        <v>51</v>
      </c>
    </row>
    <row r="1280" spans="25:26">
      <c r="Y1280" t="s">
        <v>6552</v>
      </c>
      <c r="Z1280">
        <v>52</v>
      </c>
    </row>
    <row r="1281" spans="25:26">
      <c r="Y1281" t="s">
        <v>6552</v>
      </c>
      <c r="Z1281">
        <v>53</v>
      </c>
    </row>
    <row r="1282" spans="25:26">
      <c r="Y1282" t="s">
        <v>6552</v>
      </c>
      <c r="Z1282">
        <v>54</v>
      </c>
    </row>
    <row r="1283" spans="25:26">
      <c r="Y1283" t="s">
        <v>6552</v>
      </c>
      <c r="Z1283">
        <v>55</v>
      </c>
    </row>
    <row r="1284" spans="25:26">
      <c r="Y1284" t="s">
        <v>6552</v>
      </c>
      <c r="Z1284">
        <v>56</v>
      </c>
    </row>
    <row r="1285" spans="25:26">
      <c r="Y1285" t="s">
        <v>6552</v>
      </c>
      <c r="Z1285">
        <v>57</v>
      </c>
    </row>
    <row r="1286" spans="25:26">
      <c r="Y1286" t="s">
        <v>6552</v>
      </c>
      <c r="Z1286">
        <v>58</v>
      </c>
    </row>
    <row r="1287" spans="25:26">
      <c r="Y1287" t="s">
        <v>6552</v>
      </c>
      <c r="Z1287">
        <v>59</v>
      </c>
    </row>
    <row r="1288" spans="25:26">
      <c r="Y1288" t="s">
        <v>6552</v>
      </c>
      <c r="Z1288">
        <v>60</v>
      </c>
    </row>
    <row r="1289" spans="25:26">
      <c r="Y1289" t="s">
        <v>6552</v>
      </c>
      <c r="Z1289">
        <v>61</v>
      </c>
    </row>
    <row r="1290" spans="25:26">
      <c r="Y1290" t="s">
        <v>6552</v>
      </c>
      <c r="Z1290">
        <v>62</v>
      </c>
    </row>
    <row r="1291" spans="25:26">
      <c r="Y1291" t="s">
        <v>6552</v>
      </c>
      <c r="Z1291">
        <v>63</v>
      </c>
    </row>
    <row r="1292" spans="25:26">
      <c r="Y1292" t="s">
        <v>6552</v>
      </c>
      <c r="Z1292">
        <v>64</v>
      </c>
    </row>
    <row r="1293" spans="25:26">
      <c r="Y1293" t="s">
        <v>6552</v>
      </c>
      <c r="Z1293">
        <v>65</v>
      </c>
    </row>
    <row r="1294" spans="25:26">
      <c r="Y1294" t="s">
        <v>6552</v>
      </c>
      <c r="Z1294">
        <v>66</v>
      </c>
    </row>
    <row r="1295" spans="25:26">
      <c r="Y1295" t="s">
        <v>6552</v>
      </c>
      <c r="Z1295">
        <v>67</v>
      </c>
    </row>
    <row r="1296" spans="25:26">
      <c r="Y1296" t="s">
        <v>6552</v>
      </c>
      <c r="Z1296">
        <v>68</v>
      </c>
    </row>
    <row r="1297" spans="25:26">
      <c r="Y1297" t="s">
        <v>6552</v>
      </c>
      <c r="Z1297">
        <v>69</v>
      </c>
    </row>
    <row r="1298" spans="25:26">
      <c r="Y1298" t="s">
        <v>6552</v>
      </c>
      <c r="Z1298">
        <v>70</v>
      </c>
    </row>
    <row r="1299" spans="25:26">
      <c r="Y1299" t="s">
        <v>6552</v>
      </c>
      <c r="Z1299">
        <v>71</v>
      </c>
    </row>
    <row r="1300" spans="25:26">
      <c r="Y1300" t="s">
        <v>6552</v>
      </c>
      <c r="Z1300">
        <v>72</v>
      </c>
    </row>
    <row r="1301" spans="25:26">
      <c r="Y1301" t="s">
        <v>6552</v>
      </c>
      <c r="Z1301">
        <v>73</v>
      </c>
    </row>
    <row r="1302" spans="25:26">
      <c r="Y1302" t="s">
        <v>6552</v>
      </c>
      <c r="Z1302">
        <v>74</v>
      </c>
    </row>
    <row r="1303" spans="25:26">
      <c r="Y1303" t="s">
        <v>6552</v>
      </c>
      <c r="Z1303">
        <v>75</v>
      </c>
    </row>
    <row r="1304" spans="25:26">
      <c r="Y1304" t="s">
        <v>6552</v>
      </c>
      <c r="Z1304">
        <v>76</v>
      </c>
    </row>
    <row r="1305" spans="25:26">
      <c r="Y1305" t="s">
        <v>6552</v>
      </c>
      <c r="Z1305">
        <v>77</v>
      </c>
    </row>
    <row r="1306" spans="25:26">
      <c r="Y1306" t="s">
        <v>6552</v>
      </c>
      <c r="Z1306">
        <v>78</v>
      </c>
    </row>
    <row r="1307" spans="25:26">
      <c r="Y1307" t="s">
        <v>6552</v>
      </c>
      <c r="Z1307">
        <v>79</v>
      </c>
    </row>
    <row r="1308" spans="25:26">
      <c r="Y1308" t="s">
        <v>6552</v>
      </c>
      <c r="Z1308">
        <v>80</v>
      </c>
    </row>
    <row r="1309" spans="25:26">
      <c r="Y1309" t="s">
        <v>6552</v>
      </c>
      <c r="Z1309">
        <v>81</v>
      </c>
    </row>
    <row r="1310" spans="25:26">
      <c r="Y1310" t="s">
        <v>6552</v>
      </c>
      <c r="Z1310">
        <v>82</v>
      </c>
    </row>
    <row r="1311" spans="25:26">
      <c r="Y1311" t="s">
        <v>6552</v>
      </c>
      <c r="Z1311">
        <v>83</v>
      </c>
    </row>
    <row r="1312" spans="25:26">
      <c r="Y1312" t="s">
        <v>6552</v>
      </c>
      <c r="Z1312">
        <v>84</v>
      </c>
    </row>
    <row r="1313" spans="25:26">
      <c r="Y1313" t="s">
        <v>6552</v>
      </c>
      <c r="Z1313">
        <v>85</v>
      </c>
    </row>
    <row r="1314" spans="25:26">
      <c r="Y1314" t="s">
        <v>6552</v>
      </c>
      <c r="Z1314">
        <v>86</v>
      </c>
    </row>
    <row r="1315" spans="25:26">
      <c r="Y1315" t="s">
        <v>6552</v>
      </c>
      <c r="Z1315">
        <v>87</v>
      </c>
    </row>
    <row r="1316" spans="25:26">
      <c r="Y1316" t="s">
        <v>6552</v>
      </c>
      <c r="Z1316">
        <v>88</v>
      </c>
    </row>
    <row r="1317" spans="25:26">
      <c r="Y1317" t="s">
        <v>6552</v>
      </c>
      <c r="Z1317">
        <v>89</v>
      </c>
    </row>
    <row r="1318" spans="25:26">
      <c r="Y1318" t="s">
        <v>6552</v>
      </c>
      <c r="Z1318">
        <v>90</v>
      </c>
    </row>
    <row r="1319" spans="25:26">
      <c r="Y1319" t="s">
        <v>6552</v>
      </c>
      <c r="Z1319">
        <v>91</v>
      </c>
    </row>
    <row r="1320" spans="25:26">
      <c r="Y1320" t="s">
        <v>6552</v>
      </c>
      <c r="Z1320">
        <v>92</v>
      </c>
    </row>
    <row r="1321" spans="25:26">
      <c r="Y1321" t="s">
        <v>6552</v>
      </c>
      <c r="Z1321">
        <v>93</v>
      </c>
    </row>
    <row r="1322" spans="25:26">
      <c r="Y1322" t="s">
        <v>6552</v>
      </c>
      <c r="Z1322">
        <v>94</v>
      </c>
    </row>
    <row r="1323" spans="25:26">
      <c r="Y1323" t="s">
        <v>6552</v>
      </c>
      <c r="Z1323">
        <v>95</v>
      </c>
    </row>
    <row r="1324" spans="25:26">
      <c r="Y1324" t="s">
        <v>6552</v>
      </c>
      <c r="Z1324">
        <v>96</v>
      </c>
    </row>
    <row r="1325" spans="25:26">
      <c r="Y1325" t="s">
        <v>6552</v>
      </c>
      <c r="Z1325">
        <v>97</v>
      </c>
    </row>
    <row r="1326" spans="25:26">
      <c r="Y1326" t="s">
        <v>6552</v>
      </c>
      <c r="Z1326">
        <v>98</v>
      </c>
    </row>
    <row r="1327" spans="25:26">
      <c r="Y1327" t="s">
        <v>6552</v>
      </c>
      <c r="Z1327">
        <v>99</v>
      </c>
    </row>
    <row r="1328" spans="25:26">
      <c r="Y1328" t="s">
        <v>6552</v>
      </c>
      <c r="Z1328">
        <v>100</v>
      </c>
    </row>
    <row r="1329" spans="25:26">
      <c r="Y1329" t="s">
        <v>6552</v>
      </c>
      <c r="Z1329">
        <v>101</v>
      </c>
    </row>
    <row r="1330" spans="25:26">
      <c r="Y1330" t="s">
        <v>6552</v>
      </c>
      <c r="Z1330">
        <v>102</v>
      </c>
    </row>
    <row r="1331" spans="25:26">
      <c r="Y1331" t="s">
        <v>6552</v>
      </c>
      <c r="Z1331">
        <v>103</v>
      </c>
    </row>
    <row r="1332" spans="25:26">
      <c r="Y1332" t="s">
        <v>6552</v>
      </c>
      <c r="Z1332">
        <v>104</v>
      </c>
    </row>
    <row r="1333" spans="25:26">
      <c r="Y1333" t="s">
        <v>6552</v>
      </c>
      <c r="Z1333">
        <v>105</v>
      </c>
    </row>
    <row r="1334" spans="25:26">
      <c r="Y1334" t="s">
        <v>6552</v>
      </c>
      <c r="Z1334">
        <v>106</v>
      </c>
    </row>
    <row r="1335" spans="25:26">
      <c r="Y1335" t="s">
        <v>6552</v>
      </c>
      <c r="Z1335">
        <v>107</v>
      </c>
    </row>
    <row r="1336" spans="25:26">
      <c r="Y1336" t="s">
        <v>6552</v>
      </c>
      <c r="Z1336">
        <v>108</v>
      </c>
    </row>
    <row r="1337" spans="25:26">
      <c r="Y1337" t="s">
        <v>6552</v>
      </c>
      <c r="Z1337">
        <v>109</v>
      </c>
    </row>
    <row r="1338" spans="25:26">
      <c r="Y1338" t="s">
        <v>6552</v>
      </c>
      <c r="Z1338">
        <v>110</v>
      </c>
    </row>
    <row r="1339" spans="25:26">
      <c r="Y1339" t="s">
        <v>6552</v>
      </c>
      <c r="Z1339">
        <v>111</v>
      </c>
    </row>
    <row r="1340" spans="25:26">
      <c r="Y1340" t="s">
        <v>6552</v>
      </c>
      <c r="Z1340">
        <v>112</v>
      </c>
    </row>
    <row r="1341" spans="25:26">
      <c r="Y1341" t="s">
        <v>6552</v>
      </c>
      <c r="Z1341">
        <v>113</v>
      </c>
    </row>
    <row r="1342" spans="25:26">
      <c r="Y1342" t="s">
        <v>6552</v>
      </c>
      <c r="Z1342">
        <v>114</v>
      </c>
    </row>
    <row r="1343" spans="25:26">
      <c r="Y1343" t="s">
        <v>6552</v>
      </c>
      <c r="Z1343">
        <v>115</v>
      </c>
    </row>
    <row r="1344" spans="25:26">
      <c r="Y1344" t="s">
        <v>6552</v>
      </c>
      <c r="Z1344">
        <v>116</v>
      </c>
    </row>
    <row r="1345" spans="25:26">
      <c r="Y1345" t="s">
        <v>6552</v>
      </c>
      <c r="Z1345">
        <v>117</v>
      </c>
    </row>
    <row r="1346" spans="25:26">
      <c r="Y1346" t="s">
        <v>6552</v>
      </c>
      <c r="Z1346">
        <v>118</v>
      </c>
    </row>
    <row r="1347" spans="25:26">
      <c r="Y1347" t="s">
        <v>6552</v>
      </c>
      <c r="Z1347">
        <v>119</v>
      </c>
    </row>
    <row r="1348" spans="25:26">
      <c r="Y1348" t="s">
        <v>6552</v>
      </c>
      <c r="Z1348">
        <v>120</v>
      </c>
    </row>
    <row r="1349" spans="25:26">
      <c r="Y1349" t="s">
        <v>6552</v>
      </c>
      <c r="Z1349">
        <v>121</v>
      </c>
    </row>
    <row r="1350" spans="25:26">
      <c r="Y1350" t="s">
        <v>6552</v>
      </c>
      <c r="Z1350">
        <v>122</v>
      </c>
    </row>
    <row r="1351" spans="25:26">
      <c r="Y1351" t="s">
        <v>6552</v>
      </c>
      <c r="Z1351">
        <v>123</v>
      </c>
    </row>
    <row r="1352" spans="25:26">
      <c r="Y1352" t="s">
        <v>6552</v>
      </c>
      <c r="Z1352">
        <v>124</v>
      </c>
    </row>
    <row r="1353" spans="25:26">
      <c r="Y1353" t="s">
        <v>6552</v>
      </c>
      <c r="Z1353">
        <v>125</v>
      </c>
    </row>
    <row r="1354" spans="25:26">
      <c r="Y1354" t="s">
        <v>6552</v>
      </c>
      <c r="Z1354">
        <v>126</v>
      </c>
    </row>
    <row r="1355" spans="25:26">
      <c r="Y1355" t="s">
        <v>6552</v>
      </c>
      <c r="Z1355">
        <v>127</v>
      </c>
    </row>
    <row r="1356" spans="25:26">
      <c r="Y1356" t="s">
        <v>6552</v>
      </c>
      <c r="Z1356">
        <v>128</v>
      </c>
    </row>
    <row r="1357" spans="25:26">
      <c r="Y1357" t="s">
        <v>6552</v>
      </c>
      <c r="Z1357">
        <v>129</v>
      </c>
    </row>
    <row r="1358" spans="25:26">
      <c r="Y1358" t="s">
        <v>6552</v>
      </c>
      <c r="Z1358">
        <v>130</v>
      </c>
    </row>
    <row r="1359" spans="25:26">
      <c r="Y1359" t="s">
        <v>6552</v>
      </c>
      <c r="Z1359">
        <v>131</v>
      </c>
    </row>
    <row r="1360" spans="25:26">
      <c r="Y1360" t="s">
        <v>6552</v>
      </c>
      <c r="Z1360">
        <v>132</v>
      </c>
    </row>
    <row r="1361" spans="25:26">
      <c r="Y1361" t="s">
        <v>6552</v>
      </c>
      <c r="Z1361">
        <v>133</v>
      </c>
    </row>
    <row r="1362" spans="25:26">
      <c r="Y1362" t="s">
        <v>6552</v>
      </c>
      <c r="Z1362">
        <v>134</v>
      </c>
    </row>
    <row r="1363" spans="25:26">
      <c r="Y1363" t="s">
        <v>6552</v>
      </c>
      <c r="Z1363">
        <v>135</v>
      </c>
    </row>
    <row r="1364" spans="25:26">
      <c r="Y1364" t="s">
        <v>6552</v>
      </c>
      <c r="Z1364">
        <v>136</v>
      </c>
    </row>
    <row r="1365" spans="25:26">
      <c r="Y1365" t="s">
        <v>6552</v>
      </c>
      <c r="Z1365">
        <v>137</v>
      </c>
    </row>
    <row r="1366" spans="25:26">
      <c r="Y1366" t="s">
        <v>6552</v>
      </c>
      <c r="Z1366">
        <v>138</v>
      </c>
    </row>
    <row r="1367" spans="25:26">
      <c r="Y1367" t="s">
        <v>6552</v>
      </c>
      <c r="Z1367">
        <v>139</v>
      </c>
    </row>
    <row r="1368" spans="25:26">
      <c r="Y1368" t="s">
        <v>6552</v>
      </c>
      <c r="Z1368">
        <v>140</v>
      </c>
    </row>
    <row r="1369" spans="25:26">
      <c r="Y1369" t="s">
        <v>6552</v>
      </c>
      <c r="Z1369">
        <v>141</v>
      </c>
    </row>
    <row r="1370" spans="25:26">
      <c r="Y1370" t="s">
        <v>6552</v>
      </c>
      <c r="Z1370">
        <v>142</v>
      </c>
    </row>
    <row r="1371" spans="25:26">
      <c r="Y1371" t="s">
        <v>6552</v>
      </c>
      <c r="Z1371">
        <v>143</v>
      </c>
    </row>
    <row r="1372" spans="25:26">
      <c r="Y1372" t="s">
        <v>6552</v>
      </c>
      <c r="Z1372">
        <v>144</v>
      </c>
    </row>
    <row r="1373" spans="25:26">
      <c r="Y1373" t="s">
        <v>6552</v>
      </c>
      <c r="Z1373">
        <v>145</v>
      </c>
    </row>
    <row r="1374" spans="25:26">
      <c r="Y1374" t="s">
        <v>6552</v>
      </c>
      <c r="Z1374">
        <v>146</v>
      </c>
    </row>
    <row r="1375" spans="25:26">
      <c r="Y1375" t="s">
        <v>6552</v>
      </c>
      <c r="Z1375">
        <v>147</v>
      </c>
    </row>
    <row r="1376" spans="25:26">
      <c r="Y1376" t="s">
        <v>6552</v>
      </c>
      <c r="Z1376">
        <v>148</v>
      </c>
    </row>
    <row r="1377" spans="25:26">
      <c r="Y1377" t="s">
        <v>6552</v>
      </c>
      <c r="Z1377">
        <v>149</v>
      </c>
    </row>
    <row r="1378" spans="25:26">
      <c r="Y1378" t="s">
        <v>6552</v>
      </c>
      <c r="Z1378">
        <v>150</v>
      </c>
    </row>
    <row r="1379" spans="25:26">
      <c r="Y1379" t="s">
        <v>6552</v>
      </c>
      <c r="Z1379">
        <v>151</v>
      </c>
    </row>
    <row r="1380" spans="25:26">
      <c r="Y1380" t="s">
        <v>6552</v>
      </c>
      <c r="Z1380">
        <v>152</v>
      </c>
    </row>
    <row r="1381" spans="25:26">
      <c r="Y1381" t="s">
        <v>6552</v>
      </c>
      <c r="Z1381">
        <v>153</v>
      </c>
    </row>
    <row r="1382" spans="25:26">
      <c r="Y1382" t="s">
        <v>6552</v>
      </c>
      <c r="Z1382">
        <v>154</v>
      </c>
    </row>
    <row r="1383" spans="25:26">
      <c r="Y1383" t="s">
        <v>6552</v>
      </c>
      <c r="Z1383">
        <v>155</v>
      </c>
    </row>
    <row r="1384" spans="25:26">
      <c r="Y1384" t="s">
        <v>6552</v>
      </c>
      <c r="Z1384">
        <v>156</v>
      </c>
    </row>
    <row r="1385" spans="25:26">
      <c r="Y1385" t="s">
        <v>6552</v>
      </c>
      <c r="Z1385">
        <v>157</v>
      </c>
    </row>
    <row r="1386" spans="25:26">
      <c r="Y1386" t="s">
        <v>6552</v>
      </c>
      <c r="Z1386">
        <v>158</v>
      </c>
    </row>
    <row r="1387" spans="25:26">
      <c r="Y1387" t="s">
        <v>6552</v>
      </c>
      <c r="Z1387">
        <v>159</v>
      </c>
    </row>
    <row r="1388" spans="25:26">
      <c r="Y1388" t="s">
        <v>6552</v>
      </c>
      <c r="Z1388">
        <v>160</v>
      </c>
    </row>
    <row r="1389" spans="25:26">
      <c r="Y1389" t="s">
        <v>6552</v>
      </c>
      <c r="Z1389">
        <v>161</v>
      </c>
    </row>
    <row r="1390" spans="25:26">
      <c r="Y1390" t="s">
        <v>6552</v>
      </c>
      <c r="Z1390">
        <v>162</v>
      </c>
    </row>
    <row r="1391" spans="25:26">
      <c r="Y1391" t="s">
        <v>6552</v>
      </c>
      <c r="Z1391">
        <v>163</v>
      </c>
    </row>
    <row r="1392" spans="25:26">
      <c r="Y1392" t="s">
        <v>6552</v>
      </c>
      <c r="Z1392">
        <v>164</v>
      </c>
    </row>
    <row r="1393" spans="25:26">
      <c r="Y1393" t="s">
        <v>6552</v>
      </c>
      <c r="Z1393">
        <v>165</v>
      </c>
    </row>
    <row r="1394" spans="25:26">
      <c r="Y1394" t="s">
        <v>6552</v>
      </c>
      <c r="Z1394">
        <v>166</v>
      </c>
    </row>
    <row r="1395" spans="25:26">
      <c r="Y1395" t="s">
        <v>6552</v>
      </c>
      <c r="Z1395">
        <v>167</v>
      </c>
    </row>
    <row r="1396" spans="25:26">
      <c r="Y1396" t="s">
        <v>6552</v>
      </c>
      <c r="Z1396">
        <v>168</v>
      </c>
    </row>
    <row r="1397" spans="25:26">
      <c r="Y1397" t="s">
        <v>6552</v>
      </c>
      <c r="Z1397">
        <v>169</v>
      </c>
    </row>
    <row r="1398" spans="25:26">
      <c r="Y1398" t="s">
        <v>6552</v>
      </c>
      <c r="Z1398">
        <v>170</v>
      </c>
    </row>
    <row r="1399" spans="25:26">
      <c r="Y1399" t="s">
        <v>6552</v>
      </c>
      <c r="Z1399">
        <v>171</v>
      </c>
    </row>
    <row r="1400" spans="25:26">
      <c r="Y1400" t="s">
        <v>6552</v>
      </c>
      <c r="Z1400">
        <v>172</v>
      </c>
    </row>
    <row r="1401" spans="25:26">
      <c r="Y1401" t="s">
        <v>6552</v>
      </c>
      <c r="Z1401">
        <v>173</v>
      </c>
    </row>
    <row r="1402" spans="25:26">
      <c r="Y1402" t="s">
        <v>6552</v>
      </c>
      <c r="Z1402">
        <v>174</v>
      </c>
    </row>
    <row r="1403" spans="25:26">
      <c r="Y1403" t="s">
        <v>6552</v>
      </c>
      <c r="Z1403">
        <v>175</v>
      </c>
    </row>
    <row r="1404" spans="25:26">
      <c r="Y1404" t="s">
        <v>6552</v>
      </c>
      <c r="Z1404">
        <v>176</v>
      </c>
    </row>
    <row r="1405" spans="25:26">
      <c r="Y1405" t="s">
        <v>6552</v>
      </c>
      <c r="Z1405">
        <v>177</v>
      </c>
    </row>
    <row r="1406" spans="25:26">
      <c r="Y1406" t="s">
        <v>6552</v>
      </c>
      <c r="Z1406">
        <v>178</v>
      </c>
    </row>
    <row r="1407" spans="25:26">
      <c r="Y1407" t="s">
        <v>6552</v>
      </c>
      <c r="Z1407">
        <v>179</v>
      </c>
    </row>
    <row r="1408" spans="25:26">
      <c r="Y1408" t="s">
        <v>6552</v>
      </c>
      <c r="Z1408">
        <v>180</v>
      </c>
    </row>
    <row r="1409" spans="25:26">
      <c r="Y1409" t="s">
        <v>6552</v>
      </c>
      <c r="Z1409">
        <v>181</v>
      </c>
    </row>
    <row r="1410" spans="25:26">
      <c r="Y1410" t="s">
        <v>6552</v>
      </c>
      <c r="Z1410">
        <v>182</v>
      </c>
    </row>
    <row r="1411" spans="25:26">
      <c r="Y1411" t="s">
        <v>6552</v>
      </c>
      <c r="Z1411">
        <v>183</v>
      </c>
    </row>
    <row r="1412" spans="25:26">
      <c r="Y1412" t="s">
        <v>6552</v>
      </c>
      <c r="Z1412">
        <v>184</v>
      </c>
    </row>
    <row r="1413" spans="25:26">
      <c r="Y1413" t="s">
        <v>6552</v>
      </c>
      <c r="Z1413">
        <v>185</v>
      </c>
    </row>
    <row r="1414" spans="25:26">
      <c r="Y1414" t="s">
        <v>6552</v>
      </c>
      <c r="Z1414">
        <v>186</v>
      </c>
    </row>
    <row r="1415" spans="25:26">
      <c r="Y1415" t="s">
        <v>6552</v>
      </c>
      <c r="Z1415">
        <v>187</v>
      </c>
    </row>
    <row r="1416" spans="25:26">
      <c r="Y1416" t="s">
        <v>6552</v>
      </c>
      <c r="Z1416">
        <v>188</v>
      </c>
    </row>
    <row r="1417" spans="25:26">
      <c r="Y1417" t="s">
        <v>6552</v>
      </c>
      <c r="Z1417">
        <v>189</v>
      </c>
    </row>
    <row r="1418" spans="25:26">
      <c r="Y1418" t="s">
        <v>6552</v>
      </c>
      <c r="Z1418">
        <v>190</v>
      </c>
    </row>
    <row r="1419" spans="25:26">
      <c r="Y1419" t="s">
        <v>6552</v>
      </c>
      <c r="Z1419">
        <v>191</v>
      </c>
    </row>
    <row r="1420" spans="25:26">
      <c r="Y1420" t="s">
        <v>6552</v>
      </c>
      <c r="Z1420">
        <v>192</v>
      </c>
    </row>
    <row r="1421" spans="25:26">
      <c r="Y1421" t="s">
        <v>6552</v>
      </c>
      <c r="Z1421">
        <v>193</v>
      </c>
    </row>
    <row r="1422" spans="25:26">
      <c r="Y1422" t="s">
        <v>6552</v>
      </c>
      <c r="Z1422">
        <v>194</v>
      </c>
    </row>
    <row r="1423" spans="25:26">
      <c r="Y1423" t="s">
        <v>6552</v>
      </c>
      <c r="Z1423">
        <v>195</v>
      </c>
    </row>
    <row r="1424" spans="25:26">
      <c r="Y1424" t="s">
        <v>6552</v>
      </c>
      <c r="Z1424">
        <v>196</v>
      </c>
    </row>
    <row r="1425" spans="25:26">
      <c r="Y1425" t="s">
        <v>6552</v>
      </c>
      <c r="Z1425">
        <v>197</v>
      </c>
    </row>
    <row r="1426" spans="25:26">
      <c r="Y1426" t="s">
        <v>6552</v>
      </c>
      <c r="Z1426">
        <v>198</v>
      </c>
    </row>
    <row r="1427" spans="25:26">
      <c r="Y1427" t="s">
        <v>6552</v>
      </c>
      <c r="Z1427">
        <v>199</v>
      </c>
    </row>
    <row r="1428" spans="25:26">
      <c r="Y1428" t="s">
        <v>6552</v>
      </c>
      <c r="Z1428">
        <v>200</v>
      </c>
    </row>
    <row r="1429" spans="25:26">
      <c r="Y1429" t="s">
        <v>6552</v>
      </c>
      <c r="Z1429">
        <v>201</v>
      </c>
    </row>
    <row r="1430" spans="25:26">
      <c r="Y1430" t="s">
        <v>6552</v>
      </c>
      <c r="Z1430">
        <v>202</v>
      </c>
    </row>
    <row r="1431" spans="25:26">
      <c r="Y1431" t="s">
        <v>6552</v>
      </c>
      <c r="Z1431">
        <v>203</v>
      </c>
    </row>
    <row r="1432" spans="25:26">
      <c r="Y1432" t="s">
        <v>6552</v>
      </c>
      <c r="Z1432">
        <v>204</v>
      </c>
    </row>
    <row r="1433" spans="25:26">
      <c r="Y1433" t="s">
        <v>6552</v>
      </c>
      <c r="Z1433">
        <v>205</v>
      </c>
    </row>
    <row r="1434" spans="25:26">
      <c r="Y1434" t="s">
        <v>6552</v>
      </c>
      <c r="Z1434">
        <v>206</v>
      </c>
    </row>
    <row r="1435" spans="25:26">
      <c r="Y1435" t="s">
        <v>6552</v>
      </c>
      <c r="Z1435">
        <v>207</v>
      </c>
    </row>
    <row r="1436" spans="25:26">
      <c r="Y1436" t="s">
        <v>6552</v>
      </c>
      <c r="Z1436">
        <v>208</v>
      </c>
    </row>
    <row r="1437" spans="25:26">
      <c r="Y1437" t="s">
        <v>6552</v>
      </c>
      <c r="Z1437">
        <v>209</v>
      </c>
    </row>
    <row r="1438" spans="25:26">
      <c r="Y1438" t="s">
        <v>6552</v>
      </c>
      <c r="Z1438">
        <v>210</v>
      </c>
    </row>
    <row r="1439" spans="25:26">
      <c r="Y1439" t="s">
        <v>6552</v>
      </c>
      <c r="Z1439">
        <v>211</v>
      </c>
    </row>
    <row r="1440" spans="25:26">
      <c r="Y1440" t="s">
        <v>6552</v>
      </c>
      <c r="Z1440">
        <v>212</v>
      </c>
    </row>
    <row r="1441" spans="25:26">
      <c r="Y1441" t="s">
        <v>6552</v>
      </c>
      <c r="Z1441">
        <v>213</v>
      </c>
    </row>
    <row r="1442" spans="25:26">
      <c r="Y1442" t="s">
        <v>6552</v>
      </c>
      <c r="Z1442">
        <v>214</v>
      </c>
    </row>
    <row r="1443" spans="25:26">
      <c r="Y1443" t="s">
        <v>6552</v>
      </c>
      <c r="Z1443">
        <v>215</v>
      </c>
    </row>
    <row r="1444" spans="25:26">
      <c r="Y1444" t="s">
        <v>6552</v>
      </c>
      <c r="Z1444">
        <v>216</v>
      </c>
    </row>
    <row r="1445" spans="25:26">
      <c r="Y1445" t="s">
        <v>6552</v>
      </c>
      <c r="Z1445">
        <v>217</v>
      </c>
    </row>
    <row r="1446" spans="25:26">
      <c r="Y1446" t="s">
        <v>6552</v>
      </c>
      <c r="Z1446">
        <v>218</v>
      </c>
    </row>
    <row r="1447" spans="25:26">
      <c r="Y1447" t="s">
        <v>6552</v>
      </c>
      <c r="Z1447">
        <v>219</v>
      </c>
    </row>
    <row r="1448" spans="25:26">
      <c r="Y1448" t="s">
        <v>6552</v>
      </c>
      <c r="Z1448">
        <v>220</v>
      </c>
    </row>
    <row r="1449" spans="25:26">
      <c r="Y1449" t="s">
        <v>6552</v>
      </c>
      <c r="Z1449">
        <v>221</v>
      </c>
    </row>
    <row r="1450" spans="25:26">
      <c r="Y1450" t="s">
        <v>6552</v>
      </c>
      <c r="Z1450">
        <v>222</v>
      </c>
    </row>
    <row r="1451" spans="25:26">
      <c r="Y1451" t="s">
        <v>6552</v>
      </c>
      <c r="Z1451">
        <v>223</v>
      </c>
    </row>
    <row r="1452" spans="25:26">
      <c r="Y1452" t="s">
        <v>6552</v>
      </c>
      <c r="Z1452">
        <v>224</v>
      </c>
    </row>
    <row r="1453" spans="25:26">
      <c r="Y1453" t="s">
        <v>6552</v>
      </c>
      <c r="Z1453">
        <v>225</v>
      </c>
    </row>
    <row r="1454" spans="25:26">
      <c r="Y1454" t="s">
        <v>6552</v>
      </c>
      <c r="Z1454">
        <v>226</v>
      </c>
    </row>
    <row r="1455" spans="25:26">
      <c r="Y1455" t="s">
        <v>6552</v>
      </c>
      <c r="Z1455">
        <v>227</v>
      </c>
    </row>
    <row r="1456" spans="25:26">
      <c r="Y1456" t="s">
        <v>6552</v>
      </c>
      <c r="Z1456">
        <v>228</v>
      </c>
    </row>
    <row r="1457" spans="25:26">
      <c r="Y1457" t="s">
        <v>6552</v>
      </c>
      <c r="Z1457">
        <v>229</v>
      </c>
    </row>
    <row r="1458" spans="25:26">
      <c r="Y1458" t="s">
        <v>6552</v>
      </c>
      <c r="Z1458">
        <v>230</v>
      </c>
    </row>
    <row r="1459" spans="25:26">
      <c r="Y1459" t="s">
        <v>6552</v>
      </c>
      <c r="Z1459">
        <v>231</v>
      </c>
    </row>
    <row r="1460" spans="25:26">
      <c r="Y1460" t="s">
        <v>6552</v>
      </c>
      <c r="Z1460">
        <v>232</v>
      </c>
    </row>
    <row r="1461" spans="25:26">
      <c r="Y1461" t="s">
        <v>6552</v>
      </c>
      <c r="Z1461">
        <v>233</v>
      </c>
    </row>
    <row r="1462" spans="25:26">
      <c r="Y1462" t="s">
        <v>6552</v>
      </c>
      <c r="Z1462">
        <v>234</v>
      </c>
    </row>
    <row r="1463" spans="25:26">
      <c r="Y1463" t="s">
        <v>6552</v>
      </c>
      <c r="Z1463">
        <v>235</v>
      </c>
    </row>
    <row r="1464" spans="25:26">
      <c r="Y1464" t="s">
        <v>6552</v>
      </c>
      <c r="Z1464">
        <v>236</v>
      </c>
    </row>
    <row r="1465" spans="25:26">
      <c r="Y1465" t="s">
        <v>6552</v>
      </c>
      <c r="Z1465">
        <v>237</v>
      </c>
    </row>
    <row r="1466" spans="25:26">
      <c r="Y1466" t="s">
        <v>6552</v>
      </c>
      <c r="Z1466">
        <v>238</v>
      </c>
    </row>
    <row r="1467" spans="25:26">
      <c r="Y1467" t="s">
        <v>6552</v>
      </c>
      <c r="Z1467">
        <v>239</v>
      </c>
    </row>
    <row r="1468" spans="25:26">
      <c r="Y1468" t="s">
        <v>6552</v>
      </c>
      <c r="Z1468">
        <v>240</v>
      </c>
    </row>
    <row r="1469" spans="25:26">
      <c r="Y1469" t="s">
        <v>6552</v>
      </c>
      <c r="Z1469">
        <v>241</v>
      </c>
    </row>
    <row r="1470" spans="25:26">
      <c r="Y1470" t="s">
        <v>6552</v>
      </c>
      <c r="Z1470">
        <v>242</v>
      </c>
    </row>
    <row r="1471" spans="25:26">
      <c r="Y1471" t="s">
        <v>6552</v>
      </c>
      <c r="Z1471">
        <v>243</v>
      </c>
    </row>
    <row r="1472" spans="25:26">
      <c r="Y1472" t="s">
        <v>6552</v>
      </c>
      <c r="Z1472">
        <v>244</v>
      </c>
    </row>
    <row r="1473" spans="25:26">
      <c r="Y1473" t="s">
        <v>6552</v>
      </c>
      <c r="Z1473">
        <v>245</v>
      </c>
    </row>
    <row r="1474" spans="25:26">
      <c r="Y1474" t="s">
        <v>6552</v>
      </c>
      <c r="Z1474">
        <v>246</v>
      </c>
    </row>
    <row r="1475" spans="25:26">
      <c r="Y1475" t="s">
        <v>6552</v>
      </c>
      <c r="Z1475">
        <v>247</v>
      </c>
    </row>
    <row r="1476" spans="25:26">
      <c r="Y1476" t="s">
        <v>6552</v>
      </c>
      <c r="Z1476">
        <v>248</v>
      </c>
    </row>
    <row r="1477" spans="25:26">
      <c r="Y1477" t="s">
        <v>6552</v>
      </c>
      <c r="Z1477">
        <v>249</v>
      </c>
    </row>
    <row r="1478" spans="25:26">
      <c r="Y1478" t="s">
        <v>6552</v>
      </c>
      <c r="Z1478">
        <v>250</v>
      </c>
    </row>
    <row r="1479" spans="25:26">
      <c r="Y1479" t="s">
        <v>6239</v>
      </c>
      <c r="Z1479">
        <v>4</v>
      </c>
    </row>
    <row r="1480" spans="25:26">
      <c r="Y1480" t="s">
        <v>6239</v>
      </c>
      <c r="Z1480">
        <v>5</v>
      </c>
    </row>
    <row r="1481" spans="25:26">
      <c r="Y1481" t="s">
        <v>6239</v>
      </c>
      <c r="Z1481">
        <v>6</v>
      </c>
    </row>
    <row r="1482" spans="25:26">
      <c r="Y1482" t="s">
        <v>6239</v>
      </c>
      <c r="Z1482">
        <v>7</v>
      </c>
    </row>
    <row r="1483" spans="25:26">
      <c r="Y1483" t="s">
        <v>6239</v>
      </c>
      <c r="Z1483">
        <v>8</v>
      </c>
    </row>
    <row r="1484" spans="25:26">
      <c r="Y1484" t="s">
        <v>6239</v>
      </c>
      <c r="Z1484">
        <v>9</v>
      </c>
    </row>
    <row r="1485" spans="25:26">
      <c r="Y1485" t="s">
        <v>6239</v>
      </c>
      <c r="Z1485">
        <v>10</v>
      </c>
    </row>
    <row r="1486" spans="25:26">
      <c r="Y1486" t="s">
        <v>6239</v>
      </c>
      <c r="Z1486">
        <v>11</v>
      </c>
    </row>
    <row r="1487" spans="25:26">
      <c r="Y1487" t="s">
        <v>6239</v>
      </c>
      <c r="Z1487">
        <v>12</v>
      </c>
    </row>
    <row r="1488" spans="25:26">
      <c r="Y1488" t="s">
        <v>6239</v>
      </c>
      <c r="Z1488">
        <v>13</v>
      </c>
    </row>
    <row r="1489" spans="25:26">
      <c r="Y1489" t="s">
        <v>6239</v>
      </c>
      <c r="Z1489">
        <v>14</v>
      </c>
    </row>
    <row r="1490" spans="25:26">
      <c r="Y1490" t="s">
        <v>6239</v>
      </c>
      <c r="Z1490">
        <v>15</v>
      </c>
    </row>
    <row r="1491" spans="25:26">
      <c r="Y1491" t="s">
        <v>6239</v>
      </c>
      <c r="Z1491">
        <v>16</v>
      </c>
    </row>
    <row r="1492" spans="25:26">
      <c r="Y1492" t="s">
        <v>6239</v>
      </c>
      <c r="Z1492">
        <v>17</v>
      </c>
    </row>
    <row r="1493" spans="25:26">
      <c r="Y1493" t="s">
        <v>6239</v>
      </c>
      <c r="Z1493">
        <v>18</v>
      </c>
    </row>
    <row r="1494" spans="25:26">
      <c r="Y1494" t="s">
        <v>6239</v>
      </c>
      <c r="Z1494">
        <v>19</v>
      </c>
    </row>
    <row r="1495" spans="25:26">
      <c r="Y1495" t="s">
        <v>6239</v>
      </c>
      <c r="Z1495">
        <v>20</v>
      </c>
    </row>
    <row r="1496" spans="25:26">
      <c r="Y1496" t="s">
        <v>6239</v>
      </c>
      <c r="Z1496">
        <v>21</v>
      </c>
    </row>
    <row r="1497" spans="25:26">
      <c r="Y1497" t="s">
        <v>6239</v>
      </c>
      <c r="Z1497">
        <v>22</v>
      </c>
    </row>
    <row r="1498" spans="25:26">
      <c r="Y1498" t="s">
        <v>6239</v>
      </c>
      <c r="Z1498">
        <v>23</v>
      </c>
    </row>
    <row r="1499" spans="25:26">
      <c r="Y1499" t="s">
        <v>6239</v>
      </c>
      <c r="Z1499">
        <v>24</v>
      </c>
    </row>
    <row r="1500" spans="25:26">
      <c r="Y1500" t="s">
        <v>6239</v>
      </c>
      <c r="Z1500">
        <v>25</v>
      </c>
    </row>
    <row r="1501" spans="25:26">
      <c r="Y1501" t="s">
        <v>6239</v>
      </c>
      <c r="Z1501">
        <v>26</v>
      </c>
    </row>
    <row r="1502" spans="25:26">
      <c r="Y1502" t="s">
        <v>6239</v>
      </c>
      <c r="Z1502">
        <v>27</v>
      </c>
    </row>
    <row r="1503" spans="25:26">
      <c r="Y1503" t="s">
        <v>6239</v>
      </c>
      <c r="Z1503">
        <v>28</v>
      </c>
    </row>
    <row r="1504" spans="25:26">
      <c r="Y1504" t="s">
        <v>6239</v>
      </c>
      <c r="Z1504">
        <v>29</v>
      </c>
    </row>
    <row r="1505" spans="25:26">
      <c r="Y1505" t="s">
        <v>6239</v>
      </c>
      <c r="Z1505">
        <v>30</v>
      </c>
    </row>
    <row r="1506" spans="25:26">
      <c r="Y1506" t="s">
        <v>6239</v>
      </c>
      <c r="Z1506">
        <v>31</v>
      </c>
    </row>
    <row r="1507" spans="25:26">
      <c r="Y1507" t="s">
        <v>6239</v>
      </c>
      <c r="Z1507">
        <v>32</v>
      </c>
    </row>
    <row r="1508" spans="25:26">
      <c r="Y1508" t="s">
        <v>6239</v>
      </c>
      <c r="Z1508">
        <v>33</v>
      </c>
    </row>
    <row r="1509" spans="25:26">
      <c r="Y1509" t="s">
        <v>6239</v>
      </c>
      <c r="Z1509">
        <v>34</v>
      </c>
    </row>
    <row r="1510" spans="25:26">
      <c r="Y1510" t="s">
        <v>6239</v>
      </c>
      <c r="Z1510">
        <v>35</v>
      </c>
    </row>
    <row r="1511" spans="25:26">
      <c r="Y1511" t="s">
        <v>6239</v>
      </c>
      <c r="Z1511">
        <v>36</v>
      </c>
    </row>
    <row r="1512" spans="25:26">
      <c r="Y1512" t="s">
        <v>6239</v>
      </c>
      <c r="Z1512">
        <v>37</v>
      </c>
    </row>
    <row r="1513" spans="25:26">
      <c r="Y1513" t="s">
        <v>6239</v>
      </c>
      <c r="Z1513">
        <v>38</v>
      </c>
    </row>
    <row r="1514" spans="25:26">
      <c r="Y1514" t="s">
        <v>6239</v>
      </c>
      <c r="Z1514">
        <v>39</v>
      </c>
    </row>
    <row r="1515" spans="25:26">
      <c r="Y1515" t="s">
        <v>6239</v>
      </c>
      <c r="Z1515">
        <v>40</v>
      </c>
    </row>
    <row r="1516" spans="25:26">
      <c r="Y1516" t="s">
        <v>6239</v>
      </c>
      <c r="Z1516">
        <v>41</v>
      </c>
    </row>
    <row r="1517" spans="25:26">
      <c r="Y1517" t="s">
        <v>6239</v>
      </c>
      <c r="Z1517">
        <v>42</v>
      </c>
    </row>
    <row r="1518" spans="25:26">
      <c r="Y1518" t="s">
        <v>6239</v>
      </c>
      <c r="Z1518">
        <v>43</v>
      </c>
    </row>
    <row r="1519" spans="25:26">
      <c r="Y1519" t="s">
        <v>6239</v>
      </c>
      <c r="Z1519">
        <v>44</v>
      </c>
    </row>
    <row r="1520" spans="25:26">
      <c r="Y1520" t="s">
        <v>6239</v>
      </c>
      <c r="Z1520">
        <v>45</v>
      </c>
    </row>
    <row r="1521" spans="25:26">
      <c r="Y1521" t="s">
        <v>6239</v>
      </c>
      <c r="Z1521">
        <v>46</v>
      </c>
    </row>
    <row r="1522" spans="25:26">
      <c r="Y1522" t="s">
        <v>6239</v>
      </c>
      <c r="Z1522">
        <v>47</v>
      </c>
    </row>
    <row r="1523" spans="25:26">
      <c r="Y1523" t="s">
        <v>6239</v>
      </c>
      <c r="Z1523">
        <v>48</v>
      </c>
    </row>
    <row r="1524" spans="25:26">
      <c r="Y1524" t="s">
        <v>6239</v>
      </c>
      <c r="Z1524">
        <v>49</v>
      </c>
    </row>
    <row r="1525" spans="25:26">
      <c r="Y1525" t="s">
        <v>6239</v>
      </c>
      <c r="Z1525">
        <v>50</v>
      </c>
    </row>
    <row r="1526" spans="25:26">
      <c r="Y1526" t="s">
        <v>6239</v>
      </c>
      <c r="Z1526">
        <v>51</v>
      </c>
    </row>
    <row r="1527" spans="25:26">
      <c r="Y1527" t="s">
        <v>6239</v>
      </c>
      <c r="Z1527">
        <v>52</v>
      </c>
    </row>
    <row r="1528" spans="25:26">
      <c r="Y1528" t="s">
        <v>6239</v>
      </c>
      <c r="Z1528">
        <v>53</v>
      </c>
    </row>
    <row r="1529" spans="25:26">
      <c r="Y1529" t="s">
        <v>6239</v>
      </c>
      <c r="Z1529">
        <v>54</v>
      </c>
    </row>
    <row r="1530" spans="25:26">
      <c r="Y1530" t="s">
        <v>6239</v>
      </c>
      <c r="Z1530">
        <v>55</v>
      </c>
    </row>
    <row r="1531" spans="25:26">
      <c r="Y1531" t="s">
        <v>6239</v>
      </c>
      <c r="Z1531">
        <v>56</v>
      </c>
    </row>
    <row r="1532" spans="25:26">
      <c r="Y1532" t="s">
        <v>6239</v>
      </c>
      <c r="Z1532">
        <v>57</v>
      </c>
    </row>
    <row r="1533" spans="25:26">
      <c r="Y1533" t="s">
        <v>6239</v>
      </c>
      <c r="Z1533">
        <v>58</v>
      </c>
    </row>
    <row r="1534" spans="25:26">
      <c r="Y1534" t="s">
        <v>6239</v>
      </c>
      <c r="Z1534">
        <v>59</v>
      </c>
    </row>
    <row r="1535" spans="25:26">
      <c r="Y1535" t="s">
        <v>6239</v>
      </c>
      <c r="Z1535">
        <v>60</v>
      </c>
    </row>
    <row r="1536" spans="25:26">
      <c r="Y1536" t="s">
        <v>6239</v>
      </c>
      <c r="Z1536">
        <v>61</v>
      </c>
    </row>
    <row r="1537" spans="25:26">
      <c r="Y1537" t="s">
        <v>6239</v>
      </c>
      <c r="Z1537">
        <v>62</v>
      </c>
    </row>
    <row r="1538" spans="25:26">
      <c r="Y1538" t="s">
        <v>6239</v>
      </c>
      <c r="Z1538">
        <v>63</v>
      </c>
    </row>
    <row r="1539" spans="25:26">
      <c r="Y1539" t="s">
        <v>6239</v>
      </c>
      <c r="Z1539">
        <v>64</v>
      </c>
    </row>
    <row r="1540" spans="25:26">
      <c r="Y1540" t="s">
        <v>6239</v>
      </c>
      <c r="Z1540">
        <v>65</v>
      </c>
    </row>
    <row r="1541" spans="25:26">
      <c r="Y1541" t="s">
        <v>6239</v>
      </c>
      <c r="Z1541">
        <v>66</v>
      </c>
    </row>
    <row r="1542" spans="25:26">
      <c r="Y1542" t="s">
        <v>6239</v>
      </c>
      <c r="Z1542">
        <v>67</v>
      </c>
    </row>
    <row r="1543" spans="25:26">
      <c r="Y1543" t="s">
        <v>6239</v>
      </c>
      <c r="Z1543">
        <v>68</v>
      </c>
    </row>
    <row r="1544" spans="25:26">
      <c r="Y1544" t="s">
        <v>6239</v>
      </c>
      <c r="Z1544">
        <v>69</v>
      </c>
    </row>
    <row r="1545" spans="25:26">
      <c r="Y1545" t="s">
        <v>6239</v>
      </c>
      <c r="Z1545">
        <v>70</v>
      </c>
    </row>
    <row r="1546" spans="25:26">
      <c r="Y1546" t="s">
        <v>6239</v>
      </c>
      <c r="Z1546">
        <v>71</v>
      </c>
    </row>
    <row r="1547" spans="25:26">
      <c r="Y1547" t="s">
        <v>6239</v>
      </c>
      <c r="Z1547">
        <v>72</v>
      </c>
    </row>
    <row r="1548" spans="25:26">
      <c r="Y1548" t="s">
        <v>6239</v>
      </c>
      <c r="Z1548">
        <v>73</v>
      </c>
    </row>
    <row r="1549" spans="25:26">
      <c r="Y1549" t="s">
        <v>6239</v>
      </c>
      <c r="Z1549">
        <v>74</v>
      </c>
    </row>
    <row r="1550" spans="25:26">
      <c r="Y1550" t="s">
        <v>6239</v>
      </c>
      <c r="Z1550">
        <v>75</v>
      </c>
    </row>
    <row r="1551" spans="25:26">
      <c r="Y1551" t="s">
        <v>6239</v>
      </c>
      <c r="Z1551">
        <v>76</v>
      </c>
    </row>
    <row r="1552" spans="25:26">
      <c r="Y1552" t="s">
        <v>6239</v>
      </c>
      <c r="Z1552">
        <v>77</v>
      </c>
    </row>
    <row r="1553" spans="25:26">
      <c r="Y1553" t="s">
        <v>6239</v>
      </c>
      <c r="Z1553">
        <v>78</v>
      </c>
    </row>
    <row r="1554" spans="25:26">
      <c r="Y1554" s="117" t="s">
        <v>6444</v>
      </c>
      <c r="Z1554">
        <v>4</v>
      </c>
    </row>
    <row r="1555" spans="25:26">
      <c r="Y1555" s="117" t="s">
        <v>6444</v>
      </c>
      <c r="Z1555">
        <v>5</v>
      </c>
    </row>
    <row r="1556" spans="25:26">
      <c r="Y1556" s="117" t="s">
        <v>6444</v>
      </c>
      <c r="Z1556">
        <v>6</v>
      </c>
    </row>
    <row r="1557" spans="25:26">
      <c r="Y1557" s="117" t="s">
        <v>6444</v>
      </c>
      <c r="Z1557">
        <v>7</v>
      </c>
    </row>
    <row r="1558" spans="25:26">
      <c r="Y1558" s="117" t="s">
        <v>6444</v>
      </c>
      <c r="Z1558">
        <v>8</v>
      </c>
    </row>
    <row r="1559" spans="25:26">
      <c r="Y1559" s="117" t="s">
        <v>6444</v>
      </c>
      <c r="Z1559">
        <v>9</v>
      </c>
    </row>
    <row r="1560" spans="25:26">
      <c r="Y1560" s="117" t="s">
        <v>6444</v>
      </c>
      <c r="Z1560">
        <v>10</v>
      </c>
    </row>
    <row r="1561" spans="25:26">
      <c r="Y1561" s="117" t="s">
        <v>6444</v>
      </c>
      <c r="Z1561">
        <v>11</v>
      </c>
    </row>
    <row r="1562" spans="25:26">
      <c r="Y1562" s="117" t="s">
        <v>6444</v>
      </c>
      <c r="Z1562">
        <v>12</v>
      </c>
    </row>
    <row r="1563" spans="25:26">
      <c r="Y1563" s="117" t="s">
        <v>6444</v>
      </c>
      <c r="Z1563">
        <v>13</v>
      </c>
    </row>
    <row r="1564" spans="25:26">
      <c r="Y1564" s="117" t="s">
        <v>6444</v>
      </c>
      <c r="Z1564">
        <v>14</v>
      </c>
    </row>
    <row r="1565" spans="25:26">
      <c r="Y1565" s="117" t="s">
        <v>6444</v>
      </c>
      <c r="Z1565">
        <v>15</v>
      </c>
    </row>
    <row r="1566" spans="25:26">
      <c r="Y1566" s="117" t="s">
        <v>6444</v>
      </c>
      <c r="Z1566">
        <v>16</v>
      </c>
    </row>
    <row r="1567" spans="25:26">
      <c r="Y1567" s="117" t="s">
        <v>6444</v>
      </c>
      <c r="Z1567">
        <v>17</v>
      </c>
    </row>
    <row r="1568" spans="25:26">
      <c r="Y1568" s="117" t="s">
        <v>6444</v>
      </c>
      <c r="Z1568">
        <v>18</v>
      </c>
    </row>
    <row r="1569" spans="25:26">
      <c r="Y1569" s="117" t="s">
        <v>6444</v>
      </c>
      <c r="Z1569">
        <v>19</v>
      </c>
    </row>
    <row r="1570" spans="25:26">
      <c r="Y1570" s="117" t="s">
        <v>6444</v>
      </c>
      <c r="Z1570">
        <v>20</v>
      </c>
    </row>
    <row r="1571" spans="25:26">
      <c r="Y1571" s="117" t="s">
        <v>6444</v>
      </c>
      <c r="Z1571">
        <v>21</v>
      </c>
    </row>
    <row r="1572" spans="25:26">
      <c r="Y1572" s="117" t="s">
        <v>6444</v>
      </c>
      <c r="Z1572">
        <v>22</v>
      </c>
    </row>
    <row r="1573" spans="25:26">
      <c r="Y1573" s="117" t="s">
        <v>6444</v>
      </c>
      <c r="Z1573">
        <v>23</v>
      </c>
    </row>
    <row r="1574" spans="25:26">
      <c r="Y1574" s="117" t="s">
        <v>6444</v>
      </c>
      <c r="Z1574">
        <v>24</v>
      </c>
    </row>
    <row r="1575" spans="25:26">
      <c r="Y1575" s="117" t="s">
        <v>6444</v>
      </c>
      <c r="Z1575">
        <v>25</v>
      </c>
    </row>
    <row r="1576" spans="25:26">
      <c r="Y1576" s="117" t="s">
        <v>6444</v>
      </c>
      <c r="Z1576">
        <v>26</v>
      </c>
    </row>
    <row r="1577" spans="25:26">
      <c r="Y1577" s="117" t="s">
        <v>6444</v>
      </c>
      <c r="Z1577">
        <v>27</v>
      </c>
    </row>
    <row r="1578" spans="25:26">
      <c r="Y1578" s="117" t="s">
        <v>6444</v>
      </c>
      <c r="Z1578">
        <v>28</v>
      </c>
    </row>
    <row r="1579" spans="25:26">
      <c r="Y1579" s="117" t="s">
        <v>6444</v>
      </c>
      <c r="Z1579">
        <v>29</v>
      </c>
    </row>
    <row r="1580" spans="25:26">
      <c r="Y1580" s="117" t="s">
        <v>6444</v>
      </c>
      <c r="Z1580">
        <v>30</v>
      </c>
    </row>
    <row r="1581" spans="25:26">
      <c r="Y1581" s="117" t="s">
        <v>6444</v>
      </c>
      <c r="Z1581">
        <v>31</v>
      </c>
    </row>
    <row r="1582" spans="25:26">
      <c r="Y1582" s="117" t="s">
        <v>6444</v>
      </c>
      <c r="Z1582">
        <v>32</v>
      </c>
    </row>
    <row r="1583" spans="25:26">
      <c r="Y1583" s="117" t="s">
        <v>6444</v>
      </c>
      <c r="Z1583">
        <v>33</v>
      </c>
    </row>
    <row r="1584" spans="25:26">
      <c r="Y1584" s="117" t="s">
        <v>6444</v>
      </c>
      <c r="Z1584">
        <v>34</v>
      </c>
    </row>
    <row r="1585" spans="25:26">
      <c r="Y1585" s="117" t="s">
        <v>6444</v>
      </c>
      <c r="Z1585">
        <v>35</v>
      </c>
    </row>
    <row r="1586" spans="25:26">
      <c r="Y1586" s="117" t="s">
        <v>6444</v>
      </c>
      <c r="Z1586">
        <v>36</v>
      </c>
    </row>
    <row r="1587" spans="25:26">
      <c r="Y1587" s="117" t="s">
        <v>6444</v>
      </c>
      <c r="Z1587">
        <v>37</v>
      </c>
    </row>
    <row r="1588" spans="25:26">
      <c r="Y1588" s="117" t="s">
        <v>6444</v>
      </c>
      <c r="Z1588">
        <v>38</v>
      </c>
    </row>
    <row r="1589" spans="25:26">
      <c r="Y1589" s="117" t="s">
        <v>6444</v>
      </c>
      <c r="Z1589">
        <v>39</v>
      </c>
    </row>
    <row r="1590" spans="25:26">
      <c r="Y1590" s="117" t="s">
        <v>6444</v>
      </c>
      <c r="Z1590">
        <v>40</v>
      </c>
    </row>
    <row r="1591" spans="25:26">
      <c r="Y1591" s="117" t="s">
        <v>6444</v>
      </c>
      <c r="Z1591">
        <v>41</v>
      </c>
    </row>
    <row r="1592" spans="25:26">
      <c r="Y1592" s="117" t="s">
        <v>6444</v>
      </c>
      <c r="Z1592">
        <v>42</v>
      </c>
    </row>
    <row r="1593" spans="25:26">
      <c r="Y1593" s="117" t="s">
        <v>6444</v>
      </c>
      <c r="Z1593">
        <v>43</v>
      </c>
    </row>
    <row r="1594" spans="25:26">
      <c r="Y1594" s="117" t="s">
        <v>6444</v>
      </c>
      <c r="Z1594">
        <v>44</v>
      </c>
    </row>
    <row r="1595" spans="25:26">
      <c r="Y1595" s="117" t="s">
        <v>6444</v>
      </c>
      <c r="Z1595">
        <v>45</v>
      </c>
    </row>
    <row r="1596" spans="25:26">
      <c r="Y1596" s="117" t="s">
        <v>6444</v>
      </c>
      <c r="Z1596">
        <v>46</v>
      </c>
    </row>
    <row r="1597" spans="25:26">
      <c r="Y1597" s="117" t="s">
        <v>6444</v>
      </c>
      <c r="Z1597">
        <v>47</v>
      </c>
    </row>
    <row r="1598" spans="25:26">
      <c r="Y1598" s="117" t="s">
        <v>6444</v>
      </c>
      <c r="Z1598">
        <v>48</v>
      </c>
    </row>
    <row r="1599" spans="25:26">
      <c r="Y1599" s="117" t="s">
        <v>6444</v>
      </c>
      <c r="Z1599">
        <v>49</v>
      </c>
    </row>
    <row r="1600" spans="25:26">
      <c r="Y1600" s="117" t="s">
        <v>6444</v>
      </c>
      <c r="Z1600">
        <v>50</v>
      </c>
    </row>
    <row r="1601" spans="25:26">
      <c r="Y1601" s="117" t="s">
        <v>6444</v>
      </c>
      <c r="Z1601">
        <v>51</v>
      </c>
    </row>
    <row r="1602" spans="25:26">
      <c r="Y1602" s="117" t="s">
        <v>6444</v>
      </c>
      <c r="Z1602">
        <v>52</v>
      </c>
    </row>
    <row r="1603" spans="25:26">
      <c r="Y1603" s="117" t="s">
        <v>6444</v>
      </c>
      <c r="Z1603">
        <v>53</v>
      </c>
    </row>
    <row r="1604" spans="25:26">
      <c r="Y1604" s="117" t="s">
        <v>6444</v>
      </c>
      <c r="Z1604">
        <v>54</v>
      </c>
    </row>
    <row r="1605" spans="25:26">
      <c r="Y1605" s="117" t="s">
        <v>6444</v>
      </c>
      <c r="Z1605">
        <v>55</v>
      </c>
    </row>
    <row r="1606" spans="25:26">
      <c r="Y1606" s="117" t="s">
        <v>6444</v>
      </c>
      <c r="Z1606">
        <v>56</v>
      </c>
    </row>
    <row r="1607" spans="25:26">
      <c r="Y1607" s="117" t="s">
        <v>6444</v>
      </c>
      <c r="Z1607">
        <v>57</v>
      </c>
    </row>
    <row r="1608" spans="25:26">
      <c r="Y1608" s="117" t="s">
        <v>6444</v>
      </c>
      <c r="Z1608">
        <v>58</v>
      </c>
    </row>
    <row r="1609" spans="25:26">
      <c r="Y1609" s="117" t="s">
        <v>6444</v>
      </c>
      <c r="Z1609">
        <v>59</v>
      </c>
    </row>
    <row r="1610" spans="25:26">
      <c r="Y1610" s="117" t="s">
        <v>6444</v>
      </c>
      <c r="Z1610">
        <v>60</v>
      </c>
    </row>
    <row r="1611" spans="25:26">
      <c r="Y1611" s="117" t="s">
        <v>6444</v>
      </c>
      <c r="Z1611">
        <v>61</v>
      </c>
    </row>
    <row r="1612" spans="25:26">
      <c r="Y1612" s="117" t="s">
        <v>6444</v>
      </c>
      <c r="Z1612">
        <v>62</v>
      </c>
    </row>
    <row r="1613" spans="25:26">
      <c r="Y1613" s="117" t="s">
        <v>6444</v>
      </c>
      <c r="Z1613">
        <v>63</v>
      </c>
    </row>
    <row r="1614" spans="25:26">
      <c r="Y1614" s="117" t="s">
        <v>6444</v>
      </c>
      <c r="Z1614">
        <v>64</v>
      </c>
    </row>
    <row r="1615" spans="25:26">
      <c r="Y1615" s="117" t="s">
        <v>6444</v>
      </c>
      <c r="Z1615">
        <v>65</v>
      </c>
    </row>
    <row r="1616" spans="25:26">
      <c r="Y1616" s="117" t="s">
        <v>6444</v>
      </c>
      <c r="Z1616">
        <v>66</v>
      </c>
    </row>
    <row r="1617" spans="25:26">
      <c r="Y1617" s="117" t="s">
        <v>6444</v>
      </c>
      <c r="Z1617">
        <v>67</v>
      </c>
    </row>
    <row r="1618" spans="25:26">
      <c r="Y1618" s="117" t="s">
        <v>6444</v>
      </c>
      <c r="Z1618">
        <v>68</v>
      </c>
    </row>
    <row r="1619" spans="25:26">
      <c r="Y1619" s="117" t="s">
        <v>6444</v>
      </c>
      <c r="Z1619">
        <v>69</v>
      </c>
    </row>
    <row r="1620" spans="25:26">
      <c r="Y1620" s="117" t="s">
        <v>6444</v>
      </c>
      <c r="Z1620">
        <v>70</v>
      </c>
    </row>
    <row r="1621" spans="25:26">
      <c r="Y1621" s="117" t="s">
        <v>6444</v>
      </c>
      <c r="Z1621">
        <v>71</v>
      </c>
    </row>
    <row r="1622" spans="25:26">
      <c r="Y1622" s="117" t="s">
        <v>6444</v>
      </c>
      <c r="Z1622">
        <v>72</v>
      </c>
    </row>
    <row r="1623" spans="25:26">
      <c r="Y1623" s="117" t="s">
        <v>6444</v>
      </c>
      <c r="Z1623">
        <v>73</v>
      </c>
    </row>
    <row r="1624" spans="25:26">
      <c r="Y1624" s="117" t="s">
        <v>6444</v>
      </c>
      <c r="Z1624">
        <v>74</v>
      </c>
    </row>
    <row r="1625" spans="25:26">
      <c r="Y1625" s="117" t="s">
        <v>6444</v>
      </c>
      <c r="Z1625">
        <v>75</v>
      </c>
    </row>
    <row r="1626" spans="25:26">
      <c r="Y1626" s="117" t="s">
        <v>6444</v>
      </c>
      <c r="Z1626">
        <v>76</v>
      </c>
    </row>
    <row r="1627" spans="25:26">
      <c r="Y1627" s="117" t="s">
        <v>6444</v>
      </c>
      <c r="Z1627">
        <v>77</v>
      </c>
    </row>
    <row r="1628" spans="25:26">
      <c r="Y1628" s="117" t="s">
        <v>6444</v>
      </c>
      <c r="Z1628">
        <v>78</v>
      </c>
    </row>
    <row r="1629" spans="25:26">
      <c r="Y1629" s="117" t="s">
        <v>6444</v>
      </c>
      <c r="Z1629">
        <v>79</v>
      </c>
    </row>
    <row r="1630" spans="25:26">
      <c r="Y1630" s="117" t="s">
        <v>6444</v>
      </c>
      <c r="Z1630">
        <v>80</v>
      </c>
    </row>
    <row r="1631" spans="25:26">
      <c r="Y1631" s="117" t="s">
        <v>6444</v>
      </c>
      <c r="Z1631">
        <v>81</v>
      </c>
    </row>
    <row r="1632" spans="25:26">
      <c r="Y1632" s="117" t="s">
        <v>6444</v>
      </c>
      <c r="Z1632">
        <v>82</v>
      </c>
    </row>
    <row r="1633" spans="25:26">
      <c r="Y1633" s="117" t="s">
        <v>6444</v>
      </c>
      <c r="Z1633">
        <v>83</v>
      </c>
    </row>
    <row r="1634" spans="25:26">
      <c r="Y1634" s="117" t="s">
        <v>6444</v>
      </c>
      <c r="Z1634">
        <v>84</v>
      </c>
    </row>
    <row r="1635" spans="25:26">
      <c r="Y1635" s="117" t="s">
        <v>6444</v>
      </c>
      <c r="Z1635">
        <v>85</v>
      </c>
    </row>
    <row r="1636" spans="25:26">
      <c r="Y1636" s="117" t="s">
        <v>6444</v>
      </c>
      <c r="Z1636">
        <v>86</v>
      </c>
    </row>
    <row r="1637" spans="25:26">
      <c r="Y1637" s="117" t="s">
        <v>6444</v>
      </c>
      <c r="Z1637">
        <v>87</v>
      </c>
    </row>
    <row r="1638" spans="25:26">
      <c r="Y1638" s="117" t="s">
        <v>6444</v>
      </c>
      <c r="Z1638">
        <v>88</v>
      </c>
    </row>
    <row r="1639" spans="25:26">
      <c r="Y1639" s="117" t="s">
        <v>6444</v>
      </c>
      <c r="Z1639">
        <v>89</v>
      </c>
    </row>
    <row r="1640" spans="25:26">
      <c r="Y1640" s="117" t="s">
        <v>6444</v>
      </c>
      <c r="Z1640">
        <v>90</v>
      </c>
    </row>
    <row r="1641" spans="25:26">
      <c r="Y1641" s="117" t="s">
        <v>6444</v>
      </c>
      <c r="Z1641">
        <v>91</v>
      </c>
    </row>
    <row r="1642" spans="25:26">
      <c r="Y1642" s="117" t="s">
        <v>6444</v>
      </c>
      <c r="Z1642">
        <v>92</v>
      </c>
    </row>
    <row r="1643" spans="25:26">
      <c r="Y1643" s="117" t="s">
        <v>6444</v>
      </c>
      <c r="Z1643">
        <v>93</v>
      </c>
    </row>
    <row r="1644" spans="25:26">
      <c r="Y1644" s="117" t="s">
        <v>6444</v>
      </c>
      <c r="Z1644">
        <v>94</v>
      </c>
    </row>
    <row r="1645" spans="25:26">
      <c r="Y1645" s="117" t="s">
        <v>6444</v>
      </c>
      <c r="Z1645">
        <v>95</v>
      </c>
    </row>
    <row r="1646" spans="25:26">
      <c r="Y1646" s="117" t="s">
        <v>6444</v>
      </c>
      <c r="Z1646">
        <v>96</v>
      </c>
    </row>
    <row r="1647" spans="25:26">
      <c r="Y1647" s="117" t="s">
        <v>6444</v>
      </c>
      <c r="Z1647">
        <v>97</v>
      </c>
    </row>
    <row r="1648" spans="25:26">
      <c r="Y1648" s="117" t="s">
        <v>6444</v>
      </c>
      <c r="Z1648">
        <v>98</v>
      </c>
    </row>
    <row r="1649" spans="25:26">
      <c r="Y1649" s="117" t="s">
        <v>6444</v>
      </c>
      <c r="Z1649">
        <v>99</v>
      </c>
    </row>
    <row r="1650" spans="25:26">
      <c r="Y1650" s="117" t="s">
        <v>6444</v>
      </c>
      <c r="Z1650">
        <v>100</v>
      </c>
    </row>
    <row r="1651" spans="25:26">
      <c r="Y1651" s="151" t="s">
        <v>6435</v>
      </c>
      <c r="Z1651">
        <v>4</v>
      </c>
    </row>
    <row r="1652" spans="25:26">
      <c r="Y1652" s="151" t="s">
        <v>6435</v>
      </c>
      <c r="Z1652">
        <v>5</v>
      </c>
    </row>
    <row r="1653" spans="25:26">
      <c r="Y1653" s="151" t="s">
        <v>6435</v>
      </c>
      <c r="Z1653">
        <v>6</v>
      </c>
    </row>
    <row r="1654" spans="25:26">
      <c r="Y1654" s="151" t="s">
        <v>6435</v>
      </c>
      <c r="Z1654">
        <v>7</v>
      </c>
    </row>
    <row r="1655" spans="25:26">
      <c r="Y1655" s="151" t="s">
        <v>6435</v>
      </c>
      <c r="Z1655">
        <v>8</v>
      </c>
    </row>
    <row r="1656" spans="25:26">
      <c r="Y1656" s="151" t="s">
        <v>6435</v>
      </c>
      <c r="Z1656">
        <v>9</v>
      </c>
    </row>
    <row r="1657" spans="25:26">
      <c r="Y1657" s="151" t="s">
        <v>6435</v>
      </c>
      <c r="Z1657">
        <v>10</v>
      </c>
    </row>
    <row r="1658" spans="25:26">
      <c r="Y1658" s="151" t="s">
        <v>6435</v>
      </c>
      <c r="Z1658">
        <v>11</v>
      </c>
    </row>
    <row r="1659" spans="25:26">
      <c r="Y1659" s="151" t="s">
        <v>6435</v>
      </c>
      <c r="Z1659">
        <v>12</v>
      </c>
    </row>
    <row r="1660" spans="25:26">
      <c r="Y1660" s="151" t="s">
        <v>6435</v>
      </c>
      <c r="Z1660">
        <v>13</v>
      </c>
    </row>
    <row r="1661" spans="25:26">
      <c r="Y1661" s="151" t="s">
        <v>6435</v>
      </c>
      <c r="Z1661">
        <v>14</v>
      </c>
    </row>
    <row r="1662" spans="25:26">
      <c r="Y1662" s="151" t="s">
        <v>6435</v>
      </c>
      <c r="Z1662">
        <v>15</v>
      </c>
    </row>
    <row r="1663" spans="25:26">
      <c r="Y1663" s="151" t="s">
        <v>6435</v>
      </c>
      <c r="Z1663">
        <v>16</v>
      </c>
    </row>
    <row r="1664" spans="25:26">
      <c r="Y1664" s="151" t="s">
        <v>6435</v>
      </c>
      <c r="Z1664">
        <v>17</v>
      </c>
    </row>
    <row r="1665" spans="25:26">
      <c r="Y1665" s="151" t="s">
        <v>6435</v>
      </c>
      <c r="Z1665">
        <v>18</v>
      </c>
    </row>
    <row r="1666" spans="25:26">
      <c r="Y1666" s="151" t="s">
        <v>6435</v>
      </c>
      <c r="Z1666">
        <v>19</v>
      </c>
    </row>
    <row r="1667" spans="25:26">
      <c r="Y1667" s="151" t="s">
        <v>6435</v>
      </c>
      <c r="Z1667">
        <v>20</v>
      </c>
    </row>
    <row r="1668" spans="25:26">
      <c r="Y1668" s="151" t="s">
        <v>6435</v>
      </c>
      <c r="Z1668">
        <v>21</v>
      </c>
    </row>
    <row r="1669" spans="25:26">
      <c r="Y1669" s="151" t="s">
        <v>6435</v>
      </c>
      <c r="Z1669">
        <v>22</v>
      </c>
    </row>
    <row r="1670" spans="25:26">
      <c r="Y1670" s="151" t="s">
        <v>6435</v>
      </c>
      <c r="Z1670">
        <v>23</v>
      </c>
    </row>
    <row r="1671" spans="25:26">
      <c r="Y1671" s="151" t="s">
        <v>6435</v>
      </c>
      <c r="Z1671">
        <v>24</v>
      </c>
    </row>
    <row r="1672" spans="25:26">
      <c r="Y1672" s="151" t="s">
        <v>6435</v>
      </c>
      <c r="Z1672">
        <v>25</v>
      </c>
    </row>
    <row r="1673" spans="25:26">
      <c r="Y1673" s="151" t="s">
        <v>6435</v>
      </c>
      <c r="Z1673">
        <v>26</v>
      </c>
    </row>
    <row r="1674" spans="25:26">
      <c r="Y1674" s="151" t="s">
        <v>6435</v>
      </c>
      <c r="Z1674">
        <v>27</v>
      </c>
    </row>
    <row r="1675" spans="25:26">
      <c r="Y1675" s="151" t="s">
        <v>6435</v>
      </c>
      <c r="Z1675">
        <v>28</v>
      </c>
    </row>
    <row r="1676" spans="25:26">
      <c r="Y1676" s="151" t="s">
        <v>6435</v>
      </c>
      <c r="Z1676">
        <v>29</v>
      </c>
    </row>
    <row r="1677" spans="25:26">
      <c r="Y1677" s="151" t="s">
        <v>6435</v>
      </c>
      <c r="Z1677">
        <v>30</v>
      </c>
    </row>
    <row r="1678" spans="25:26">
      <c r="Y1678" s="151" t="s">
        <v>6435</v>
      </c>
      <c r="Z1678">
        <v>31</v>
      </c>
    </row>
    <row r="1679" spans="25:26">
      <c r="Y1679" s="151" t="s">
        <v>6435</v>
      </c>
      <c r="Z1679">
        <v>32</v>
      </c>
    </row>
    <row r="1680" spans="25:26">
      <c r="Y1680" s="151" t="s">
        <v>6435</v>
      </c>
      <c r="Z1680">
        <v>33</v>
      </c>
    </row>
    <row r="1681" spans="25:26">
      <c r="Y1681" s="151" t="s">
        <v>6435</v>
      </c>
      <c r="Z1681">
        <v>34</v>
      </c>
    </row>
    <row r="1682" spans="25:26">
      <c r="Y1682" s="151" t="s">
        <v>6435</v>
      </c>
      <c r="Z1682">
        <v>35</v>
      </c>
    </row>
    <row r="1683" spans="25:26">
      <c r="Y1683" s="151" t="s">
        <v>6435</v>
      </c>
      <c r="Z1683">
        <v>36</v>
      </c>
    </row>
    <row r="1684" spans="25:26">
      <c r="Y1684" s="151" t="s">
        <v>6435</v>
      </c>
      <c r="Z1684">
        <v>37</v>
      </c>
    </row>
    <row r="1685" spans="25:26">
      <c r="Y1685" s="151" t="s">
        <v>6435</v>
      </c>
      <c r="Z1685">
        <v>38</v>
      </c>
    </row>
    <row r="1686" spans="25:26">
      <c r="Y1686" s="151" t="s">
        <v>6435</v>
      </c>
      <c r="Z1686">
        <v>39</v>
      </c>
    </row>
    <row r="1687" spans="25:26">
      <c r="Y1687" s="151" t="s">
        <v>6435</v>
      </c>
      <c r="Z1687">
        <v>40</v>
      </c>
    </row>
    <row r="1688" spans="25:26">
      <c r="Y1688" s="151" t="s">
        <v>6435</v>
      </c>
      <c r="Z1688">
        <v>41</v>
      </c>
    </row>
    <row r="1689" spans="25:26">
      <c r="Y1689" s="151" t="s">
        <v>6435</v>
      </c>
      <c r="Z1689">
        <v>42</v>
      </c>
    </row>
    <row r="1690" spans="25:26">
      <c r="Y1690" s="151" t="s">
        <v>6435</v>
      </c>
      <c r="Z1690">
        <v>43</v>
      </c>
    </row>
    <row r="1691" spans="25:26">
      <c r="Y1691" s="151" t="s">
        <v>6435</v>
      </c>
      <c r="Z1691">
        <v>44</v>
      </c>
    </row>
    <row r="1692" spans="25:26">
      <c r="Y1692" s="151" t="s">
        <v>6435</v>
      </c>
      <c r="Z1692">
        <v>45</v>
      </c>
    </row>
    <row r="1693" spans="25:26">
      <c r="Y1693" s="151" t="s">
        <v>6435</v>
      </c>
      <c r="Z1693">
        <v>46</v>
      </c>
    </row>
    <row r="1694" spans="25:26">
      <c r="Y1694" s="151" t="s">
        <v>6435</v>
      </c>
      <c r="Z1694">
        <v>47</v>
      </c>
    </row>
    <row r="1695" spans="25:26">
      <c r="Y1695" s="151" t="s">
        <v>6435</v>
      </c>
      <c r="Z1695">
        <v>48</v>
      </c>
    </row>
    <row r="1696" spans="25:26">
      <c r="Y1696" s="151" t="s">
        <v>6435</v>
      </c>
      <c r="Z1696">
        <v>49</v>
      </c>
    </row>
    <row r="1697" spans="25:26">
      <c r="Y1697" s="151" t="s">
        <v>6435</v>
      </c>
      <c r="Z1697">
        <v>50</v>
      </c>
    </row>
    <row r="1698" spans="25:26">
      <c r="Y1698" s="151" t="s">
        <v>6435</v>
      </c>
      <c r="Z1698">
        <v>51</v>
      </c>
    </row>
    <row r="1699" spans="25:26">
      <c r="Y1699" s="151" t="s">
        <v>6435</v>
      </c>
      <c r="Z1699">
        <v>52</v>
      </c>
    </row>
    <row r="1700" spans="25:26">
      <c r="Y1700" s="151" t="s">
        <v>6435</v>
      </c>
      <c r="Z1700">
        <v>53</v>
      </c>
    </row>
    <row r="1701" spans="25:26">
      <c r="Y1701" s="151" t="s">
        <v>6435</v>
      </c>
      <c r="Z1701">
        <v>54</v>
      </c>
    </row>
    <row r="1702" spans="25:26">
      <c r="Y1702" s="151" t="s">
        <v>6435</v>
      </c>
      <c r="Z1702">
        <v>55</v>
      </c>
    </row>
    <row r="1703" spans="25:26">
      <c r="Y1703" s="151" t="s">
        <v>6435</v>
      </c>
      <c r="Z1703">
        <v>56</v>
      </c>
    </row>
    <row r="1704" spans="25:26">
      <c r="Y1704" s="151" t="s">
        <v>6435</v>
      </c>
      <c r="Z1704">
        <v>57</v>
      </c>
    </row>
    <row r="1705" spans="25:26">
      <c r="Y1705" s="151" t="s">
        <v>6435</v>
      </c>
      <c r="Z1705">
        <v>58</v>
      </c>
    </row>
    <row r="1706" spans="25:26">
      <c r="Y1706" s="151" t="s">
        <v>6435</v>
      </c>
      <c r="Z1706">
        <v>59</v>
      </c>
    </row>
    <row r="1707" spans="25:26">
      <c r="Y1707" s="151" t="s">
        <v>6435</v>
      </c>
      <c r="Z1707">
        <v>60</v>
      </c>
    </row>
    <row r="1708" spans="25:26">
      <c r="Y1708" s="151" t="s">
        <v>6435</v>
      </c>
      <c r="Z1708">
        <v>61</v>
      </c>
    </row>
    <row r="1709" spans="25:26">
      <c r="Y1709" s="151" t="s">
        <v>6435</v>
      </c>
      <c r="Z1709">
        <v>62</v>
      </c>
    </row>
    <row r="1710" spans="25:26">
      <c r="Y1710" s="151" t="s">
        <v>6435</v>
      </c>
      <c r="Z1710">
        <v>63</v>
      </c>
    </row>
    <row r="1711" spans="25:26">
      <c r="Y1711" s="151" t="s">
        <v>6435</v>
      </c>
      <c r="Z1711">
        <v>64</v>
      </c>
    </row>
    <row r="1712" spans="25:26">
      <c r="Y1712" s="151" t="s">
        <v>6435</v>
      </c>
      <c r="Z1712">
        <v>65</v>
      </c>
    </row>
    <row r="1713" spans="25:26">
      <c r="Y1713" s="151" t="s">
        <v>6435</v>
      </c>
      <c r="Z1713">
        <v>66</v>
      </c>
    </row>
    <row r="1714" spans="25:26">
      <c r="Y1714" s="151" t="s">
        <v>6435</v>
      </c>
      <c r="Z1714">
        <v>67</v>
      </c>
    </row>
    <row r="1715" spans="25:26">
      <c r="Y1715" s="151" t="s">
        <v>6435</v>
      </c>
      <c r="Z1715">
        <v>68</v>
      </c>
    </row>
    <row r="1716" spans="25:26">
      <c r="Y1716" s="151" t="s">
        <v>6435</v>
      </c>
      <c r="Z1716">
        <v>69</v>
      </c>
    </row>
    <row r="1717" spans="25:26">
      <c r="Y1717" s="151" t="s">
        <v>6435</v>
      </c>
      <c r="Z1717">
        <v>70</v>
      </c>
    </row>
    <row r="1718" spans="25:26">
      <c r="Y1718" s="151" t="s">
        <v>6435</v>
      </c>
      <c r="Z1718">
        <v>71</v>
      </c>
    </row>
    <row r="1719" spans="25:26">
      <c r="Y1719" s="151" t="s">
        <v>6435</v>
      </c>
      <c r="Z1719">
        <v>72</v>
      </c>
    </row>
    <row r="1720" spans="25:26">
      <c r="Y1720" s="151" t="s">
        <v>6435</v>
      </c>
      <c r="Z1720">
        <v>73</v>
      </c>
    </row>
    <row r="1721" spans="25:26">
      <c r="Y1721" s="151" t="s">
        <v>6435</v>
      </c>
      <c r="Z1721">
        <v>74</v>
      </c>
    </row>
    <row r="1722" spans="25:26">
      <c r="Y1722" s="151" t="s">
        <v>6435</v>
      </c>
      <c r="Z1722">
        <v>75</v>
      </c>
    </row>
    <row r="1723" spans="25:26">
      <c r="Y1723" s="151" t="s">
        <v>6435</v>
      </c>
      <c r="Z1723">
        <v>76</v>
      </c>
    </row>
    <row r="1724" spans="25:26">
      <c r="Y1724" s="151" t="s">
        <v>6435</v>
      </c>
      <c r="Z1724">
        <v>77</v>
      </c>
    </row>
    <row r="1725" spans="25:26">
      <c r="Y1725" s="151"/>
    </row>
    <row r="1726" spans="25:26">
      <c r="Y1726" s="151"/>
    </row>
    <row r="1727" spans="25:26">
      <c r="Y1727" s="151"/>
    </row>
    <row r="1728" spans="25:26">
      <c r="Y1728" s="151"/>
    </row>
    <row r="1729" spans="25:25">
      <c r="Y1729" s="151"/>
    </row>
    <row r="1730" spans="25:25">
      <c r="Y1730" s="151"/>
    </row>
    <row r="1731" spans="25:25">
      <c r="Y1731" s="151"/>
    </row>
    <row r="1732" spans="25:25">
      <c r="Y1732" s="151"/>
    </row>
    <row r="1733" spans="25:25">
      <c r="Y1733" s="151"/>
    </row>
    <row r="1734" spans="25:25">
      <c r="Y1734" s="151"/>
    </row>
    <row r="1735" spans="25:25">
      <c r="Y1735" s="151"/>
    </row>
    <row r="1736" spans="25:25">
      <c r="Y1736" s="151"/>
    </row>
    <row r="1737" spans="25:25">
      <c r="Y1737" s="151"/>
    </row>
    <row r="1738" spans="25:25">
      <c r="Y1738" s="151"/>
    </row>
    <row r="1739" spans="25:25">
      <c r="Y1739" s="151"/>
    </row>
    <row r="1740" spans="25:25">
      <c r="Y1740" s="151"/>
    </row>
    <row r="1741" spans="25:25">
      <c r="Y1741" s="151"/>
    </row>
    <row r="1742" spans="25:25">
      <c r="Y1742" s="151"/>
    </row>
    <row r="1743" spans="25:25">
      <c r="Y1743" s="151"/>
    </row>
    <row r="1744" spans="25:25">
      <c r="Y1744" s="151"/>
    </row>
    <row r="1745" spans="25:25">
      <c r="Y1745" s="151"/>
    </row>
    <row r="1746" spans="25:25">
      <c r="Y1746" s="151"/>
    </row>
    <row r="1747" spans="25:25">
      <c r="Y1747" s="151"/>
    </row>
  </sheetData>
  <mergeCells count="8">
    <mergeCell ref="T7:W7"/>
    <mergeCell ref="T8:W8"/>
    <mergeCell ref="R23:S23"/>
    <mergeCell ref="J1:P1"/>
    <mergeCell ref="J34:L34"/>
    <mergeCell ref="K20:M20"/>
    <mergeCell ref="I6:K6"/>
    <mergeCell ref="J27:L27"/>
  </mergeCells>
  <pageMargins left="0.7" right="0.7" top="0.75" bottom="0.75" header="0.3" footer="0.3"/>
  <headerFooter>
    <oddHeader>&amp;R&amp;"Arial"&amp;11&amp;KFF7300 MANN+HUMMEL - Confidential&amp;1#_x000D_</oddHeader>
  </headerFooter>
  <drawing r:id="rId1"/>
  <tableParts count="2">
    <tablePart r:id="rId2"/>
    <tablePart r:id="rId3"/>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507E5E-92AB-44CE-B7AA-D16FB6818828}">
  <sheetPr codeName="Sheet15"/>
  <dimension ref="B1:BL405"/>
  <sheetViews>
    <sheetView zoomScale="85" zoomScaleNormal="85" workbookViewId="0">
      <selection activeCell="BE57" sqref="BE57"/>
    </sheetView>
  </sheetViews>
  <sheetFormatPr defaultRowHeight="14.5"/>
  <cols>
    <col min="8" max="8" width="8" bestFit="1" customWidth="1"/>
    <col min="11" max="11" width="19" bestFit="1" customWidth="1"/>
    <col min="19" max="19" width="10.453125" customWidth="1"/>
    <col min="20" max="20" width="10.1796875" customWidth="1"/>
    <col min="23" max="23" width="14.54296875" bestFit="1" customWidth="1"/>
    <col min="31" max="31" width="15" customWidth="1"/>
    <col min="32" max="32" width="14" customWidth="1"/>
    <col min="34" max="34" width="10.1796875" customWidth="1"/>
    <col min="35" max="35" width="9.1796875" style="349"/>
    <col min="37" max="37" width="14.453125" bestFit="1" customWidth="1"/>
    <col min="39" max="39" width="10.54296875" bestFit="1" customWidth="1"/>
    <col min="41" max="41" width="10.26953125" customWidth="1"/>
    <col min="42" max="42" width="10.1796875" customWidth="1"/>
    <col min="43" max="43" width="9.7265625" customWidth="1"/>
    <col min="45" max="45" width="10" customWidth="1"/>
    <col min="46" max="46" width="9.7265625" customWidth="1"/>
    <col min="49" max="49" width="10.26953125" customWidth="1"/>
    <col min="50" max="50" width="10" customWidth="1"/>
    <col min="52" max="52" width="9.1796875" style="368"/>
    <col min="64" max="64" width="9.1796875" style="349"/>
  </cols>
  <sheetData>
    <row r="1" spans="2:64">
      <c r="B1" s="452" t="s">
        <v>6553</v>
      </c>
      <c r="C1" s="452"/>
      <c r="D1" s="452"/>
      <c r="E1" s="452"/>
      <c r="F1" s="452"/>
      <c r="G1" s="452"/>
      <c r="H1" s="452"/>
      <c r="I1" s="452"/>
      <c r="J1" s="452"/>
      <c r="M1" s="452" t="s">
        <v>6554</v>
      </c>
      <c r="N1" s="452"/>
      <c r="O1" s="452"/>
      <c r="P1" s="452"/>
      <c r="Q1" s="452"/>
      <c r="R1" s="452"/>
      <c r="S1" s="452"/>
      <c r="T1" s="452"/>
      <c r="U1" s="452"/>
      <c r="V1" s="452"/>
      <c r="Y1" s="495" t="s">
        <v>6555</v>
      </c>
      <c r="Z1" s="495"/>
      <c r="AA1" s="495"/>
      <c r="AB1" s="495"/>
      <c r="AC1" s="495"/>
      <c r="AD1" s="495"/>
      <c r="AE1" s="495"/>
      <c r="AF1" s="495"/>
      <c r="AK1" s="495" t="s">
        <v>6556</v>
      </c>
      <c r="AL1" s="495"/>
      <c r="AM1" s="495"/>
      <c r="AN1" s="495"/>
      <c r="AO1" s="495"/>
      <c r="AP1" s="495"/>
      <c r="AQ1" s="495"/>
      <c r="AR1" s="495"/>
      <c r="AS1" s="495"/>
      <c r="AT1" s="495"/>
      <c r="AU1" s="495"/>
      <c r="AV1" s="495"/>
      <c r="AW1" s="495"/>
      <c r="AX1" s="495"/>
      <c r="AY1" s="495"/>
      <c r="AZ1" s="350"/>
      <c r="BA1" s="495" t="s">
        <v>6557</v>
      </c>
      <c r="BB1" s="495"/>
      <c r="BC1" s="495"/>
      <c r="BD1" s="495"/>
      <c r="BE1" s="495"/>
      <c r="BF1" s="495"/>
      <c r="BG1" s="495"/>
      <c r="BH1" s="495"/>
      <c r="BI1" s="495"/>
      <c r="BJ1" s="495"/>
      <c r="BK1" s="495"/>
    </row>
    <row r="2" spans="2:64" ht="69" customHeight="1">
      <c r="B2" s="155" t="s">
        <v>6174</v>
      </c>
      <c r="C2" s="155" t="s">
        <v>59</v>
      </c>
      <c r="D2" s="155" t="s">
        <v>383</v>
      </c>
      <c r="E2" s="155" t="s">
        <v>6175</v>
      </c>
      <c r="F2" s="155" t="s">
        <v>6176</v>
      </c>
      <c r="G2" s="155" t="s">
        <v>27</v>
      </c>
      <c r="H2" s="87" t="s">
        <v>6177</v>
      </c>
      <c r="I2" s="351" t="s">
        <v>6558</v>
      </c>
      <c r="J2" s="351" t="s">
        <v>6559</v>
      </c>
      <c r="K2" s="352" t="s">
        <v>6560</v>
      </c>
      <c r="L2" s="353"/>
      <c r="M2" s="354" t="s">
        <v>6174</v>
      </c>
      <c r="N2" s="354" t="s">
        <v>59</v>
      </c>
      <c r="O2" s="354" t="s">
        <v>383</v>
      </c>
      <c r="P2" s="354" t="s">
        <v>6175</v>
      </c>
      <c r="Q2" s="354" t="s">
        <v>6176</v>
      </c>
      <c r="R2" s="355" t="s">
        <v>27</v>
      </c>
      <c r="S2" s="355" t="s">
        <v>367</v>
      </c>
      <c r="T2" s="356" t="s">
        <v>6561</v>
      </c>
      <c r="U2" s="351" t="s">
        <v>6558</v>
      </c>
      <c r="V2" s="351" t="s">
        <v>6559</v>
      </c>
      <c r="W2" s="352" t="s">
        <v>6560</v>
      </c>
      <c r="X2" s="353"/>
      <c r="Y2" s="218" t="s">
        <v>248</v>
      </c>
      <c r="Z2" s="218" t="s">
        <v>308</v>
      </c>
      <c r="AA2" s="218" t="s">
        <v>309</v>
      </c>
      <c r="AB2" s="218" t="s">
        <v>225</v>
      </c>
      <c r="AC2" s="218" t="s">
        <v>310</v>
      </c>
      <c r="AD2" s="218" t="s">
        <v>311</v>
      </c>
      <c r="AE2" s="219" t="s">
        <v>312</v>
      </c>
      <c r="AF2" s="220" t="s">
        <v>313</v>
      </c>
      <c r="AG2" s="351" t="s">
        <v>6558</v>
      </c>
      <c r="AH2" s="351" t="s">
        <v>6559</v>
      </c>
      <c r="AI2" s="352" t="s">
        <v>6560</v>
      </c>
      <c r="AK2" s="120" t="s">
        <v>25</v>
      </c>
      <c r="AL2" s="120" t="s">
        <v>46</v>
      </c>
      <c r="AM2" s="120" t="s">
        <v>47</v>
      </c>
      <c r="AN2" s="162"/>
      <c r="AO2" s="163" t="s">
        <v>50</v>
      </c>
      <c r="AP2" s="163" t="s">
        <v>51</v>
      </c>
      <c r="AQ2" s="163" t="s">
        <v>52</v>
      </c>
      <c r="AR2" s="164"/>
      <c r="AS2" s="163" t="s">
        <v>53</v>
      </c>
      <c r="AT2" s="163" t="s">
        <v>54</v>
      </c>
      <c r="AU2" s="163" t="s">
        <v>55</v>
      </c>
      <c r="AV2" s="164"/>
      <c r="AW2" s="163" t="s">
        <v>56</v>
      </c>
      <c r="AX2" s="163" t="s">
        <v>57</v>
      </c>
      <c r="AY2" s="163" t="s">
        <v>58</v>
      </c>
      <c r="AZ2" s="357"/>
      <c r="BA2" s="358" t="s">
        <v>50</v>
      </c>
      <c r="BB2" s="358" t="s">
        <v>51</v>
      </c>
      <c r="BC2" s="358" t="s">
        <v>52</v>
      </c>
      <c r="BD2" s="164"/>
      <c r="BE2" s="358" t="s">
        <v>53</v>
      </c>
      <c r="BF2" s="358" t="s">
        <v>54</v>
      </c>
      <c r="BG2" s="358" t="s">
        <v>55</v>
      </c>
      <c r="BH2" s="164"/>
      <c r="BI2" s="358" t="s">
        <v>56</v>
      </c>
      <c r="BJ2" s="358" t="s">
        <v>57</v>
      </c>
      <c r="BK2" s="358" t="s">
        <v>58</v>
      </c>
      <c r="BL2" s="352" t="s">
        <v>6560</v>
      </c>
    </row>
    <row r="3" spans="2:64">
      <c r="B3" s="156">
        <v>132</v>
      </c>
      <c r="C3" s="157" t="s">
        <v>6179</v>
      </c>
      <c r="D3" s="157" t="s">
        <v>6180</v>
      </c>
      <c r="E3" s="157">
        <v>16</v>
      </c>
      <c r="F3" s="157">
        <v>249</v>
      </c>
      <c r="G3" s="359">
        <v>0.76</v>
      </c>
      <c r="H3" s="296"/>
      <c r="I3" s="360">
        <f>ROUND(G3*1.3,2)</f>
        <v>0.99</v>
      </c>
      <c r="K3" s="361" t="s">
        <v>6562</v>
      </c>
      <c r="M3" s="125" t="s">
        <v>6438</v>
      </c>
      <c r="N3" s="116" t="s">
        <v>6439</v>
      </c>
      <c r="O3" s="116" t="s">
        <v>6440</v>
      </c>
      <c r="P3" s="116">
        <v>0</v>
      </c>
      <c r="Q3" s="116">
        <v>143</v>
      </c>
      <c r="R3" s="118">
        <v>1.56</v>
      </c>
      <c r="S3" s="118">
        <v>1.6848000000000001</v>
      </c>
      <c r="T3" s="153">
        <f>(S3-R3)/R3</f>
        <v>8.0000000000000016E-2</v>
      </c>
      <c r="U3" s="72">
        <f>ROUND(R3*1.3,2)</f>
        <v>2.0299999999999998</v>
      </c>
      <c r="V3" s="72">
        <f>ROUND(U3*(1+T3),2)</f>
        <v>2.19</v>
      </c>
      <c r="W3" s="361" t="s">
        <v>6562</v>
      </c>
      <c r="Y3" s="223">
        <v>31</v>
      </c>
      <c r="Z3" s="223" t="s">
        <v>315</v>
      </c>
      <c r="AA3" s="223" t="s">
        <v>316</v>
      </c>
      <c r="AB3" s="223" t="s">
        <v>316</v>
      </c>
      <c r="AC3" s="223">
        <v>16</v>
      </c>
      <c r="AD3" s="223">
        <v>249</v>
      </c>
      <c r="AE3" s="224">
        <v>2.93</v>
      </c>
      <c r="AF3" s="223" t="s">
        <v>317</v>
      </c>
      <c r="AG3" s="360">
        <f>ROUND(AE3*1.3,2)</f>
        <v>3.81</v>
      </c>
      <c r="AH3" t="s">
        <v>317</v>
      </c>
      <c r="AI3" s="362">
        <f>(AG3-AE3)/AE3</f>
        <v>0.30034129692832762</v>
      </c>
      <c r="AK3" s="120">
        <v>11104</v>
      </c>
      <c r="AL3" s="120">
        <v>1</v>
      </c>
      <c r="AM3" s="120">
        <v>299</v>
      </c>
      <c r="AN3" s="165"/>
      <c r="AO3" s="313">
        <v>5.1091040000000003</v>
      </c>
      <c r="AP3" s="313" t="s">
        <v>64</v>
      </c>
      <c r="AQ3" s="313" t="s">
        <v>64</v>
      </c>
      <c r="AR3" s="165"/>
      <c r="AS3" s="313" t="s">
        <v>64</v>
      </c>
      <c r="AT3" s="313" t="s">
        <v>64</v>
      </c>
      <c r="AU3" s="313" t="s">
        <v>64</v>
      </c>
      <c r="AV3" s="165"/>
      <c r="AW3" s="313" t="s">
        <v>64</v>
      </c>
      <c r="AX3" s="313" t="s">
        <v>64</v>
      </c>
      <c r="AY3" s="313" t="s">
        <v>64</v>
      </c>
      <c r="AZ3" s="357"/>
      <c r="BA3" s="313">
        <v>5.1091040000000003</v>
      </c>
      <c r="BB3" s="313" t="s">
        <v>64</v>
      </c>
      <c r="BC3" s="313" t="s">
        <v>64</v>
      </c>
      <c r="BD3" s="165"/>
      <c r="BE3" s="313" t="s">
        <v>64</v>
      </c>
      <c r="BF3" s="313" t="s">
        <v>64</v>
      </c>
      <c r="BG3" s="313" t="s">
        <v>64</v>
      </c>
      <c r="BH3" s="165"/>
      <c r="BI3" s="313" t="s">
        <v>64</v>
      </c>
      <c r="BJ3" s="313" t="s">
        <v>64</v>
      </c>
      <c r="BK3" s="313" t="s">
        <v>64</v>
      </c>
    </row>
    <row r="4" spans="2:64">
      <c r="B4" s="156">
        <v>132</v>
      </c>
      <c r="C4" s="157" t="s">
        <v>6179</v>
      </c>
      <c r="D4" s="157" t="s">
        <v>6185</v>
      </c>
      <c r="E4" s="157">
        <v>250</v>
      </c>
      <c r="F4" s="157">
        <v>299</v>
      </c>
      <c r="G4" s="359">
        <v>0.84</v>
      </c>
      <c r="H4" s="296"/>
      <c r="I4" s="360">
        <f t="shared" ref="I4:I67" si="0">ROUND(G4*1.3,2)</f>
        <v>1.0900000000000001</v>
      </c>
      <c r="K4" s="361" t="s">
        <v>6563</v>
      </c>
      <c r="M4" s="125" t="s">
        <v>6438</v>
      </c>
      <c r="N4" s="116" t="s">
        <v>6439</v>
      </c>
      <c r="O4" s="116" t="s">
        <v>6441</v>
      </c>
      <c r="P4" s="116">
        <v>144</v>
      </c>
      <c r="Q4" s="116">
        <v>156</v>
      </c>
      <c r="R4" s="118">
        <v>1.67</v>
      </c>
      <c r="S4" s="118">
        <v>1.8036000000000001</v>
      </c>
      <c r="T4" s="153">
        <f t="shared" ref="T4:T67" si="1">(S4-R4)/R4</f>
        <v>8.0000000000000099E-2</v>
      </c>
      <c r="U4" s="72">
        <f t="shared" ref="U4:U67" si="2">ROUND(R4*1.3,2)</f>
        <v>2.17</v>
      </c>
      <c r="V4" s="72">
        <f t="shared" ref="V4:V67" si="3">ROUND(U4*(1+T4),2)</f>
        <v>2.34</v>
      </c>
      <c r="Y4" s="227">
        <v>31</v>
      </c>
      <c r="Z4" s="227" t="s">
        <v>315</v>
      </c>
      <c r="AA4" s="227" t="s">
        <v>316</v>
      </c>
      <c r="AB4" s="227" t="s">
        <v>316</v>
      </c>
      <c r="AC4" s="227">
        <v>250</v>
      </c>
      <c r="AD4" s="227">
        <v>299</v>
      </c>
      <c r="AE4" s="228">
        <v>3</v>
      </c>
      <c r="AF4" s="227"/>
      <c r="AG4" s="360">
        <f t="shared" ref="AG4:AG67" si="4">ROUND(AE4*1.3,2)</f>
        <v>3.9</v>
      </c>
      <c r="AI4" s="362">
        <f t="shared" ref="AI4:AI67" si="5">(AG4-AE4)/AE4</f>
        <v>0.3</v>
      </c>
      <c r="AK4" s="120">
        <v>11104</v>
      </c>
      <c r="AL4" s="120">
        <v>300</v>
      </c>
      <c r="AM4" s="120">
        <v>599</v>
      </c>
      <c r="AN4" s="165"/>
      <c r="AO4" s="313">
        <v>5.3493439999999994</v>
      </c>
      <c r="AP4" s="313" t="s">
        <v>64</v>
      </c>
      <c r="AQ4" s="313" t="s">
        <v>64</v>
      </c>
      <c r="AR4" s="165"/>
      <c r="AS4" s="313" t="s">
        <v>64</v>
      </c>
      <c r="AT4" s="313" t="s">
        <v>64</v>
      </c>
      <c r="AU4" s="313" t="s">
        <v>64</v>
      </c>
      <c r="AV4" s="165"/>
      <c r="AW4" s="313" t="s">
        <v>64</v>
      </c>
      <c r="AX4" s="313" t="s">
        <v>64</v>
      </c>
      <c r="AY4" s="313" t="s">
        <v>64</v>
      </c>
      <c r="AZ4" s="357"/>
      <c r="BA4" s="313">
        <v>5.3493439999999994</v>
      </c>
      <c r="BB4" s="313" t="s">
        <v>64</v>
      </c>
      <c r="BC4" s="313" t="s">
        <v>64</v>
      </c>
      <c r="BD4" s="165"/>
      <c r="BE4" s="313" t="s">
        <v>64</v>
      </c>
      <c r="BF4" s="313" t="s">
        <v>64</v>
      </c>
      <c r="BG4" s="313" t="s">
        <v>64</v>
      </c>
      <c r="BH4" s="165"/>
      <c r="BI4" s="313" t="s">
        <v>64</v>
      </c>
      <c r="BJ4" s="313" t="s">
        <v>64</v>
      </c>
      <c r="BK4" s="313" t="s">
        <v>64</v>
      </c>
    </row>
    <row r="5" spans="2:64">
      <c r="B5" s="156">
        <v>132</v>
      </c>
      <c r="C5" s="157" t="s">
        <v>6179</v>
      </c>
      <c r="D5" s="157" t="s">
        <v>6187</v>
      </c>
      <c r="E5" s="157">
        <v>300</v>
      </c>
      <c r="F5" s="157">
        <v>349</v>
      </c>
      <c r="G5" s="359">
        <v>0.92</v>
      </c>
      <c r="H5" s="296"/>
      <c r="I5" s="360">
        <f t="shared" si="0"/>
        <v>1.2</v>
      </c>
      <c r="M5" s="125" t="s">
        <v>6438</v>
      </c>
      <c r="N5" s="116" t="s">
        <v>6439</v>
      </c>
      <c r="O5" s="116" t="s">
        <v>6446</v>
      </c>
      <c r="P5" s="116">
        <v>157</v>
      </c>
      <c r="Q5" s="116">
        <v>168</v>
      </c>
      <c r="R5" s="118">
        <v>1.77</v>
      </c>
      <c r="S5" s="118">
        <v>1.9116000000000002</v>
      </c>
      <c r="T5" s="153">
        <f t="shared" si="1"/>
        <v>8.0000000000000099E-2</v>
      </c>
      <c r="U5" s="72">
        <f t="shared" si="2"/>
        <v>2.2999999999999998</v>
      </c>
      <c r="V5" s="72">
        <f t="shared" si="3"/>
        <v>2.48</v>
      </c>
      <c r="Y5" s="227">
        <v>31</v>
      </c>
      <c r="Z5" s="227" t="s">
        <v>315</v>
      </c>
      <c r="AA5" s="227" t="s">
        <v>316</v>
      </c>
      <c r="AB5" s="227" t="s">
        <v>316</v>
      </c>
      <c r="AC5" s="227">
        <v>300</v>
      </c>
      <c r="AD5" s="227">
        <v>349</v>
      </c>
      <c r="AE5" s="228">
        <v>3.06</v>
      </c>
      <c r="AF5" s="227"/>
      <c r="AG5" s="360">
        <f t="shared" si="4"/>
        <v>3.98</v>
      </c>
      <c r="AI5" s="362">
        <f t="shared" si="5"/>
        <v>0.30065359477124182</v>
      </c>
      <c r="AK5" s="120">
        <v>11104</v>
      </c>
      <c r="AL5" s="120">
        <v>600</v>
      </c>
      <c r="AM5" s="120">
        <v>899</v>
      </c>
      <c r="AN5" s="165"/>
      <c r="AO5" s="313">
        <v>5.637632</v>
      </c>
      <c r="AP5" s="313" t="s">
        <v>64</v>
      </c>
      <c r="AQ5" s="313" t="s">
        <v>64</v>
      </c>
      <c r="AR5" s="165"/>
      <c r="AS5" s="313" t="s">
        <v>64</v>
      </c>
      <c r="AT5" s="313" t="s">
        <v>64</v>
      </c>
      <c r="AU5" s="313" t="s">
        <v>64</v>
      </c>
      <c r="AV5" s="165"/>
      <c r="AW5" s="313" t="s">
        <v>64</v>
      </c>
      <c r="AX5" s="313" t="s">
        <v>64</v>
      </c>
      <c r="AY5" s="313" t="s">
        <v>64</v>
      </c>
      <c r="AZ5" s="357"/>
      <c r="BA5" s="313">
        <v>5.637632</v>
      </c>
      <c r="BB5" s="313" t="s">
        <v>64</v>
      </c>
      <c r="BC5" s="313" t="s">
        <v>64</v>
      </c>
      <c r="BD5" s="165"/>
      <c r="BE5" s="313" t="s">
        <v>64</v>
      </c>
      <c r="BF5" s="313" t="s">
        <v>64</v>
      </c>
      <c r="BG5" s="313" t="s">
        <v>64</v>
      </c>
      <c r="BH5" s="165"/>
      <c r="BI5" s="313" t="s">
        <v>64</v>
      </c>
      <c r="BJ5" s="313" t="s">
        <v>64</v>
      </c>
      <c r="BK5" s="313" t="s">
        <v>64</v>
      </c>
    </row>
    <row r="6" spans="2:64">
      <c r="B6" s="156">
        <v>132</v>
      </c>
      <c r="C6" s="157" t="s">
        <v>6179</v>
      </c>
      <c r="D6" s="157" t="s">
        <v>6193</v>
      </c>
      <c r="E6" s="157">
        <v>350</v>
      </c>
      <c r="F6" s="157">
        <v>399</v>
      </c>
      <c r="G6" s="359">
        <v>1</v>
      </c>
      <c r="H6" s="296"/>
      <c r="I6" s="360">
        <f t="shared" si="0"/>
        <v>1.3</v>
      </c>
      <c r="M6" s="125" t="s">
        <v>6438</v>
      </c>
      <c r="N6" s="116" t="s">
        <v>6439</v>
      </c>
      <c r="O6" s="116" t="s">
        <v>6450</v>
      </c>
      <c r="P6" s="116">
        <v>169</v>
      </c>
      <c r="Q6" s="116">
        <v>180</v>
      </c>
      <c r="R6" s="118">
        <v>1.87</v>
      </c>
      <c r="S6" s="118">
        <v>2.0196000000000001</v>
      </c>
      <c r="T6" s="153">
        <f t="shared" si="1"/>
        <v>7.9999999999999974E-2</v>
      </c>
      <c r="U6" s="72">
        <f t="shared" si="2"/>
        <v>2.4300000000000002</v>
      </c>
      <c r="V6" s="72">
        <f t="shared" si="3"/>
        <v>2.62</v>
      </c>
      <c r="Y6" s="227">
        <v>31</v>
      </c>
      <c r="Z6" s="227" t="s">
        <v>315</v>
      </c>
      <c r="AA6" s="227" t="s">
        <v>316</v>
      </c>
      <c r="AB6" s="227" t="s">
        <v>316</v>
      </c>
      <c r="AC6" s="227">
        <v>350</v>
      </c>
      <c r="AD6" s="227">
        <v>399</v>
      </c>
      <c r="AE6" s="228">
        <v>3.13</v>
      </c>
      <c r="AF6" s="227"/>
      <c r="AG6" s="360">
        <f t="shared" si="4"/>
        <v>4.07</v>
      </c>
      <c r="AI6" s="362">
        <f t="shared" si="5"/>
        <v>0.3003194888178915</v>
      </c>
      <c r="AK6" s="120">
        <v>11104</v>
      </c>
      <c r="AL6" s="120">
        <v>900</v>
      </c>
      <c r="AM6" s="120">
        <v>1199</v>
      </c>
      <c r="AN6" s="165"/>
      <c r="AO6" s="313">
        <v>5.909904</v>
      </c>
      <c r="AP6" s="313" t="s">
        <v>64</v>
      </c>
      <c r="AQ6" s="313" t="s">
        <v>64</v>
      </c>
      <c r="AR6" s="165"/>
      <c r="AS6" s="313" t="s">
        <v>64</v>
      </c>
      <c r="AT6" s="313" t="s">
        <v>64</v>
      </c>
      <c r="AU6" s="313" t="s">
        <v>64</v>
      </c>
      <c r="AV6" s="165"/>
      <c r="AW6" s="313" t="s">
        <v>64</v>
      </c>
      <c r="AX6" s="313" t="s">
        <v>64</v>
      </c>
      <c r="AY6" s="313" t="s">
        <v>64</v>
      </c>
      <c r="AZ6" s="357"/>
      <c r="BA6" s="313">
        <v>5.909904</v>
      </c>
      <c r="BB6" s="313" t="s">
        <v>64</v>
      </c>
      <c r="BC6" s="313" t="s">
        <v>64</v>
      </c>
      <c r="BD6" s="165"/>
      <c r="BE6" s="313" t="s">
        <v>64</v>
      </c>
      <c r="BF6" s="313" t="s">
        <v>64</v>
      </c>
      <c r="BG6" s="313" t="s">
        <v>64</v>
      </c>
      <c r="BH6" s="165"/>
      <c r="BI6" s="313" t="s">
        <v>64</v>
      </c>
      <c r="BJ6" s="313" t="s">
        <v>64</v>
      </c>
      <c r="BK6" s="313" t="s">
        <v>64</v>
      </c>
    </row>
    <row r="7" spans="2:64">
      <c r="B7" s="156">
        <v>132</v>
      </c>
      <c r="C7" s="157" t="s">
        <v>6179</v>
      </c>
      <c r="D7" s="157" t="s">
        <v>6196</v>
      </c>
      <c r="E7" s="157">
        <v>400</v>
      </c>
      <c r="F7" s="157">
        <v>449</v>
      </c>
      <c r="G7" s="359">
        <v>1.08</v>
      </c>
      <c r="H7" s="296"/>
      <c r="I7" s="360">
        <f t="shared" si="0"/>
        <v>1.4</v>
      </c>
      <c r="M7" s="125" t="s">
        <v>6438</v>
      </c>
      <c r="N7" s="116" t="s">
        <v>6439</v>
      </c>
      <c r="O7" s="116" t="s">
        <v>6451</v>
      </c>
      <c r="P7" s="116">
        <v>181</v>
      </c>
      <c r="Q7" s="116">
        <v>192</v>
      </c>
      <c r="R7" s="118">
        <v>1.97</v>
      </c>
      <c r="S7" s="118">
        <v>2.1276000000000002</v>
      </c>
      <c r="T7" s="153">
        <f t="shared" si="1"/>
        <v>8.0000000000000099E-2</v>
      </c>
      <c r="U7" s="72">
        <f t="shared" si="2"/>
        <v>2.56</v>
      </c>
      <c r="V7" s="72">
        <f t="shared" si="3"/>
        <v>2.76</v>
      </c>
      <c r="Y7" s="227">
        <v>31</v>
      </c>
      <c r="Z7" s="227" t="s">
        <v>315</v>
      </c>
      <c r="AA7" s="227" t="s">
        <v>316</v>
      </c>
      <c r="AB7" s="227" t="s">
        <v>316</v>
      </c>
      <c r="AC7" s="227">
        <v>400</v>
      </c>
      <c r="AD7" s="227">
        <v>449</v>
      </c>
      <c r="AE7" s="228">
        <v>3.19</v>
      </c>
      <c r="AF7" s="227"/>
      <c r="AG7" s="360">
        <f t="shared" si="4"/>
        <v>4.1500000000000004</v>
      </c>
      <c r="AI7" s="362">
        <f t="shared" si="5"/>
        <v>0.30094043887147348</v>
      </c>
      <c r="AK7" s="120">
        <v>11104</v>
      </c>
      <c r="AL7" s="120">
        <v>1200</v>
      </c>
      <c r="AM7" s="120">
        <v>1499</v>
      </c>
      <c r="AN7" s="165"/>
      <c r="AO7" s="313">
        <v>6.1981920000000006</v>
      </c>
      <c r="AP7" s="313" t="s">
        <v>64</v>
      </c>
      <c r="AQ7" s="313" t="s">
        <v>64</v>
      </c>
      <c r="AR7" s="165"/>
      <c r="AS7" s="313" t="s">
        <v>64</v>
      </c>
      <c r="AT7" s="313" t="s">
        <v>64</v>
      </c>
      <c r="AU7" s="313" t="s">
        <v>64</v>
      </c>
      <c r="AV7" s="165"/>
      <c r="AW7" s="313" t="s">
        <v>64</v>
      </c>
      <c r="AX7" s="313" t="s">
        <v>64</v>
      </c>
      <c r="AY7" s="313" t="s">
        <v>64</v>
      </c>
      <c r="AZ7" s="357"/>
      <c r="BA7" s="313">
        <v>6.1981920000000006</v>
      </c>
      <c r="BB7" s="313" t="s">
        <v>64</v>
      </c>
      <c r="BC7" s="313" t="s">
        <v>64</v>
      </c>
      <c r="BD7" s="165"/>
      <c r="BE7" s="313" t="s">
        <v>64</v>
      </c>
      <c r="BF7" s="313" t="s">
        <v>64</v>
      </c>
      <c r="BG7" s="313" t="s">
        <v>64</v>
      </c>
      <c r="BH7" s="165"/>
      <c r="BI7" s="313" t="s">
        <v>64</v>
      </c>
      <c r="BJ7" s="313" t="s">
        <v>64</v>
      </c>
      <c r="BK7" s="313" t="s">
        <v>64</v>
      </c>
    </row>
    <row r="8" spans="2:64">
      <c r="B8" s="156">
        <v>132</v>
      </c>
      <c r="C8" s="157" t="s">
        <v>6179</v>
      </c>
      <c r="D8" s="157" t="s">
        <v>6199</v>
      </c>
      <c r="E8" s="157">
        <v>450</v>
      </c>
      <c r="F8" s="157">
        <v>499</v>
      </c>
      <c r="G8" s="359">
        <v>1.1599999999999999</v>
      </c>
      <c r="H8" s="296"/>
      <c r="I8" s="360">
        <f t="shared" si="0"/>
        <v>1.51</v>
      </c>
      <c r="M8" s="125" t="s">
        <v>6438</v>
      </c>
      <c r="N8" s="116" t="s">
        <v>6439</v>
      </c>
      <c r="O8" s="116" t="s">
        <v>6452</v>
      </c>
      <c r="P8" s="116">
        <v>193</v>
      </c>
      <c r="Q8" s="116">
        <v>204</v>
      </c>
      <c r="R8" s="118">
        <v>2.0699999999999998</v>
      </c>
      <c r="S8" s="118">
        <v>2.2355999999999998</v>
      </c>
      <c r="T8" s="153">
        <f t="shared" si="1"/>
        <v>7.9999999999999988E-2</v>
      </c>
      <c r="U8" s="72">
        <f t="shared" si="2"/>
        <v>2.69</v>
      </c>
      <c r="V8" s="72">
        <f t="shared" si="3"/>
        <v>2.91</v>
      </c>
      <c r="Y8" s="227">
        <v>31</v>
      </c>
      <c r="Z8" s="227" t="s">
        <v>315</v>
      </c>
      <c r="AA8" s="227" t="s">
        <v>316</v>
      </c>
      <c r="AB8" s="227" t="s">
        <v>316</v>
      </c>
      <c r="AC8" s="227">
        <v>450</v>
      </c>
      <c r="AD8" s="227">
        <v>499</v>
      </c>
      <c r="AE8" s="228">
        <v>3.26</v>
      </c>
      <c r="AF8" s="227"/>
      <c r="AG8" s="360">
        <f t="shared" si="4"/>
        <v>4.24</v>
      </c>
      <c r="AI8" s="362">
        <f t="shared" si="5"/>
        <v>0.30061349693251549</v>
      </c>
      <c r="AK8" s="120">
        <v>11104</v>
      </c>
      <c r="AL8" s="120">
        <v>1500</v>
      </c>
      <c r="AM8" s="120">
        <v>1799</v>
      </c>
      <c r="AN8" s="165"/>
      <c r="AO8" s="313">
        <v>6.5185120000000003</v>
      </c>
      <c r="AP8" s="313" t="s">
        <v>64</v>
      </c>
      <c r="AQ8" s="313" t="s">
        <v>64</v>
      </c>
      <c r="AR8" s="165"/>
      <c r="AS8" s="313" t="s">
        <v>64</v>
      </c>
      <c r="AT8" s="313" t="s">
        <v>64</v>
      </c>
      <c r="AU8" s="313" t="s">
        <v>64</v>
      </c>
      <c r="AV8" s="165"/>
      <c r="AW8" s="313" t="s">
        <v>64</v>
      </c>
      <c r="AX8" s="313" t="s">
        <v>64</v>
      </c>
      <c r="AY8" s="313" t="s">
        <v>64</v>
      </c>
      <c r="AZ8" s="357"/>
      <c r="BA8" s="313">
        <v>6.5185120000000003</v>
      </c>
      <c r="BB8" s="313" t="s">
        <v>64</v>
      </c>
      <c r="BC8" s="313" t="s">
        <v>64</v>
      </c>
      <c r="BD8" s="165"/>
      <c r="BE8" s="313" t="s">
        <v>64</v>
      </c>
      <c r="BF8" s="313" t="s">
        <v>64</v>
      </c>
      <c r="BG8" s="313" t="s">
        <v>64</v>
      </c>
      <c r="BH8" s="165"/>
      <c r="BI8" s="313" t="s">
        <v>64</v>
      </c>
      <c r="BJ8" s="313" t="s">
        <v>64</v>
      </c>
      <c r="BK8" s="313" t="s">
        <v>64</v>
      </c>
    </row>
    <row r="9" spans="2:64">
      <c r="B9" s="156">
        <v>132</v>
      </c>
      <c r="C9" s="157" t="s">
        <v>6179</v>
      </c>
      <c r="D9" s="157" t="s">
        <v>6201</v>
      </c>
      <c r="E9" s="157">
        <v>500</v>
      </c>
      <c r="F9" s="157">
        <v>549</v>
      </c>
      <c r="G9" s="359">
        <v>1.24</v>
      </c>
      <c r="H9" s="296"/>
      <c r="I9" s="360">
        <f t="shared" si="0"/>
        <v>1.61</v>
      </c>
      <c r="M9" s="125" t="s">
        <v>6438</v>
      </c>
      <c r="N9" s="116" t="s">
        <v>6439</v>
      </c>
      <c r="O9" s="116" t="s">
        <v>6453</v>
      </c>
      <c r="P9" s="116">
        <v>205</v>
      </c>
      <c r="Q9" s="116">
        <v>216</v>
      </c>
      <c r="R9" s="118">
        <v>2.17</v>
      </c>
      <c r="S9" s="118">
        <v>2.3435999999999999</v>
      </c>
      <c r="T9" s="153">
        <f t="shared" si="1"/>
        <v>7.9999999999999988E-2</v>
      </c>
      <c r="U9" s="72">
        <f t="shared" si="2"/>
        <v>2.82</v>
      </c>
      <c r="V9" s="72">
        <f t="shared" si="3"/>
        <v>3.05</v>
      </c>
      <c r="Y9" s="227">
        <v>31</v>
      </c>
      <c r="Z9" s="227" t="s">
        <v>315</v>
      </c>
      <c r="AA9" s="227" t="s">
        <v>316</v>
      </c>
      <c r="AB9" s="227" t="s">
        <v>316</v>
      </c>
      <c r="AC9" s="227">
        <v>500</v>
      </c>
      <c r="AD9" s="227">
        <v>549</v>
      </c>
      <c r="AE9" s="228">
        <v>3.33</v>
      </c>
      <c r="AF9" s="227"/>
      <c r="AG9" s="360">
        <f t="shared" si="4"/>
        <v>4.33</v>
      </c>
      <c r="AI9" s="362">
        <f t="shared" si="5"/>
        <v>0.3003003003003003</v>
      </c>
      <c r="AK9" s="120">
        <v>11104</v>
      </c>
      <c r="AL9" s="120">
        <v>1800</v>
      </c>
      <c r="AM9" s="120">
        <v>2099</v>
      </c>
      <c r="AN9" s="165"/>
      <c r="AO9" s="313">
        <v>6.838832</v>
      </c>
      <c r="AP9" s="313" t="s">
        <v>64</v>
      </c>
      <c r="AQ9" s="313" t="s">
        <v>64</v>
      </c>
      <c r="AR9" s="165"/>
      <c r="AS9" s="313" t="s">
        <v>64</v>
      </c>
      <c r="AT9" s="313" t="s">
        <v>64</v>
      </c>
      <c r="AU9" s="313" t="s">
        <v>64</v>
      </c>
      <c r="AV9" s="165"/>
      <c r="AW9" s="313" t="s">
        <v>64</v>
      </c>
      <c r="AX9" s="313" t="s">
        <v>64</v>
      </c>
      <c r="AY9" s="313" t="s">
        <v>64</v>
      </c>
      <c r="AZ9" s="357"/>
      <c r="BA9" s="313">
        <v>6.838832</v>
      </c>
      <c r="BB9" s="313" t="s">
        <v>64</v>
      </c>
      <c r="BC9" s="313" t="s">
        <v>64</v>
      </c>
      <c r="BD9" s="165"/>
      <c r="BE9" s="313" t="s">
        <v>64</v>
      </c>
      <c r="BF9" s="313" t="s">
        <v>64</v>
      </c>
      <c r="BG9" s="313" t="s">
        <v>64</v>
      </c>
      <c r="BH9" s="165"/>
      <c r="BI9" s="313" t="s">
        <v>64</v>
      </c>
      <c r="BJ9" s="313" t="s">
        <v>64</v>
      </c>
      <c r="BK9" s="313" t="s">
        <v>64</v>
      </c>
    </row>
    <row r="10" spans="2:64">
      <c r="B10" s="156">
        <v>132</v>
      </c>
      <c r="C10" s="157" t="s">
        <v>6179</v>
      </c>
      <c r="D10" s="157" t="s">
        <v>6203</v>
      </c>
      <c r="E10" s="157">
        <v>550</v>
      </c>
      <c r="F10" s="157">
        <v>599</v>
      </c>
      <c r="G10" s="359">
        <v>1.32</v>
      </c>
      <c r="H10" s="296"/>
      <c r="I10" s="360">
        <f t="shared" si="0"/>
        <v>1.72</v>
      </c>
      <c r="M10" s="125" t="s">
        <v>6438</v>
      </c>
      <c r="N10" s="116" t="s">
        <v>6439</v>
      </c>
      <c r="O10" s="116" t="s">
        <v>6454</v>
      </c>
      <c r="P10" s="116">
        <v>217</v>
      </c>
      <c r="Q10" s="116">
        <v>228</v>
      </c>
      <c r="R10" s="118">
        <v>2.27</v>
      </c>
      <c r="S10" s="118">
        <v>2.4516</v>
      </c>
      <c r="T10" s="153">
        <f t="shared" si="1"/>
        <v>7.9999999999999988E-2</v>
      </c>
      <c r="U10" s="72">
        <f t="shared" si="2"/>
        <v>2.95</v>
      </c>
      <c r="V10" s="72">
        <f t="shared" si="3"/>
        <v>3.19</v>
      </c>
      <c r="Y10" s="227">
        <v>31</v>
      </c>
      <c r="Z10" s="227" t="s">
        <v>315</v>
      </c>
      <c r="AA10" s="227" t="s">
        <v>316</v>
      </c>
      <c r="AB10" s="227" t="s">
        <v>316</v>
      </c>
      <c r="AC10" s="227">
        <v>550</v>
      </c>
      <c r="AD10" s="227">
        <v>599</v>
      </c>
      <c r="AE10" s="228">
        <v>3.39</v>
      </c>
      <c r="AF10" s="227"/>
      <c r="AG10" s="360">
        <f t="shared" si="4"/>
        <v>4.41</v>
      </c>
      <c r="AI10" s="362">
        <f t="shared" si="5"/>
        <v>0.30088495575221236</v>
      </c>
      <c r="AK10" s="167">
        <v>11204</v>
      </c>
      <c r="AL10" s="167">
        <v>1</v>
      </c>
      <c r="AM10" s="167">
        <v>299</v>
      </c>
      <c r="AN10" s="165"/>
      <c r="AO10" s="168">
        <v>5.6216160000000004</v>
      </c>
      <c r="AP10" s="169">
        <v>7.59</v>
      </c>
      <c r="AQ10" s="169">
        <v>11.12</v>
      </c>
      <c r="AR10" s="166"/>
      <c r="AS10" s="169">
        <v>6.18</v>
      </c>
      <c r="AT10" s="169">
        <v>8.34</v>
      </c>
      <c r="AU10" s="169">
        <v>10.43</v>
      </c>
      <c r="AV10" s="165"/>
      <c r="AW10" s="169" t="s">
        <v>64</v>
      </c>
      <c r="AX10" s="169" t="s">
        <v>64</v>
      </c>
      <c r="AY10" s="169" t="s">
        <v>64</v>
      </c>
      <c r="AZ10" s="357"/>
      <c r="BA10" s="168">
        <v>6.1</v>
      </c>
      <c r="BB10" s="169">
        <v>8.24</v>
      </c>
      <c r="BC10" s="169">
        <v>12.07</v>
      </c>
      <c r="BD10" s="166"/>
      <c r="BE10" s="169">
        <v>6.71</v>
      </c>
      <c r="BF10" s="169">
        <v>9.0500000000000007</v>
      </c>
      <c r="BG10" s="169">
        <v>11.32</v>
      </c>
      <c r="BH10" s="165"/>
      <c r="BI10" s="169" t="s">
        <v>64</v>
      </c>
      <c r="BJ10" s="169" t="s">
        <v>64</v>
      </c>
      <c r="BK10" s="169" t="s">
        <v>64</v>
      </c>
      <c r="BL10" s="362">
        <f>(BA10-AO10)/AO10</f>
        <v>8.5097238943392647E-2</v>
      </c>
    </row>
    <row r="11" spans="2:64">
      <c r="B11" s="156">
        <v>132</v>
      </c>
      <c r="C11" s="157" t="s">
        <v>6179</v>
      </c>
      <c r="D11" s="157" t="s">
        <v>6205</v>
      </c>
      <c r="E11" s="157">
        <v>600</v>
      </c>
      <c r="F11" s="157">
        <v>649</v>
      </c>
      <c r="G11" s="359">
        <v>1.4</v>
      </c>
      <c r="H11" s="296"/>
      <c r="I11" s="360">
        <f t="shared" si="0"/>
        <v>1.82</v>
      </c>
      <c r="M11" s="125" t="s">
        <v>6438</v>
      </c>
      <c r="N11" s="116" t="s">
        <v>6439</v>
      </c>
      <c r="O11" s="116" t="s">
        <v>6455</v>
      </c>
      <c r="P11" s="116">
        <v>229</v>
      </c>
      <c r="Q11" s="116">
        <v>240</v>
      </c>
      <c r="R11" s="118">
        <v>2.37</v>
      </c>
      <c r="S11" s="118">
        <v>2.6544000000000003</v>
      </c>
      <c r="T11" s="153">
        <f t="shared" si="1"/>
        <v>0.12000000000000008</v>
      </c>
      <c r="U11" s="72">
        <f t="shared" si="2"/>
        <v>3.08</v>
      </c>
      <c r="V11" s="72">
        <f t="shared" si="3"/>
        <v>3.45</v>
      </c>
      <c r="Y11" s="223">
        <v>31</v>
      </c>
      <c r="Z11" s="223" t="s">
        <v>315</v>
      </c>
      <c r="AA11" s="223" t="s">
        <v>316</v>
      </c>
      <c r="AB11" s="223" t="s">
        <v>341</v>
      </c>
      <c r="AC11" s="223">
        <v>16</v>
      </c>
      <c r="AD11" s="223">
        <v>249</v>
      </c>
      <c r="AE11" s="224">
        <v>3.36</v>
      </c>
      <c r="AF11" s="223"/>
      <c r="AG11" s="360">
        <f t="shared" si="4"/>
        <v>4.37</v>
      </c>
      <c r="AI11" s="362">
        <f t="shared" si="5"/>
        <v>0.30059523809523819</v>
      </c>
      <c r="AK11" s="167">
        <v>11204</v>
      </c>
      <c r="AL11" s="167">
        <v>300</v>
      </c>
      <c r="AM11" s="167">
        <v>599</v>
      </c>
      <c r="AN11" s="165"/>
      <c r="AO11" s="168">
        <v>5.877872</v>
      </c>
      <c r="AP11" s="169">
        <v>7.94</v>
      </c>
      <c r="AQ11" s="169">
        <v>11.72</v>
      </c>
      <c r="AR11" s="166"/>
      <c r="AS11" s="169">
        <v>6.47</v>
      </c>
      <c r="AT11" s="169">
        <v>8.74</v>
      </c>
      <c r="AU11" s="169">
        <v>10.92</v>
      </c>
      <c r="AV11" s="166"/>
      <c r="AW11" s="169" t="s">
        <v>64</v>
      </c>
      <c r="AX11" s="169" t="s">
        <v>64</v>
      </c>
      <c r="AY11" s="169" t="s">
        <v>64</v>
      </c>
      <c r="AZ11" s="357"/>
      <c r="BA11" s="168">
        <v>6.38</v>
      </c>
      <c r="BB11" s="169">
        <v>8.61</v>
      </c>
      <c r="BC11" s="169">
        <v>12.72</v>
      </c>
      <c r="BD11" s="166"/>
      <c r="BE11" s="169">
        <v>7.02</v>
      </c>
      <c r="BF11" s="169">
        <v>9.48</v>
      </c>
      <c r="BG11" s="169">
        <v>11.85</v>
      </c>
      <c r="BH11" s="166"/>
      <c r="BI11" s="169" t="s">
        <v>64</v>
      </c>
      <c r="BJ11" s="169" t="s">
        <v>64</v>
      </c>
      <c r="BK11" s="169" t="s">
        <v>64</v>
      </c>
      <c r="BL11" s="362">
        <f t="shared" ref="BL11:BL74" si="6">(BA11-AO11)/AO11</f>
        <v>8.5426834745635824E-2</v>
      </c>
    </row>
    <row r="12" spans="2:64">
      <c r="B12" s="156">
        <v>132</v>
      </c>
      <c r="C12" s="157" t="s">
        <v>6179</v>
      </c>
      <c r="D12" s="157" t="s">
        <v>6207</v>
      </c>
      <c r="E12" s="157">
        <v>650</v>
      </c>
      <c r="F12" s="157">
        <v>699</v>
      </c>
      <c r="G12" s="359">
        <v>1.48</v>
      </c>
      <c r="H12" s="296"/>
      <c r="I12" s="360">
        <f t="shared" si="0"/>
        <v>1.92</v>
      </c>
      <c r="M12" s="125" t="s">
        <v>6438</v>
      </c>
      <c r="N12" s="116" t="s">
        <v>6439</v>
      </c>
      <c r="O12" s="116" t="s">
        <v>6456</v>
      </c>
      <c r="P12" s="116">
        <v>241</v>
      </c>
      <c r="Q12" s="116">
        <v>252</v>
      </c>
      <c r="R12" s="118">
        <v>2.4700000000000002</v>
      </c>
      <c r="S12" s="118">
        <v>2.7664000000000004</v>
      </c>
      <c r="T12" s="153">
        <f t="shared" si="1"/>
        <v>0.12000000000000008</v>
      </c>
      <c r="U12" s="72">
        <f t="shared" si="2"/>
        <v>3.21</v>
      </c>
      <c r="V12" s="72">
        <f t="shared" si="3"/>
        <v>3.6</v>
      </c>
      <c r="Y12" s="227">
        <v>31</v>
      </c>
      <c r="Z12" s="227" t="s">
        <v>315</v>
      </c>
      <c r="AA12" s="227" t="s">
        <v>316</v>
      </c>
      <c r="AB12" s="227" t="s">
        <v>341</v>
      </c>
      <c r="AC12" s="227">
        <v>250</v>
      </c>
      <c r="AD12" s="227">
        <v>399</v>
      </c>
      <c r="AE12" s="228">
        <v>3.54</v>
      </c>
      <c r="AF12" s="227"/>
      <c r="AG12" s="360">
        <f t="shared" si="4"/>
        <v>4.5999999999999996</v>
      </c>
      <c r="AI12" s="362">
        <f t="shared" si="5"/>
        <v>0.29943502824858748</v>
      </c>
      <c r="AK12" s="167">
        <v>11204</v>
      </c>
      <c r="AL12" s="167">
        <v>600</v>
      </c>
      <c r="AM12" s="167">
        <v>899</v>
      </c>
      <c r="AN12" s="165"/>
      <c r="AO12" s="168">
        <v>6.1981920000000006</v>
      </c>
      <c r="AP12" s="169">
        <v>8.3800000000000008</v>
      </c>
      <c r="AQ12" s="169">
        <v>12.28</v>
      </c>
      <c r="AR12" s="166"/>
      <c r="AS12" s="169">
        <v>6.82</v>
      </c>
      <c r="AT12" s="169">
        <v>9.2100000000000009</v>
      </c>
      <c r="AU12" s="169">
        <v>11.52</v>
      </c>
      <c r="AV12" s="166"/>
      <c r="AW12" s="169" t="s">
        <v>64</v>
      </c>
      <c r="AX12" s="169" t="s">
        <v>64</v>
      </c>
      <c r="AY12" s="169" t="s">
        <v>64</v>
      </c>
      <c r="AZ12" s="357"/>
      <c r="BA12" s="168">
        <v>6.73</v>
      </c>
      <c r="BB12" s="169">
        <v>9.09</v>
      </c>
      <c r="BC12" s="169">
        <v>13.32</v>
      </c>
      <c r="BD12" s="166"/>
      <c r="BE12" s="169">
        <v>7.4</v>
      </c>
      <c r="BF12" s="169">
        <v>9.99</v>
      </c>
      <c r="BG12" s="169">
        <v>12.5</v>
      </c>
      <c r="BH12" s="166"/>
      <c r="BI12" s="169" t="s">
        <v>64</v>
      </c>
      <c r="BJ12" s="169" t="s">
        <v>64</v>
      </c>
      <c r="BK12" s="169" t="s">
        <v>64</v>
      </c>
      <c r="BL12" s="362">
        <f t="shared" si="6"/>
        <v>8.5800504405155534E-2</v>
      </c>
    </row>
    <row r="13" spans="2:64">
      <c r="B13" s="156">
        <v>132</v>
      </c>
      <c r="C13" s="157" t="s">
        <v>6179</v>
      </c>
      <c r="D13" s="157" t="s">
        <v>6211</v>
      </c>
      <c r="E13" s="157">
        <v>700</v>
      </c>
      <c r="F13" s="157">
        <v>749</v>
      </c>
      <c r="G13" s="359">
        <v>1.56</v>
      </c>
      <c r="H13" s="296"/>
      <c r="I13" s="360">
        <f t="shared" si="0"/>
        <v>2.0299999999999998</v>
      </c>
      <c r="M13" s="125" t="s">
        <v>6438</v>
      </c>
      <c r="N13" s="116" t="s">
        <v>6439</v>
      </c>
      <c r="O13" s="116" t="s">
        <v>6457</v>
      </c>
      <c r="P13" s="116">
        <v>253</v>
      </c>
      <c r="Q13" s="116">
        <v>264</v>
      </c>
      <c r="R13" s="118">
        <v>2.57</v>
      </c>
      <c r="S13" s="118">
        <v>2.8784000000000001</v>
      </c>
      <c r="T13" s="153">
        <f t="shared" si="1"/>
        <v>0.12000000000000009</v>
      </c>
      <c r="U13" s="72">
        <f t="shared" si="2"/>
        <v>3.34</v>
      </c>
      <c r="V13" s="72">
        <f t="shared" si="3"/>
        <v>3.74</v>
      </c>
      <c r="Y13" s="227">
        <v>31</v>
      </c>
      <c r="Z13" s="227" t="s">
        <v>315</v>
      </c>
      <c r="AA13" s="227" t="s">
        <v>316</v>
      </c>
      <c r="AB13" s="227" t="s">
        <v>341</v>
      </c>
      <c r="AC13" s="227">
        <v>400</v>
      </c>
      <c r="AD13" s="227">
        <v>499</v>
      </c>
      <c r="AE13" s="228">
        <v>3.65</v>
      </c>
      <c r="AF13" s="227"/>
      <c r="AG13" s="360">
        <f t="shared" si="4"/>
        <v>4.75</v>
      </c>
      <c r="AI13" s="362">
        <f t="shared" si="5"/>
        <v>0.30136986301369867</v>
      </c>
      <c r="AK13" s="167">
        <v>11204</v>
      </c>
      <c r="AL13" s="167">
        <v>900</v>
      </c>
      <c r="AM13" s="167">
        <v>1199</v>
      </c>
      <c r="AN13" s="165"/>
      <c r="AO13" s="168">
        <v>6.5024959999999998</v>
      </c>
      <c r="AP13" s="169">
        <v>8.7799999999999994</v>
      </c>
      <c r="AQ13" s="169">
        <v>12.89</v>
      </c>
      <c r="AR13" s="166"/>
      <c r="AS13" s="169">
        <v>7.14</v>
      </c>
      <c r="AT13" s="169">
        <v>9.66</v>
      </c>
      <c r="AU13" s="169">
        <v>12.06</v>
      </c>
      <c r="AV13" s="166"/>
      <c r="AW13" s="169" t="s">
        <v>64</v>
      </c>
      <c r="AX13" s="169" t="s">
        <v>64</v>
      </c>
      <c r="AY13" s="169" t="s">
        <v>64</v>
      </c>
      <c r="AZ13" s="357"/>
      <c r="BA13" s="168">
        <v>7.05</v>
      </c>
      <c r="BB13" s="169">
        <v>9.5299999999999994</v>
      </c>
      <c r="BC13" s="169">
        <v>13.99</v>
      </c>
      <c r="BD13" s="166"/>
      <c r="BE13" s="169">
        <v>7.75</v>
      </c>
      <c r="BF13" s="169">
        <v>10.48</v>
      </c>
      <c r="BG13" s="169">
        <v>13.09</v>
      </c>
      <c r="BH13" s="166"/>
      <c r="BI13" s="169" t="s">
        <v>64</v>
      </c>
      <c r="BJ13" s="169" t="s">
        <v>64</v>
      </c>
      <c r="BK13" s="169" t="s">
        <v>64</v>
      </c>
      <c r="BL13" s="362">
        <f t="shared" si="6"/>
        <v>8.4199052179347741E-2</v>
      </c>
    </row>
    <row r="14" spans="2:64">
      <c r="B14" s="156">
        <v>132</v>
      </c>
      <c r="C14" s="157" t="s">
        <v>6179</v>
      </c>
      <c r="D14" s="157" t="s">
        <v>6212</v>
      </c>
      <c r="E14" s="157">
        <v>750</v>
      </c>
      <c r="F14" s="157">
        <v>799</v>
      </c>
      <c r="G14" s="359">
        <v>1.64</v>
      </c>
      <c r="H14" s="296"/>
      <c r="I14" s="360">
        <f t="shared" si="0"/>
        <v>2.13</v>
      </c>
      <c r="M14" s="125" t="s">
        <v>6438</v>
      </c>
      <c r="N14" s="116" t="s">
        <v>6439</v>
      </c>
      <c r="O14" s="116" t="s">
        <v>6458</v>
      </c>
      <c r="P14" s="116">
        <v>265</v>
      </c>
      <c r="Q14" s="116">
        <v>276</v>
      </c>
      <c r="R14" s="118">
        <v>2.67</v>
      </c>
      <c r="S14" s="118">
        <v>2.9904000000000002</v>
      </c>
      <c r="T14" s="153">
        <f t="shared" si="1"/>
        <v>0.12000000000000009</v>
      </c>
      <c r="U14" s="72">
        <f t="shared" si="2"/>
        <v>3.47</v>
      </c>
      <c r="V14" s="72">
        <f t="shared" si="3"/>
        <v>3.89</v>
      </c>
      <c r="Y14" s="227">
        <v>31</v>
      </c>
      <c r="Z14" s="227" t="s">
        <v>315</v>
      </c>
      <c r="AA14" s="227" t="s">
        <v>316</v>
      </c>
      <c r="AB14" s="227" t="s">
        <v>341</v>
      </c>
      <c r="AC14" s="227">
        <v>500</v>
      </c>
      <c r="AD14" s="227">
        <v>649</v>
      </c>
      <c r="AE14" s="228">
        <v>3.83</v>
      </c>
      <c r="AF14" s="227"/>
      <c r="AG14" s="360">
        <f t="shared" si="4"/>
        <v>4.9800000000000004</v>
      </c>
      <c r="AI14" s="362">
        <f t="shared" si="5"/>
        <v>0.30026109660574424</v>
      </c>
      <c r="AK14" s="167">
        <v>11204</v>
      </c>
      <c r="AL14" s="167">
        <v>1200</v>
      </c>
      <c r="AM14" s="167">
        <v>1499</v>
      </c>
      <c r="AN14" s="165"/>
      <c r="AO14" s="168">
        <v>6.8228159999999995</v>
      </c>
      <c r="AP14" s="169">
        <v>9.2100000000000009</v>
      </c>
      <c r="AQ14" s="169">
        <v>13.55</v>
      </c>
      <c r="AR14" s="166"/>
      <c r="AS14" s="169">
        <v>7.5</v>
      </c>
      <c r="AT14" s="169">
        <v>10.119999999999999</v>
      </c>
      <c r="AU14" s="169">
        <v>12.65</v>
      </c>
      <c r="AV14" s="166"/>
      <c r="AW14" s="169" t="s">
        <v>64</v>
      </c>
      <c r="AX14" s="169" t="s">
        <v>64</v>
      </c>
      <c r="AY14" s="169" t="s">
        <v>64</v>
      </c>
      <c r="AZ14" s="357"/>
      <c r="BA14" s="168">
        <v>7.4</v>
      </c>
      <c r="BB14" s="169">
        <v>9.99</v>
      </c>
      <c r="BC14" s="169">
        <v>14.7</v>
      </c>
      <c r="BD14" s="166"/>
      <c r="BE14" s="169">
        <v>8.14</v>
      </c>
      <c r="BF14" s="169">
        <v>10.98</v>
      </c>
      <c r="BG14" s="169">
        <v>13.73</v>
      </c>
      <c r="BH14" s="166"/>
      <c r="BI14" s="169" t="s">
        <v>64</v>
      </c>
      <c r="BJ14" s="169" t="s">
        <v>64</v>
      </c>
      <c r="BK14" s="169" t="s">
        <v>64</v>
      </c>
      <c r="BL14" s="362">
        <f t="shared" si="6"/>
        <v>8.4596155018690347E-2</v>
      </c>
    </row>
    <row r="15" spans="2:64">
      <c r="B15" s="156">
        <v>132</v>
      </c>
      <c r="C15" s="157" t="s">
        <v>6179</v>
      </c>
      <c r="D15" s="157" t="s">
        <v>6213</v>
      </c>
      <c r="E15" s="157">
        <v>800</v>
      </c>
      <c r="F15" s="157">
        <v>849</v>
      </c>
      <c r="G15" s="359">
        <v>1.72</v>
      </c>
      <c r="H15" s="296"/>
      <c r="I15" s="360">
        <f t="shared" si="0"/>
        <v>2.2400000000000002</v>
      </c>
      <c r="M15" s="125" t="s">
        <v>6438</v>
      </c>
      <c r="N15" s="116" t="s">
        <v>6439</v>
      </c>
      <c r="O15" s="116" t="s">
        <v>6459</v>
      </c>
      <c r="P15" s="116">
        <v>277</v>
      </c>
      <c r="Q15" s="116">
        <v>288</v>
      </c>
      <c r="R15" s="118">
        <v>2.77</v>
      </c>
      <c r="S15" s="118">
        <v>3.1024000000000003</v>
      </c>
      <c r="T15" s="153">
        <f t="shared" si="1"/>
        <v>0.12000000000000009</v>
      </c>
      <c r="U15" s="72">
        <f t="shared" si="2"/>
        <v>3.6</v>
      </c>
      <c r="V15" s="72">
        <f t="shared" si="3"/>
        <v>4.03</v>
      </c>
      <c r="Y15" s="227">
        <v>31</v>
      </c>
      <c r="Z15" s="227" t="s">
        <v>315</v>
      </c>
      <c r="AA15" s="227" t="s">
        <v>316</v>
      </c>
      <c r="AB15" s="227" t="s">
        <v>341</v>
      </c>
      <c r="AC15" s="227">
        <v>650</v>
      </c>
      <c r="AD15" s="227">
        <v>699</v>
      </c>
      <c r="AE15" s="228">
        <v>3.89</v>
      </c>
      <c r="AF15" s="227"/>
      <c r="AG15" s="360">
        <f t="shared" si="4"/>
        <v>5.0599999999999996</v>
      </c>
      <c r="AI15" s="362">
        <f t="shared" si="5"/>
        <v>0.30077120822622094</v>
      </c>
      <c r="AK15" s="167">
        <v>11204</v>
      </c>
      <c r="AL15" s="167">
        <v>1500</v>
      </c>
      <c r="AM15" s="167">
        <v>1799</v>
      </c>
      <c r="AN15" s="165"/>
      <c r="AO15" s="168">
        <v>7.1751680000000011</v>
      </c>
      <c r="AP15" s="169">
        <v>9.67</v>
      </c>
      <c r="AQ15" s="169">
        <v>14.22</v>
      </c>
      <c r="AR15" s="166"/>
      <c r="AS15" s="169">
        <v>7.88</v>
      </c>
      <c r="AT15" s="169">
        <v>10.65</v>
      </c>
      <c r="AU15" s="169">
        <v>13.31</v>
      </c>
      <c r="AV15" s="166"/>
      <c r="AW15" s="169" t="s">
        <v>64</v>
      </c>
      <c r="AX15" s="169" t="s">
        <v>64</v>
      </c>
      <c r="AY15" s="169" t="s">
        <v>64</v>
      </c>
      <c r="AZ15" s="357"/>
      <c r="BA15" s="168">
        <v>7.79</v>
      </c>
      <c r="BB15" s="169">
        <v>10.49</v>
      </c>
      <c r="BC15" s="169">
        <v>15.43</v>
      </c>
      <c r="BD15" s="166"/>
      <c r="BE15" s="169">
        <v>8.5500000000000007</v>
      </c>
      <c r="BF15" s="169">
        <v>11.56</v>
      </c>
      <c r="BG15" s="169">
        <v>14.44</v>
      </c>
      <c r="BH15" s="166"/>
      <c r="BI15" s="169" t="s">
        <v>64</v>
      </c>
      <c r="BJ15" s="169" t="s">
        <v>64</v>
      </c>
      <c r="BK15" s="169" t="s">
        <v>64</v>
      </c>
      <c r="BL15" s="362">
        <f t="shared" si="6"/>
        <v>8.5688864706721685E-2</v>
      </c>
    </row>
    <row r="16" spans="2:64">
      <c r="B16" s="156">
        <v>132</v>
      </c>
      <c r="C16" s="157" t="s">
        <v>6179</v>
      </c>
      <c r="D16" s="157" t="s">
        <v>6216</v>
      </c>
      <c r="E16" s="157">
        <v>850</v>
      </c>
      <c r="F16" s="157">
        <v>899</v>
      </c>
      <c r="G16" s="359">
        <v>1.8</v>
      </c>
      <c r="H16" s="296"/>
      <c r="I16" s="360">
        <f t="shared" si="0"/>
        <v>2.34</v>
      </c>
      <c r="M16" s="125" t="s">
        <v>6438</v>
      </c>
      <c r="N16" s="116" t="s">
        <v>6439</v>
      </c>
      <c r="O16" s="116" t="s">
        <v>6460</v>
      </c>
      <c r="P16" s="116">
        <v>289</v>
      </c>
      <c r="Q16" s="116">
        <v>300</v>
      </c>
      <c r="R16" s="118">
        <v>2.87</v>
      </c>
      <c r="S16" s="118">
        <v>3.2144000000000004</v>
      </c>
      <c r="T16" s="153">
        <f t="shared" si="1"/>
        <v>0.12000000000000009</v>
      </c>
      <c r="U16" s="72">
        <f t="shared" si="2"/>
        <v>3.73</v>
      </c>
      <c r="V16" s="72">
        <f t="shared" si="3"/>
        <v>4.18</v>
      </c>
      <c r="Y16" s="227">
        <v>31</v>
      </c>
      <c r="Z16" s="227" t="s">
        <v>315</v>
      </c>
      <c r="AA16" s="227" t="s">
        <v>316</v>
      </c>
      <c r="AB16" s="227" t="s">
        <v>341</v>
      </c>
      <c r="AC16" s="227">
        <v>700</v>
      </c>
      <c r="AD16" s="227">
        <v>999</v>
      </c>
      <c r="AE16" s="228">
        <v>4.25</v>
      </c>
      <c r="AF16" s="227"/>
      <c r="AG16" s="360">
        <f t="shared" si="4"/>
        <v>5.53</v>
      </c>
      <c r="AI16" s="362">
        <f t="shared" si="5"/>
        <v>0.30117647058823538</v>
      </c>
      <c r="AK16" s="167">
        <v>11204</v>
      </c>
      <c r="AL16" s="167">
        <v>1800</v>
      </c>
      <c r="AM16" s="167">
        <v>2099</v>
      </c>
      <c r="AN16" s="165"/>
      <c r="AO16" s="168">
        <v>7.5275200000000009</v>
      </c>
      <c r="AP16" s="169">
        <v>10.15</v>
      </c>
      <c r="AQ16" s="169">
        <v>9.69</v>
      </c>
      <c r="AR16" s="166"/>
      <c r="AS16" s="169">
        <v>8.2799999999999994</v>
      </c>
      <c r="AT16" s="169">
        <v>11.18</v>
      </c>
      <c r="AU16" s="169">
        <v>13.97</v>
      </c>
      <c r="AV16" s="166"/>
      <c r="AW16" s="169" t="s">
        <v>64</v>
      </c>
      <c r="AX16" s="169" t="s">
        <v>64</v>
      </c>
      <c r="AY16" s="169" t="s">
        <v>64</v>
      </c>
      <c r="AZ16" s="357"/>
      <c r="BA16" s="168">
        <v>8.17</v>
      </c>
      <c r="BB16" s="169">
        <v>11.01</v>
      </c>
      <c r="BC16" s="169">
        <v>10.51</v>
      </c>
      <c r="BD16" s="166"/>
      <c r="BE16" s="169">
        <v>8.98</v>
      </c>
      <c r="BF16" s="169">
        <v>12.13</v>
      </c>
      <c r="BG16" s="169">
        <v>15.16</v>
      </c>
      <c r="BH16" s="166"/>
      <c r="BI16" s="169" t="s">
        <v>64</v>
      </c>
      <c r="BJ16" s="169" t="s">
        <v>64</v>
      </c>
      <c r="BK16" s="169" t="s">
        <v>64</v>
      </c>
      <c r="BL16" s="362">
        <f t="shared" si="6"/>
        <v>8.5350819393372454E-2</v>
      </c>
    </row>
    <row r="17" spans="2:64">
      <c r="B17" s="156">
        <v>132</v>
      </c>
      <c r="C17" s="157" t="s">
        <v>6179</v>
      </c>
      <c r="D17" s="157" t="s">
        <v>6221</v>
      </c>
      <c r="E17" s="157">
        <v>900</v>
      </c>
      <c r="F17" s="157">
        <v>949</v>
      </c>
      <c r="G17" s="359">
        <v>1.88</v>
      </c>
      <c r="H17" s="296"/>
      <c r="I17" s="360">
        <f t="shared" si="0"/>
        <v>2.44</v>
      </c>
      <c r="M17" s="125" t="s">
        <v>6438</v>
      </c>
      <c r="N17" s="116" t="s">
        <v>6439</v>
      </c>
      <c r="O17" s="116" t="s">
        <v>6461</v>
      </c>
      <c r="P17" s="116">
        <v>301</v>
      </c>
      <c r="Q17" s="116">
        <v>312</v>
      </c>
      <c r="R17" s="118">
        <v>2.98</v>
      </c>
      <c r="S17" s="118">
        <v>3.3376000000000001</v>
      </c>
      <c r="T17" s="153">
        <f t="shared" si="1"/>
        <v>0.12000000000000005</v>
      </c>
      <c r="U17" s="72">
        <f t="shared" si="2"/>
        <v>3.87</v>
      </c>
      <c r="V17" s="72">
        <f t="shared" si="3"/>
        <v>4.33</v>
      </c>
      <c r="Y17" s="227">
        <v>31</v>
      </c>
      <c r="Z17" s="227" t="s">
        <v>315</v>
      </c>
      <c r="AA17" s="227" t="s">
        <v>316</v>
      </c>
      <c r="AB17" s="227" t="s">
        <v>341</v>
      </c>
      <c r="AC17" s="227">
        <v>1000</v>
      </c>
      <c r="AD17" s="227">
        <v>1145</v>
      </c>
      <c r="AE17" s="228">
        <v>4.42</v>
      </c>
      <c r="AF17" s="227"/>
      <c r="AG17" s="360">
        <f t="shared" si="4"/>
        <v>5.75</v>
      </c>
      <c r="AI17" s="362">
        <f t="shared" si="5"/>
        <v>0.30090497737556565</v>
      </c>
      <c r="AK17" s="174">
        <v>12104</v>
      </c>
      <c r="AL17" s="174">
        <v>1</v>
      </c>
      <c r="AM17" s="174">
        <v>299</v>
      </c>
      <c r="AN17" s="165"/>
      <c r="AO17" s="175">
        <v>5.1236639999999998</v>
      </c>
      <c r="AP17" s="175">
        <v>6.92</v>
      </c>
      <c r="AQ17" s="175">
        <v>10.199999999999999</v>
      </c>
      <c r="AR17" s="166"/>
      <c r="AS17" s="175" t="s">
        <v>64</v>
      </c>
      <c r="AT17" s="175" t="s">
        <v>64</v>
      </c>
      <c r="AU17" s="175" t="s">
        <v>64</v>
      </c>
      <c r="AV17" s="166"/>
      <c r="AW17" s="175" t="s">
        <v>64</v>
      </c>
      <c r="AX17" s="175" t="s">
        <v>64</v>
      </c>
      <c r="AY17" s="175" t="s">
        <v>64</v>
      </c>
      <c r="AZ17" s="357"/>
      <c r="BA17" s="175" t="s">
        <v>64</v>
      </c>
      <c r="BB17" s="175" t="s">
        <v>64</v>
      </c>
      <c r="BC17" s="175" t="s">
        <v>64</v>
      </c>
      <c r="BD17" s="166"/>
      <c r="BE17" s="175" t="s">
        <v>64</v>
      </c>
      <c r="BF17" s="175" t="s">
        <v>64</v>
      </c>
      <c r="BG17" s="175" t="s">
        <v>64</v>
      </c>
      <c r="BH17" s="166"/>
      <c r="BI17" s="175" t="s">
        <v>64</v>
      </c>
      <c r="BJ17" s="175" t="s">
        <v>64</v>
      </c>
      <c r="BK17" s="175" t="s">
        <v>64</v>
      </c>
      <c r="BL17" s="362" t="e">
        <f t="shared" si="6"/>
        <v>#VALUE!</v>
      </c>
    </row>
    <row r="18" spans="2:64">
      <c r="B18" s="156">
        <v>132</v>
      </c>
      <c r="C18" s="157" t="s">
        <v>6179</v>
      </c>
      <c r="D18" s="157" t="s">
        <v>6222</v>
      </c>
      <c r="E18" s="157">
        <v>950</v>
      </c>
      <c r="F18" s="157">
        <v>999</v>
      </c>
      <c r="G18" s="359">
        <v>1.96</v>
      </c>
      <c r="H18" s="296"/>
      <c r="I18" s="360">
        <f t="shared" si="0"/>
        <v>2.5499999999999998</v>
      </c>
      <c r="M18" s="125" t="s">
        <v>6438</v>
      </c>
      <c r="N18" s="116" t="s">
        <v>6439</v>
      </c>
      <c r="O18" s="116" t="s">
        <v>6462</v>
      </c>
      <c r="P18" s="116">
        <v>313</v>
      </c>
      <c r="Q18" s="116">
        <v>324</v>
      </c>
      <c r="R18" s="118">
        <v>3.09</v>
      </c>
      <c r="S18" s="118">
        <v>3.4608000000000003</v>
      </c>
      <c r="T18" s="153">
        <f t="shared" si="1"/>
        <v>0.12000000000000016</v>
      </c>
      <c r="U18" s="72">
        <f t="shared" si="2"/>
        <v>4.0199999999999996</v>
      </c>
      <c r="V18" s="72">
        <f t="shared" si="3"/>
        <v>4.5</v>
      </c>
      <c r="Y18" s="223">
        <v>31</v>
      </c>
      <c r="Z18" s="223" t="s">
        <v>315</v>
      </c>
      <c r="AA18" s="223" t="s">
        <v>316</v>
      </c>
      <c r="AB18" s="223" t="s">
        <v>351</v>
      </c>
      <c r="AC18" s="223">
        <v>16</v>
      </c>
      <c r="AD18" s="223">
        <v>499</v>
      </c>
      <c r="AE18" s="224">
        <v>3.78</v>
      </c>
      <c r="AF18" s="223"/>
      <c r="AG18" s="360">
        <f t="shared" si="4"/>
        <v>4.91</v>
      </c>
      <c r="AI18" s="362">
        <f t="shared" si="5"/>
        <v>0.29894179894179906</v>
      </c>
      <c r="AK18" s="174">
        <v>12104</v>
      </c>
      <c r="AL18" s="174">
        <v>300</v>
      </c>
      <c r="AM18" s="174">
        <v>599</v>
      </c>
      <c r="AN18" s="165"/>
      <c r="AO18" s="175">
        <v>5.3949167999999998</v>
      </c>
      <c r="AP18" s="175">
        <v>7.28</v>
      </c>
      <c r="AQ18" s="175">
        <v>10.68</v>
      </c>
      <c r="AR18" s="166"/>
      <c r="AS18" s="175" t="s">
        <v>64</v>
      </c>
      <c r="AT18" s="175" t="s">
        <v>64</v>
      </c>
      <c r="AU18" s="175" t="s">
        <v>64</v>
      </c>
      <c r="AV18" s="166"/>
      <c r="AW18" s="175" t="s">
        <v>64</v>
      </c>
      <c r="AX18" s="175" t="s">
        <v>64</v>
      </c>
      <c r="AY18" s="175" t="s">
        <v>64</v>
      </c>
      <c r="AZ18" s="357"/>
      <c r="BA18" s="175" t="s">
        <v>64</v>
      </c>
      <c r="BB18" s="175" t="s">
        <v>64</v>
      </c>
      <c r="BC18" s="175" t="s">
        <v>64</v>
      </c>
      <c r="BD18" s="166"/>
      <c r="BE18" s="175" t="s">
        <v>64</v>
      </c>
      <c r="BF18" s="175" t="s">
        <v>64</v>
      </c>
      <c r="BG18" s="175" t="s">
        <v>64</v>
      </c>
      <c r="BH18" s="166"/>
      <c r="BI18" s="175" t="s">
        <v>64</v>
      </c>
      <c r="BJ18" s="175" t="s">
        <v>64</v>
      </c>
      <c r="BK18" s="175" t="s">
        <v>64</v>
      </c>
      <c r="BL18" s="362" t="e">
        <f t="shared" si="6"/>
        <v>#VALUE!</v>
      </c>
    </row>
    <row r="19" spans="2:64">
      <c r="B19" s="156">
        <v>132</v>
      </c>
      <c r="C19" s="157" t="s">
        <v>6179</v>
      </c>
      <c r="D19" s="157" t="s">
        <v>6224</v>
      </c>
      <c r="E19" s="157">
        <v>1000</v>
      </c>
      <c r="F19" s="157">
        <v>1499</v>
      </c>
      <c r="G19" s="359">
        <v>2.89</v>
      </c>
      <c r="I19" s="360">
        <f t="shared" si="0"/>
        <v>3.76</v>
      </c>
      <c r="M19" s="125" t="s">
        <v>6438</v>
      </c>
      <c r="N19" s="116" t="s">
        <v>6439</v>
      </c>
      <c r="O19" s="116" t="s">
        <v>6463</v>
      </c>
      <c r="P19" s="116">
        <v>325</v>
      </c>
      <c r="Q19" s="116">
        <v>336</v>
      </c>
      <c r="R19" s="118">
        <v>3.2</v>
      </c>
      <c r="S19" s="118">
        <v>3.5840000000000005</v>
      </c>
      <c r="T19" s="153">
        <f t="shared" si="1"/>
        <v>0.12000000000000011</v>
      </c>
      <c r="U19" s="72">
        <f t="shared" si="2"/>
        <v>4.16</v>
      </c>
      <c r="V19" s="72">
        <f t="shared" si="3"/>
        <v>4.66</v>
      </c>
      <c r="Y19" s="227">
        <v>31</v>
      </c>
      <c r="Z19" s="227" t="s">
        <v>315</v>
      </c>
      <c r="AA19" s="227" t="s">
        <v>316</v>
      </c>
      <c r="AB19" s="227" t="s">
        <v>351</v>
      </c>
      <c r="AC19" s="227">
        <v>500</v>
      </c>
      <c r="AD19" s="227">
        <v>649</v>
      </c>
      <c r="AE19" s="228">
        <v>3.96</v>
      </c>
      <c r="AF19" s="227"/>
      <c r="AG19" s="360">
        <f t="shared" si="4"/>
        <v>5.15</v>
      </c>
      <c r="AI19" s="362">
        <f t="shared" si="5"/>
        <v>0.30050505050505061</v>
      </c>
      <c r="AK19" s="174">
        <v>12104</v>
      </c>
      <c r="AL19" s="174">
        <v>600</v>
      </c>
      <c r="AM19" s="174">
        <v>899</v>
      </c>
      <c r="AN19" s="165"/>
      <c r="AO19" s="175">
        <v>5.6510999999999987</v>
      </c>
      <c r="AP19" s="175">
        <v>7.63</v>
      </c>
      <c r="AQ19" s="175">
        <v>11.23</v>
      </c>
      <c r="AR19" s="166"/>
      <c r="AS19" s="175" t="s">
        <v>64</v>
      </c>
      <c r="AT19" s="175" t="s">
        <v>64</v>
      </c>
      <c r="AU19" s="175" t="s">
        <v>64</v>
      </c>
      <c r="AV19" s="166"/>
      <c r="AW19" s="175" t="s">
        <v>64</v>
      </c>
      <c r="AX19" s="175" t="s">
        <v>64</v>
      </c>
      <c r="AY19" s="175" t="s">
        <v>64</v>
      </c>
      <c r="AZ19" s="357"/>
      <c r="BA19" s="175" t="s">
        <v>64</v>
      </c>
      <c r="BB19" s="175" t="s">
        <v>64</v>
      </c>
      <c r="BC19" s="175" t="s">
        <v>64</v>
      </c>
      <c r="BD19" s="166"/>
      <c r="BE19" s="175" t="s">
        <v>64</v>
      </c>
      <c r="BF19" s="175" t="s">
        <v>64</v>
      </c>
      <c r="BG19" s="175" t="s">
        <v>64</v>
      </c>
      <c r="BH19" s="166"/>
      <c r="BI19" s="175" t="s">
        <v>64</v>
      </c>
      <c r="BJ19" s="175" t="s">
        <v>64</v>
      </c>
      <c r="BK19" s="175" t="s">
        <v>64</v>
      </c>
      <c r="BL19" s="362" t="e">
        <f t="shared" si="6"/>
        <v>#VALUE!</v>
      </c>
    </row>
    <row r="20" spans="2:64">
      <c r="B20" s="156">
        <v>132</v>
      </c>
      <c r="C20" s="157" t="s">
        <v>6179</v>
      </c>
      <c r="D20" t="s">
        <v>6227</v>
      </c>
      <c r="E20">
        <v>1500</v>
      </c>
      <c r="F20">
        <v>1999</v>
      </c>
      <c r="G20" s="360">
        <v>3.82</v>
      </c>
      <c r="I20" s="360">
        <f t="shared" si="0"/>
        <v>4.97</v>
      </c>
      <c r="M20" s="125" t="s">
        <v>6438</v>
      </c>
      <c r="N20" s="116" t="s">
        <v>6439</v>
      </c>
      <c r="O20" s="116" t="s">
        <v>6464</v>
      </c>
      <c r="P20" s="116">
        <v>337</v>
      </c>
      <c r="Q20" s="116">
        <v>348</v>
      </c>
      <c r="R20" s="118">
        <v>3.31</v>
      </c>
      <c r="S20" s="118">
        <v>3.7072000000000003</v>
      </c>
      <c r="T20" s="153">
        <f t="shared" si="1"/>
        <v>0.12000000000000006</v>
      </c>
      <c r="U20" s="72">
        <f t="shared" si="2"/>
        <v>4.3</v>
      </c>
      <c r="V20" s="72">
        <f t="shared" si="3"/>
        <v>4.82</v>
      </c>
      <c r="Y20" s="227">
        <v>31</v>
      </c>
      <c r="Z20" s="227" t="s">
        <v>315</v>
      </c>
      <c r="AA20" s="227" t="s">
        <v>316</v>
      </c>
      <c r="AB20" s="227" t="s">
        <v>351</v>
      </c>
      <c r="AC20" s="227">
        <v>650</v>
      </c>
      <c r="AD20" s="227">
        <v>799</v>
      </c>
      <c r="AE20" s="228">
        <v>4.1399999999999997</v>
      </c>
      <c r="AF20" s="227"/>
      <c r="AG20" s="360">
        <f t="shared" si="4"/>
        <v>5.38</v>
      </c>
      <c r="AI20" s="362">
        <f t="shared" si="5"/>
        <v>0.29951690821256044</v>
      </c>
      <c r="AK20" s="174">
        <v>12104</v>
      </c>
      <c r="AL20" s="174">
        <v>900</v>
      </c>
      <c r="AM20" s="174">
        <v>1199</v>
      </c>
      <c r="AN20" s="165"/>
      <c r="AO20" s="175">
        <v>5.9374223999999991</v>
      </c>
      <c r="AP20" s="175">
        <v>8.02</v>
      </c>
      <c r="AQ20" s="175">
        <v>11.78</v>
      </c>
      <c r="AR20" s="166"/>
      <c r="AS20" s="175" t="s">
        <v>64</v>
      </c>
      <c r="AT20" s="175" t="s">
        <v>64</v>
      </c>
      <c r="AU20" s="175" t="s">
        <v>64</v>
      </c>
      <c r="AV20" s="166"/>
      <c r="AW20" s="175" t="s">
        <v>64</v>
      </c>
      <c r="AX20" s="175" t="s">
        <v>64</v>
      </c>
      <c r="AY20" s="175" t="s">
        <v>64</v>
      </c>
      <c r="AZ20" s="357"/>
      <c r="BA20" s="175" t="s">
        <v>64</v>
      </c>
      <c r="BB20" s="175" t="s">
        <v>64</v>
      </c>
      <c r="BC20" s="175" t="s">
        <v>64</v>
      </c>
      <c r="BD20" s="166"/>
      <c r="BE20" s="175" t="s">
        <v>64</v>
      </c>
      <c r="BF20" s="175" t="s">
        <v>64</v>
      </c>
      <c r="BG20" s="175" t="s">
        <v>64</v>
      </c>
      <c r="BH20" s="166"/>
      <c r="BI20" s="175" t="s">
        <v>64</v>
      </c>
      <c r="BJ20" s="175" t="s">
        <v>64</v>
      </c>
      <c r="BK20" s="175" t="s">
        <v>64</v>
      </c>
      <c r="BL20" s="362" t="e">
        <f t="shared" si="6"/>
        <v>#VALUE!</v>
      </c>
    </row>
    <row r="21" spans="2:64">
      <c r="B21" s="156">
        <v>132</v>
      </c>
      <c r="C21" s="157" t="s">
        <v>6179</v>
      </c>
      <c r="D21" t="s">
        <v>6229</v>
      </c>
      <c r="E21">
        <v>2000</v>
      </c>
      <c r="F21">
        <v>2499</v>
      </c>
      <c r="G21" s="360">
        <v>4.75</v>
      </c>
      <c r="I21" s="360">
        <f t="shared" si="0"/>
        <v>6.18</v>
      </c>
      <c r="M21" s="125" t="s">
        <v>6438</v>
      </c>
      <c r="N21" s="116" t="s">
        <v>6439</v>
      </c>
      <c r="O21" s="116" t="s">
        <v>6466</v>
      </c>
      <c r="P21" s="116">
        <v>349</v>
      </c>
      <c r="Q21" s="116">
        <v>360</v>
      </c>
      <c r="R21" s="118">
        <v>3.42</v>
      </c>
      <c r="S21" s="118">
        <v>3.8304000000000005</v>
      </c>
      <c r="T21" s="153">
        <f t="shared" si="1"/>
        <v>0.12000000000000016</v>
      </c>
      <c r="U21" s="72">
        <f t="shared" si="2"/>
        <v>4.45</v>
      </c>
      <c r="V21" s="72">
        <f t="shared" si="3"/>
        <v>4.9800000000000004</v>
      </c>
      <c r="Y21" s="227">
        <v>31</v>
      </c>
      <c r="Z21" s="227" t="s">
        <v>315</v>
      </c>
      <c r="AA21" s="227" t="s">
        <v>316</v>
      </c>
      <c r="AB21" s="227" t="s">
        <v>351</v>
      </c>
      <c r="AC21" s="227">
        <v>800</v>
      </c>
      <c r="AD21" s="227">
        <v>1099</v>
      </c>
      <c r="AE21" s="228">
        <v>4.5</v>
      </c>
      <c r="AF21" s="227"/>
      <c r="AG21" s="360">
        <f t="shared" si="4"/>
        <v>5.85</v>
      </c>
      <c r="AI21" s="362">
        <f t="shared" si="5"/>
        <v>0.29999999999999993</v>
      </c>
      <c r="AK21" s="174">
        <v>12104</v>
      </c>
      <c r="AL21" s="174">
        <v>1200</v>
      </c>
      <c r="AM21" s="174">
        <v>1499</v>
      </c>
      <c r="AN21" s="165"/>
      <c r="AO21" s="175">
        <v>6.238814399999999</v>
      </c>
      <c r="AP21" s="175">
        <v>8.42</v>
      </c>
      <c r="AQ21" s="175">
        <v>12.39</v>
      </c>
      <c r="AR21" s="166"/>
      <c r="AS21" s="175" t="s">
        <v>64</v>
      </c>
      <c r="AT21" s="175" t="s">
        <v>64</v>
      </c>
      <c r="AU21" s="175" t="s">
        <v>64</v>
      </c>
      <c r="AV21" s="166"/>
      <c r="AW21" s="175" t="s">
        <v>64</v>
      </c>
      <c r="AX21" s="175" t="s">
        <v>64</v>
      </c>
      <c r="AY21" s="175" t="s">
        <v>64</v>
      </c>
      <c r="AZ21" s="357"/>
      <c r="BA21" s="175" t="s">
        <v>64</v>
      </c>
      <c r="BB21" s="175" t="s">
        <v>64</v>
      </c>
      <c r="BC21" s="175" t="s">
        <v>64</v>
      </c>
      <c r="BD21" s="166"/>
      <c r="BE21" s="175" t="s">
        <v>64</v>
      </c>
      <c r="BF21" s="175" t="s">
        <v>64</v>
      </c>
      <c r="BG21" s="175" t="s">
        <v>64</v>
      </c>
      <c r="BH21" s="166"/>
      <c r="BI21" s="175" t="s">
        <v>64</v>
      </c>
      <c r="BJ21" s="175" t="s">
        <v>64</v>
      </c>
      <c r="BK21" s="175" t="s">
        <v>64</v>
      </c>
      <c r="BL21" s="362" t="e">
        <f t="shared" si="6"/>
        <v>#VALUE!</v>
      </c>
    </row>
    <row r="22" spans="2:64">
      <c r="B22" s="156">
        <v>132</v>
      </c>
      <c r="C22" s="157" t="s">
        <v>6179</v>
      </c>
      <c r="D22" t="s">
        <v>6231</v>
      </c>
      <c r="E22">
        <v>2500</v>
      </c>
      <c r="F22">
        <v>2999</v>
      </c>
      <c r="G22" s="360">
        <v>5.68</v>
      </c>
      <c r="I22" s="360">
        <f t="shared" si="0"/>
        <v>7.38</v>
      </c>
      <c r="M22" s="125" t="s">
        <v>6438</v>
      </c>
      <c r="N22" s="116" t="s">
        <v>6439</v>
      </c>
      <c r="O22" s="116" t="s">
        <v>6468</v>
      </c>
      <c r="P22" s="116">
        <v>361</v>
      </c>
      <c r="Q22" s="116">
        <v>372</v>
      </c>
      <c r="R22" s="118">
        <v>3.53</v>
      </c>
      <c r="S22" s="118">
        <v>3.9536000000000002</v>
      </c>
      <c r="T22" s="153">
        <f t="shared" si="1"/>
        <v>0.12000000000000012</v>
      </c>
      <c r="U22" s="72">
        <f t="shared" si="2"/>
        <v>4.59</v>
      </c>
      <c r="V22" s="72">
        <f t="shared" si="3"/>
        <v>5.14</v>
      </c>
      <c r="Y22" s="227">
        <v>31</v>
      </c>
      <c r="Z22" s="227" t="s">
        <v>315</v>
      </c>
      <c r="AA22" s="227" t="s">
        <v>316</v>
      </c>
      <c r="AB22" s="227" t="s">
        <v>351</v>
      </c>
      <c r="AC22" s="227">
        <v>1100</v>
      </c>
      <c r="AD22" s="227">
        <v>1299</v>
      </c>
      <c r="AE22" s="228">
        <v>4.7300000000000004</v>
      </c>
      <c r="AF22" s="227"/>
      <c r="AG22" s="360">
        <f t="shared" si="4"/>
        <v>6.15</v>
      </c>
      <c r="AI22" s="362">
        <f t="shared" si="5"/>
        <v>0.30021141649048622</v>
      </c>
      <c r="AK22" s="174">
        <v>12104</v>
      </c>
      <c r="AL22" s="174">
        <v>1500</v>
      </c>
      <c r="AM22" s="174">
        <v>1799</v>
      </c>
      <c r="AN22" s="165"/>
      <c r="AO22" s="175">
        <v>6.5552759999999992</v>
      </c>
      <c r="AP22" s="175">
        <v>8.85</v>
      </c>
      <c r="AQ22" s="175">
        <v>13.02</v>
      </c>
      <c r="AR22" s="166"/>
      <c r="AS22" s="175" t="s">
        <v>64</v>
      </c>
      <c r="AT22" s="175" t="s">
        <v>64</v>
      </c>
      <c r="AU22" s="175" t="s">
        <v>64</v>
      </c>
      <c r="AV22" s="166"/>
      <c r="AW22" s="175" t="s">
        <v>64</v>
      </c>
      <c r="AX22" s="175" t="s">
        <v>64</v>
      </c>
      <c r="AY22" s="175" t="s">
        <v>64</v>
      </c>
      <c r="AZ22" s="357"/>
      <c r="BA22" s="175" t="s">
        <v>64</v>
      </c>
      <c r="BB22" s="175" t="s">
        <v>64</v>
      </c>
      <c r="BC22" s="175" t="s">
        <v>64</v>
      </c>
      <c r="BD22" s="166"/>
      <c r="BE22" s="175" t="s">
        <v>64</v>
      </c>
      <c r="BF22" s="175" t="s">
        <v>64</v>
      </c>
      <c r="BG22" s="175" t="s">
        <v>64</v>
      </c>
      <c r="BH22" s="166"/>
      <c r="BI22" s="175" t="s">
        <v>64</v>
      </c>
      <c r="BJ22" s="175" t="s">
        <v>64</v>
      </c>
      <c r="BK22" s="175" t="s">
        <v>64</v>
      </c>
      <c r="BL22" s="362" t="e">
        <f t="shared" si="6"/>
        <v>#VALUE!</v>
      </c>
    </row>
    <row r="23" spans="2:64">
      <c r="B23" s="156">
        <v>132</v>
      </c>
      <c r="C23" s="157" t="s">
        <v>6179</v>
      </c>
      <c r="D23" t="s">
        <v>6234</v>
      </c>
      <c r="E23">
        <v>3000</v>
      </c>
      <c r="F23">
        <v>3499</v>
      </c>
      <c r="G23" s="360">
        <v>6.61</v>
      </c>
      <c r="I23" s="360">
        <f t="shared" si="0"/>
        <v>8.59</v>
      </c>
      <c r="M23" s="125" t="s">
        <v>6438</v>
      </c>
      <c r="N23" s="116" t="s">
        <v>6439</v>
      </c>
      <c r="O23" s="116" t="s">
        <v>6469</v>
      </c>
      <c r="P23" s="116">
        <v>373</v>
      </c>
      <c r="Q23" s="116">
        <v>384</v>
      </c>
      <c r="R23" s="118">
        <v>3.64</v>
      </c>
      <c r="S23" s="118">
        <v>4.0768000000000004</v>
      </c>
      <c r="T23" s="153">
        <f t="shared" si="1"/>
        <v>0.12000000000000008</v>
      </c>
      <c r="U23" s="72">
        <f t="shared" si="2"/>
        <v>4.7300000000000004</v>
      </c>
      <c r="V23" s="72">
        <f t="shared" si="3"/>
        <v>5.3</v>
      </c>
      <c r="Y23" s="236">
        <v>31</v>
      </c>
      <c r="Z23" s="236" t="s">
        <v>315</v>
      </c>
      <c r="AA23" s="236" t="s">
        <v>316</v>
      </c>
      <c r="AB23" s="236" t="s">
        <v>351</v>
      </c>
      <c r="AC23" s="236">
        <v>1300</v>
      </c>
      <c r="AD23" s="236">
        <v>1499</v>
      </c>
      <c r="AE23" s="237">
        <v>7.98</v>
      </c>
      <c r="AF23" s="236"/>
      <c r="AG23" s="360">
        <f t="shared" si="4"/>
        <v>10.37</v>
      </c>
      <c r="AI23" s="362">
        <f t="shared" si="5"/>
        <v>0.29949874686716776</v>
      </c>
      <c r="AK23" s="174">
        <v>12104</v>
      </c>
      <c r="AL23" s="174">
        <v>1800</v>
      </c>
      <c r="AM23" s="174">
        <v>2099</v>
      </c>
      <c r="AN23" s="165"/>
      <c r="AO23" s="175">
        <v>6.8868071999999989</v>
      </c>
      <c r="AP23" s="175">
        <v>9.3000000000000007</v>
      </c>
      <c r="AQ23" s="175">
        <v>16.32</v>
      </c>
      <c r="AR23" s="166"/>
      <c r="AS23" s="175" t="s">
        <v>64</v>
      </c>
      <c r="AT23" s="175" t="s">
        <v>64</v>
      </c>
      <c r="AU23" s="175" t="s">
        <v>64</v>
      </c>
      <c r="AV23" s="166"/>
      <c r="AW23" s="175" t="s">
        <v>64</v>
      </c>
      <c r="AX23" s="175" t="s">
        <v>64</v>
      </c>
      <c r="AY23" s="175" t="s">
        <v>64</v>
      </c>
      <c r="AZ23" s="357"/>
      <c r="BA23" s="175" t="s">
        <v>64</v>
      </c>
      <c r="BB23" s="175" t="s">
        <v>64</v>
      </c>
      <c r="BC23" s="175" t="s">
        <v>64</v>
      </c>
      <c r="BD23" s="166"/>
      <c r="BE23" s="175" t="s">
        <v>64</v>
      </c>
      <c r="BF23" s="175" t="s">
        <v>64</v>
      </c>
      <c r="BG23" s="175" t="s">
        <v>64</v>
      </c>
      <c r="BH23" s="166"/>
      <c r="BI23" s="175" t="s">
        <v>64</v>
      </c>
      <c r="BJ23" s="175" t="s">
        <v>64</v>
      </c>
      <c r="BK23" s="175" t="s">
        <v>64</v>
      </c>
      <c r="BL23" s="362" t="e">
        <f t="shared" si="6"/>
        <v>#VALUE!</v>
      </c>
    </row>
    <row r="24" spans="2:64">
      <c r="B24" s="156">
        <v>132</v>
      </c>
      <c r="C24" s="157" t="s">
        <v>6179</v>
      </c>
      <c r="D24" t="s">
        <v>6236</v>
      </c>
      <c r="E24">
        <v>3500</v>
      </c>
      <c r="F24">
        <v>3999</v>
      </c>
      <c r="G24" s="360">
        <v>7.54</v>
      </c>
      <c r="I24" s="360">
        <f t="shared" si="0"/>
        <v>9.8000000000000007</v>
      </c>
      <c r="M24" s="125" t="s">
        <v>6438</v>
      </c>
      <c r="N24" s="116" t="s">
        <v>6439</v>
      </c>
      <c r="O24" s="116" t="s">
        <v>6470</v>
      </c>
      <c r="P24" s="116">
        <v>385</v>
      </c>
      <c r="Q24" s="116">
        <v>396</v>
      </c>
      <c r="R24" s="118">
        <v>3.75</v>
      </c>
      <c r="S24" s="118">
        <v>4.2</v>
      </c>
      <c r="T24" s="153">
        <f t="shared" si="1"/>
        <v>0.12000000000000005</v>
      </c>
      <c r="U24" s="72">
        <f t="shared" si="2"/>
        <v>4.88</v>
      </c>
      <c r="V24" s="72">
        <f t="shared" si="3"/>
        <v>5.47</v>
      </c>
      <c r="Y24" s="236">
        <v>31</v>
      </c>
      <c r="Z24" s="236" t="s">
        <v>315</v>
      </c>
      <c r="AA24" s="236" t="s">
        <v>316</v>
      </c>
      <c r="AB24" s="236" t="s">
        <v>351</v>
      </c>
      <c r="AC24" s="236">
        <v>1500</v>
      </c>
      <c r="AD24" s="236">
        <v>1699</v>
      </c>
      <c r="AE24" s="237">
        <v>8.57</v>
      </c>
      <c r="AF24" s="236"/>
      <c r="AG24" s="360">
        <f t="shared" si="4"/>
        <v>11.14</v>
      </c>
      <c r="AI24" s="362">
        <f t="shared" si="5"/>
        <v>0.29988331388564765</v>
      </c>
      <c r="AK24" s="181">
        <v>12204</v>
      </c>
      <c r="AL24" s="181">
        <v>1</v>
      </c>
      <c r="AM24" s="181">
        <v>299</v>
      </c>
      <c r="AN24" s="165"/>
      <c r="AO24" s="182">
        <v>5.6360304000000001</v>
      </c>
      <c r="AP24" s="182">
        <v>7.61</v>
      </c>
      <c r="AQ24" s="182">
        <v>10.4</v>
      </c>
      <c r="AR24" s="166"/>
      <c r="AS24" s="182">
        <v>6.19</v>
      </c>
      <c r="AT24" s="182">
        <v>8.06</v>
      </c>
      <c r="AU24" s="182">
        <v>10.08</v>
      </c>
      <c r="AV24" s="166"/>
      <c r="AW24" s="182" t="s">
        <v>64</v>
      </c>
      <c r="AX24" s="182" t="s">
        <v>64</v>
      </c>
      <c r="AY24" s="182" t="s">
        <v>64</v>
      </c>
      <c r="AZ24" s="357"/>
      <c r="BA24" s="182">
        <v>6.12</v>
      </c>
      <c r="BB24" s="182">
        <v>8.26</v>
      </c>
      <c r="BC24" s="182">
        <v>11.28</v>
      </c>
      <c r="BD24" s="166"/>
      <c r="BE24" s="182">
        <v>6.72</v>
      </c>
      <c r="BF24" s="182">
        <v>8.75</v>
      </c>
      <c r="BG24" s="182">
        <v>10.94</v>
      </c>
      <c r="BH24" s="166"/>
      <c r="BI24" s="182" t="s">
        <v>64</v>
      </c>
      <c r="BJ24" s="182" t="s">
        <v>64</v>
      </c>
      <c r="BK24" s="182" t="s">
        <v>64</v>
      </c>
      <c r="BL24" s="362">
        <f t="shared" si="6"/>
        <v>8.5870651088042385E-2</v>
      </c>
    </row>
    <row r="25" spans="2:64">
      <c r="B25" s="156">
        <v>132</v>
      </c>
      <c r="C25" s="157" t="s">
        <v>6179</v>
      </c>
      <c r="D25" t="s">
        <v>6238</v>
      </c>
      <c r="E25">
        <v>4000</v>
      </c>
      <c r="F25">
        <v>4499</v>
      </c>
      <c r="G25" s="360">
        <v>8.4700000000000006</v>
      </c>
      <c r="I25" s="360">
        <f t="shared" si="0"/>
        <v>11.01</v>
      </c>
      <c r="M25" s="125" t="s">
        <v>6438</v>
      </c>
      <c r="N25" s="116" t="s">
        <v>6439</v>
      </c>
      <c r="O25" s="116" t="s">
        <v>6471</v>
      </c>
      <c r="P25" s="116">
        <v>397</v>
      </c>
      <c r="Q25" s="116">
        <v>408</v>
      </c>
      <c r="R25" s="118">
        <v>3.86</v>
      </c>
      <c r="S25" s="118">
        <v>4.3231999999999999</v>
      </c>
      <c r="T25" s="153">
        <f t="shared" si="1"/>
        <v>0.12000000000000002</v>
      </c>
      <c r="U25" s="72">
        <f t="shared" si="2"/>
        <v>5.0199999999999996</v>
      </c>
      <c r="V25" s="72">
        <f t="shared" si="3"/>
        <v>5.62</v>
      </c>
      <c r="Y25" s="236">
        <v>31</v>
      </c>
      <c r="Z25" s="236" t="s">
        <v>315</v>
      </c>
      <c r="AA25" s="236" t="s">
        <v>316</v>
      </c>
      <c r="AB25" s="236" t="s">
        <v>351</v>
      </c>
      <c r="AC25" s="236">
        <v>1700</v>
      </c>
      <c r="AD25" s="236">
        <v>1899</v>
      </c>
      <c r="AE25" s="237">
        <v>9.15</v>
      </c>
      <c r="AF25" s="236"/>
      <c r="AG25" s="360">
        <f t="shared" si="4"/>
        <v>11.9</v>
      </c>
      <c r="AI25" s="362">
        <f t="shared" si="5"/>
        <v>0.30054644808743169</v>
      </c>
      <c r="AK25" s="181">
        <v>12204</v>
      </c>
      <c r="AL25" s="181">
        <v>300</v>
      </c>
      <c r="AM25" s="181">
        <v>599</v>
      </c>
      <c r="AN25" s="165"/>
      <c r="AO25" s="182">
        <v>5.9223527999999996</v>
      </c>
      <c r="AP25" s="182">
        <v>8</v>
      </c>
      <c r="AQ25" s="182">
        <v>10.91</v>
      </c>
      <c r="AR25" s="166"/>
      <c r="AS25" s="182">
        <v>6.53</v>
      </c>
      <c r="AT25" s="182">
        <v>8.48</v>
      </c>
      <c r="AU25" s="182">
        <v>10.61</v>
      </c>
      <c r="AV25" s="166"/>
      <c r="AW25" s="182" t="s">
        <v>64</v>
      </c>
      <c r="AX25" s="182" t="s">
        <v>64</v>
      </c>
      <c r="AY25" s="182" t="s">
        <v>64</v>
      </c>
      <c r="AZ25" s="357"/>
      <c r="BA25" s="182">
        <v>6.42</v>
      </c>
      <c r="BB25" s="182">
        <v>8.68</v>
      </c>
      <c r="BC25" s="182">
        <v>11.84</v>
      </c>
      <c r="BD25" s="166"/>
      <c r="BE25" s="182">
        <v>7.09</v>
      </c>
      <c r="BF25" s="182">
        <v>9.1999999999999993</v>
      </c>
      <c r="BG25" s="182">
        <v>11.51</v>
      </c>
      <c r="BH25" s="166"/>
      <c r="BI25" s="182" t="s">
        <v>64</v>
      </c>
      <c r="BJ25" s="182" t="s">
        <v>64</v>
      </c>
      <c r="BK25" s="182" t="s">
        <v>64</v>
      </c>
      <c r="BL25" s="362">
        <f t="shared" si="6"/>
        <v>8.402863132368614E-2</v>
      </c>
    </row>
    <row r="26" spans="2:64">
      <c r="B26" s="156">
        <v>132</v>
      </c>
      <c r="C26" s="157" t="s">
        <v>6179</v>
      </c>
      <c r="D26" t="s">
        <v>6240</v>
      </c>
      <c r="E26">
        <v>4500</v>
      </c>
      <c r="F26">
        <v>4999</v>
      </c>
      <c r="G26" s="360">
        <v>9.4</v>
      </c>
      <c r="I26" s="360">
        <f t="shared" si="0"/>
        <v>12.22</v>
      </c>
      <c r="M26" s="125" t="s">
        <v>6438</v>
      </c>
      <c r="N26" s="116" t="s">
        <v>6439</v>
      </c>
      <c r="O26" s="116" t="s">
        <v>6472</v>
      </c>
      <c r="P26" s="116">
        <v>409</v>
      </c>
      <c r="Q26" s="116">
        <v>420</v>
      </c>
      <c r="R26" s="118">
        <v>3.97</v>
      </c>
      <c r="S26" s="118">
        <v>4.4464000000000006</v>
      </c>
      <c r="T26" s="153">
        <f t="shared" si="1"/>
        <v>0.12000000000000009</v>
      </c>
      <c r="U26" s="72">
        <f t="shared" si="2"/>
        <v>5.16</v>
      </c>
      <c r="V26" s="72">
        <f t="shared" si="3"/>
        <v>5.78</v>
      </c>
      <c r="Y26" s="238">
        <v>31</v>
      </c>
      <c r="Z26" s="238" t="s">
        <v>315</v>
      </c>
      <c r="AA26" s="238" t="s">
        <v>359</v>
      </c>
      <c r="AB26" s="238" t="s">
        <v>360</v>
      </c>
      <c r="AC26" s="238">
        <v>16</v>
      </c>
      <c r="AD26" s="238">
        <v>349</v>
      </c>
      <c r="AE26" s="239">
        <v>4.63</v>
      </c>
      <c r="AF26" s="238"/>
      <c r="AG26" s="360">
        <f t="shared" si="4"/>
        <v>6.02</v>
      </c>
      <c r="AI26" s="362">
        <f t="shared" si="5"/>
        <v>0.30021598272138222</v>
      </c>
      <c r="AK26" s="181">
        <v>12204</v>
      </c>
      <c r="AL26" s="181">
        <v>600</v>
      </c>
      <c r="AM26" s="181">
        <v>899</v>
      </c>
      <c r="AN26" s="165"/>
      <c r="AO26" s="182">
        <v>6.2237447999999995</v>
      </c>
      <c r="AP26" s="182">
        <v>8.39</v>
      </c>
      <c r="AQ26" s="182">
        <v>11.45</v>
      </c>
      <c r="AR26" s="166"/>
      <c r="AS26" s="182">
        <v>6.84</v>
      </c>
      <c r="AT26" s="182">
        <v>8.89</v>
      </c>
      <c r="AU26" s="182">
        <v>11.11</v>
      </c>
      <c r="AV26" s="166"/>
      <c r="AW26" s="182" t="s">
        <v>64</v>
      </c>
      <c r="AX26" s="182" t="s">
        <v>64</v>
      </c>
      <c r="AY26" s="182" t="s">
        <v>64</v>
      </c>
      <c r="AZ26" s="357"/>
      <c r="BA26" s="182">
        <v>6.75</v>
      </c>
      <c r="BB26" s="182">
        <v>9.1</v>
      </c>
      <c r="BC26" s="182">
        <v>12.42</v>
      </c>
      <c r="BD26" s="166"/>
      <c r="BE26" s="182">
        <v>7.42</v>
      </c>
      <c r="BF26" s="182">
        <v>9.65</v>
      </c>
      <c r="BG26" s="182">
        <v>12.05</v>
      </c>
      <c r="BH26" s="166"/>
      <c r="BI26" s="182" t="s">
        <v>64</v>
      </c>
      <c r="BJ26" s="182" t="s">
        <v>64</v>
      </c>
      <c r="BK26" s="182" t="s">
        <v>64</v>
      </c>
      <c r="BL26" s="362">
        <f t="shared" si="6"/>
        <v>8.4556037709001261E-2</v>
      </c>
    </row>
    <row r="27" spans="2:64">
      <c r="B27" s="156">
        <v>132</v>
      </c>
      <c r="C27" s="157" t="s">
        <v>6179</v>
      </c>
      <c r="D27" t="s">
        <v>6241</v>
      </c>
      <c r="E27">
        <v>5000</v>
      </c>
      <c r="F27">
        <v>5499</v>
      </c>
      <c r="G27" s="360">
        <v>10.33</v>
      </c>
      <c r="I27" s="360">
        <f t="shared" si="0"/>
        <v>13.43</v>
      </c>
      <c r="M27" s="125" t="s">
        <v>6438</v>
      </c>
      <c r="N27" s="116" t="s">
        <v>6439</v>
      </c>
      <c r="O27" s="116" t="s">
        <v>6473</v>
      </c>
      <c r="P27" s="116">
        <v>421</v>
      </c>
      <c r="Q27" s="116">
        <v>432</v>
      </c>
      <c r="R27" s="118">
        <v>4.08</v>
      </c>
      <c r="S27" s="118">
        <v>4.5696000000000003</v>
      </c>
      <c r="T27" s="153">
        <f t="shared" si="1"/>
        <v>0.12000000000000006</v>
      </c>
      <c r="U27" s="72">
        <f t="shared" si="2"/>
        <v>5.3</v>
      </c>
      <c r="V27" s="72">
        <f t="shared" si="3"/>
        <v>5.94</v>
      </c>
      <c r="Y27" s="227">
        <v>31</v>
      </c>
      <c r="Z27" s="227" t="s">
        <v>315</v>
      </c>
      <c r="AA27" s="227" t="s">
        <v>359</v>
      </c>
      <c r="AB27" s="227" t="s">
        <v>360</v>
      </c>
      <c r="AC27" s="227">
        <v>350</v>
      </c>
      <c r="AD27" s="227">
        <v>499</v>
      </c>
      <c r="AE27" s="228">
        <v>5.07</v>
      </c>
      <c r="AF27" s="227"/>
      <c r="AG27" s="360">
        <f t="shared" si="4"/>
        <v>6.59</v>
      </c>
      <c r="AI27" s="362">
        <f t="shared" si="5"/>
        <v>0.2998027613412228</v>
      </c>
      <c r="AK27" s="181">
        <v>12204</v>
      </c>
      <c r="AL27" s="181">
        <v>900</v>
      </c>
      <c r="AM27" s="181">
        <v>1199</v>
      </c>
      <c r="AN27" s="165"/>
      <c r="AO27" s="182">
        <v>6.5251367999999994</v>
      </c>
      <c r="AP27" s="182">
        <v>8.82</v>
      </c>
      <c r="AQ27" s="182">
        <v>12.03</v>
      </c>
      <c r="AR27" s="166"/>
      <c r="AS27" s="182">
        <v>7.19</v>
      </c>
      <c r="AT27" s="182">
        <v>9.34</v>
      </c>
      <c r="AU27" s="182">
        <v>11.68</v>
      </c>
      <c r="AV27" s="166"/>
      <c r="AW27" s="182" t="s">
        <v>64</v>
      </c>
      <c r="AX27" s="182" t="s">
        <v>64</v>
      </c>
      <c r="AY27" s="182" t="s">
        <v>64</v>
      </c>
      <c r="AZ27" s="357"/>
      <c r="BA27" s="182">
        <v>7.09</v>
      </c>
      <c r="BB27" s="182">
        <v>9.57</v>
      </c>
      <c r="BC27" s="182">
        <v>13.05</v>
      </c>
      <c r="BD27" s="166"/>
      <c r="BE27" s="182">
        <v>7.8</v>
      </c>
      <c r="BF27" s="182">
        <v>10.130000000000001</v>
      </c>
      <c r="BG27" s="182">
        <v>12.67</v>
      </c>
      <c r="BH27" s="166"/>
      <c r="BI27" s="182" t="s">
        <v>64</v>
      </c>
      <c r="BJ27" s="182" t="s">
        <v>64</v>
      </c>
      <c r="BK27" s="182" t="s">
        <v>64</v>
      </c>
      <c r="BL27" s="362">
        <f t="shared" si="6"/>
        <v>8.6567257869597541E-2</v>
      </c>
    </row>
    <row r="28" spans="2:64">
      <c r="B28" s="156">
        <v>132</v>
      </c>
      <c r="C28" s="157" t="s">
        <v>6179</v>
      </c>
      <c r="D28" t="s">
        <v>6242</v>
      </c>
      <c r="E28">
        <v>5500</v>
      </c>
      <c r="F28">
        <v>5999</v>
      </c>
      <c r="G28" s="360">
        <v>11.26</v>
      </c>
      <c r="I28" s="360">
        <f t="shared" si="0"/>
        <v>14.64</v>
      </c>
      <c r="M28" s="125" t="s">
        <v>6438</v>
      </c>
      <c r="N28" s="116" t="s">
        <v>6439</v>
      </c>
      <c r="O28" s="116" t="s">
        <v>6474</v>
      </c>
      <c r="P28" s="116">
        <v>433</v>
      </c>
      <c r="Q28" s="116">
        <v>444</v>
      </c>
      <c r="R28" s="118">
        <v>4.1900000000000004</v>
      </c>
      <c r="S28" s="118">
        <v>4.692800000000001</v>
      </c>
      <c r="T28" s="153">
        <f t="shared" si="1"/>
        <v>0.12000000000000012</v>
      </c>
      <c r="U28" s="72">
        <f t="shared" si="2"/>
        <v>5.45</v>
      </c>
      <c r="V28" s="72">
        <f t="shared" si="3"/>
        <v>6.1</v>
      </c>
      <c r="Y28" s="227">
        <v>31</v>
      </c>
      <c r="Z28" s="227" t="s">
        <v>315</v>
      </c>
      <c r="AA28" s="227" t="s">
        <v>359</v>
      </c>
      <c r="AB28" s="227" t="s">
        <v>360</v>
      </c>
      <c r="AC28" s="227">
        <v>500</v>
      </c>
      <c r="AD28" s="227">
        <v>649</v>
      </c>
      <c r="AE28" s="228">
        <v>5.51</v>
      </c>
      <c r="AF28" s="227"/>
      <c r="AG28" s="360">
        <f t="shared" si="4"/>
        <v>7.16</v>
      </c>
      <c r="AI28" s="362">
        <f t="shared" si="5"/>
        <v>0.2994555353901997</v>
      </c>
      <c r="AK28" s="181">
        <v>12204</v>
      </c>
      <c r="AL28" s="181">
        <v>1200</v>
      </c>
      <c r="AM28" s="181">
        <v>1499</v>
      </c>
      <c r="AN28" s="165"/>
      <c r="AO28" s="182">
        <v>6.8566679999999982</v>
      </c>
      <c r="AP28" s="182">
        <v>9.25</v>
      </c>
      <c r="AQ28" s="182">
        <v>12.64</v>
      </c>
      <c r="AR28" s="166"/>
      <c r="AS28" s="182">
        <v>7.55</v>
      </c>
      <c r="AT28" s="182">
        <v>9.81</v>
      </c>
      <c r="AU28" s="182">
        <v>12.27</v>
      </c>
      <c r="AV28" s="166"/>
      <c r="AW28" s="182" t="s">
        <v>64</v>
      </c>
      <c r="AX28" s="182" t="s">
        <v>64</v>
      </c>
      <c r="AY28" s="182" t="s">
        <v>64</v>
      </c>
      <c r="AZ28" s="357"/>
      <c r="BA28" s="182">
        <v>7.44</v>
      </c>
      <c r="BB28" s="182">
        <v>10.039999999999999</v>
      </c>
      <c r="BC28" s="182">
        <v>13.71</v>
      </c>
      <c r="BD28" s="166"/>
      <c r="BE28" s="182">
        <v>8.19</v>
      </c>
      <c r="BF28" s="182">
        <v>10.64</v>
      </c>
      <c r="BG28" s="182">
        <v>13.31</v>
      </c>
      <c r="BH28" s="166"/>
      <c r="BI28" s="182" t="s">
        <v>64</v>
      </c>
      <c r="BJ28" s="182" t="s">
        <v>64</v>
      </c>
      <c r="BK28" s="182" t="s">
        <v>64</v>
      </c>
      <c r="BL28" s="362">
        <f t="shared" si="6"/>
        <v>8.5075141453545999E-2</v>
      </c>
    </row>
    <row r="29" spans="2:64">
      <c r="B29" s="156">
        <v>132</v>
      </c>
      <c r="C29" s="157" t="s">
        <v>6179</v>
      </c>
      <c r="D29" t="s">
        <v>6246</v>
      </c>
      <c r="E29">
        <v>6000</v>
      </c>
      <c r="F29">
        <v>6499</v>
      </c>
      <c r="G29" s="360">
        <v>12.19</v>
      </c>
      <c r="I29" s="360">
        <f t="shared" si="0"/>
        <v>15.85</v>
      </c>
      <c r="M29" s="125" t="s">
        <v>6438</v>
      </c>
      <c r="N29" s="116" t="s">
        <v>6439</v>
      </c>
      <c r="O29" s="116" t="s">
        <v>6476</v>
      </c>
      <c r="P29" s="116">
        <v>445</v>
      </c>
      <c r="Q29" s="116">
        <v>456</v>
      </c>
      <c r="R29" s="118">
        <v>4.3</v>
      </c>
      <c r="S29" s="118">
        <v>4.8159999999999998</v>
      </c>
      <c r="T29" s="153">
        <f t="shared" si="1"/>
        <v>0.12000000000000001</v>
      </c>
      <c r="U29" s="72">
        <f t="shared" si="2"/>
        <v>5.59</v>
      </c>
      <c r="V29" s="72">
        <f t="shared" si="3"/>
        <v>6.26</v>
      </c>
      <c r="Y29" s="227">
        <v>31</v>
      </c>
      <c r="Z29" s="227" t="s">
        <v>315</v>
      </c>
      <c r="AA29" s="227" t="s">
        <v>359</v>
      </c>
      <c r="AB29" s="227" t="s">
        <v>360</v>
      </c>
      <c r="AC29" s="227">
        <v>650</v>
      </c>
      <c r="AD29" s="227">
        <v>799</v>
      </c>
      <c r="AE29" s="228">
        <v>5.94</v>
      </c>
      <c r="AF29" s="227"/>
      <c r="AG29" s="360">
        <f t="shared" si="4"/>
        <v>7.72</v>
      </c>
      <c r="AI29" s="362">
        <f t="shared" si="5"/>
        <v>0.29966329966329952</v>
      </c>
      <c r="AK29" s="181">
        <v>12204</v>
      </c>
      <c r="AL29" s="181">
        <v>1500</v>
      </c>
      <c r="AM29" s="181">
        <v>1799</v>
      </c>
      <c r="AN29" s="165"/>
      <c r="AO29" s="182">
        <v>7.2032688</v>
      </c>
      <c r="AP29" s="182">
        <v>9.7200000000000006</v>
      </c>
      <c r="AQ29" s="182">
        <v>13.28</v>
      </c>
      <c r="AR29" s="166"/>
      <c r="AS29" s="182">
        <v>7.93</v>
      </c>
      <c r="AT29" s="182">
        <v>10.31</v>
      </c>
      <c r="AU29" s="182">
        <v>12.88</v>
      </c>
      <c r="AV29" s="166"/>
      <c r="AW29" s="182" t="s">
        <v>64</v>
      </c>
      <c r="AX29" s="182" t="s">
        <v>64</v>
      </c>
      <c r="AY29" s="182" t="s">
        <v>64</v>
      </c>
      <c r="AZ29" s="357"/>
      <c r="BA29" s="182">
        <v>7.81</v>
      </c>
      <c r="BB29" s="182">
        <v>10.55</v>
      </c>
      <c r="BC29" s="182">
        <v>14.41</v>
      </c>
      <c r="BD29" s="166"/>
      <c r="BE29" s="182">
        <v>8.6</v>
      </c>
      <c r="BF29" s="182">
        <v>11.19</v>
      </c>
      <c r="BG29" s="182">
        <v>13.97</v>
      </c>
      <c r="BH29" s="166"/>
      <c r="BI29" s="182" t="s">
        <v>64</v>
      </c>
      <c r="BJ29" s="182" t="s">
        <v>64</v>
      </c>
      <c r="BK29" s="182" t="s">
        <v>64</v>
      </c>
      <c r="BL29" s="362">
        <f t="shared" si="6"/>
        <v>8.4229981810480206E-2</v>
      </c>
    </row>
    <row r="30" spans="2:64">
      <c r="B30" s="156">
        <v>132</v>
      </c>
      <c r="C30" s="157" t="s">
        <v>6179</v>
      </c>
      <c r="D30" t="s">
        <v>6247</v>
      </c>
      <c r="E30">
        <v>6500</v>
      </c>
      <c r="F30">
        <v>6999</v>
      </c>
      <c r="G30" s="360">
        <v>13.12</v>
      </c>
      <c r="I30" s="360">
        <f t="shared" si="0"/>
        <v>17.059999999999999</v>
      </c>
      <c r="M30" s="125" t="s">
        <v>6438</v>
      </c>
      <c r="N30" s="116" t="s">
        <v>6439</v>
      </c>
      <c r="O30" s="116" t="s">
        <v>6479</v>
      </c>
      <c r="P30" s="116">
        <v>457</v>
      </c>
      <c r="Q30" s="116">
        <v>468</v>
      </c>
      <c r="R30" s="118">
        <v>4.41</v>
      </c>
      <c r="S30" s="118">
        <v>4.9392000000000005</v>
      </c>
      <c r="T30" s="153">
        <f t="shared" si="1"/>
        <v>0.12000000000000008</v>
      </c>
      <c r="U30" s="72">
        <f t="shared" si="2"/>
        <v>5.73</v>
      </c>
      <c r="V30" s="72">
        <f t="shared" si="3"/>
        <v>6.42</v>
      </c>
      <c r="Y30" s="227">
        <v>31</v>
      </c>
      <c r="Z30" s="227" t="s">
        <v>315</v>
      </c>
      <c r="AA30" s="227" t="s">
        <v>359</v>
      </c>
      <c r="AB30" s="227" t="s">
        <v>360</v>
      </c>
      <c r="AC30" s="227">
        <v>800</v>
      </c>
      <c r="AD30" s="227">
        <v>949</v>
      </c>
      <c r="AE30" s="228">
        <v>6.38</v>
      </c>
      <c r="AF30" s="227"/>
      <c r="AG30" s="360">
        <f t="shared" si="4"/>
        <v>8.2899999999999991</v>
      </c>
      <c r="AI30" s="362">
        <f t="shared" si="5"/>
        <v>0.29937304075235099</v>
      </c>
      <c r="AK30" s="181">
        <v>12204</v>
      </c>
      <c r="AL30" s="181">
        <v>1800</v>
      </c>
      <c r="AM30" s="181">
        <v>2099</v>
      </c>
      <c r="AN30" s="165"/>
      <c r="AO30" s="182">
        <v>7.5649391999999995</v>
      </c>
      <c r="AP30" s="182">
        <v>10.220000000000001</v>
      </c>
      <c r="AQ30" s="182">
        <v>15.54</v>
      </c>
      <c r="AR30" s="166"/>
      <c r="AS30" s="182">
        <v>8.33</v>
      </c>
      <c r="AT30" s="182">
        <v>10.84</v>
      </c>
      <c r="AU30" s="182">
        <v>13.55</v>
      </c>
      <c r="AV30" s="166"/>
      <c r="AW30" s="182" t="s">
        <v>64</v>
      </c>
      <c r="AX30" s="182" t="s">
        <v>64</v>
      </c>
      <c r="AY30" s="182" t="s">
        <v>64</v>
      </c>
      <c r="AZ30" s="357"/>
      <c r="BA30" s="182">
        <v>8.1999999999999993</v>
      </c>
      <c r="BB30" s="182">
        <v>11.09</v>
      </c>
      <c r="BC30" s="182">
        <v>16.86</v>
      </c>
      <c r="BD30" s="166"/>
      <c r="BE30" s="182">
        <v>9.0399999999999991</v>
      </c>
      <c r="BF30" s="182">
        <v>11.76</v>
      </c>
      <c r="BG30" s="182">
        <v>14.7</v>
      </c>
      <c r="BH30" s="166"/>
      <c r="BI30" s="182" t="s">
        <v>64</v>
      </c>
      <c r="BJ30" s="182" t="s">
        <v>64</v>
      </c>
      <c r="BK30" s="182" t="s">
        <v>64</v>
      </c>
      <c r="BL30" s="362">
        <f t="shared" si="6"/>
        <v>8.3947905357917463E-2</v>
      </c>
    </row>
    <row r="31" spans="2:64">
      <c r="B31" s="156">
        <v>132</v>
      </c>
      <c r="C31" s="157" t="s">
        <v>6179</v>
      </c>
      <c r="D31" t="s">
        <v>6248</v>
      </c>
      <c r="E31">
        <v>7000</v>
      </c>
      <c r="F31">
        <v>7499</v>
      </c>
      <c r="G31" s="360">
        <v>14.05</v>
      </c>
      <c r="I31" s="360">
        <f t="shared" si="0"/>
        <v>18.27</v>
      </c>
      <c r="M31" s="125" t="s">
        <v>6438</v>
      </c>
      <c r="N31" s="116" t="s">
        <v>6439</v>
      </c>
      <c r="O31" s="116" t="s">
        <v>6481</v>
      </c>
      <c r="P31" s="116">
        <v>469</v>
      </c>
      <c r="Q31" s="116">
        <v>480</v>
      </c>
      <c r="R31" s="118">
        <v>4.5199999999999996</v>
      </c>
      <c r="S31" s="118">
        <v>5.0624000000000002</v>
      </c>
      <c r="T31" s="153">
        <f t="shared" si="1"/>
        <v>0.12000000000000016</v>
      </c>
      <c r="U31" s="72">
        <f t="shared" si="2"/>
        <v>5.88</v>
      </c>
      <c r="V31" s="72">
        <f t="shared" si="3"/>
        <v>6.59</v>
      </c>
      <c r="Y31" s="227">
        <v>31</v>
      </c>
      <c r="Z31" s="227" t="s">
        <v>315</v>
      </c>
      <c r="AA31" s="227" t="s">
        <v>359</v>
      </c>
      <c r="AB31" s="227" t="s">
        <v>360</v>
      </c>
      <c r="AC31" s="227">
        <v>950</v>
      </c>
      <c r="AD31" s="227">
        <v>1099</v>
      </c>
      <c r="AE31" s="228">
        <v>6.82</v>
      </c>
      <c r="AF31" s="227"/>
      <c r="AG31" s="360">
        <f t="shared" si="4"/>
        <v>8.8699999999999992</v>
      </c>
      <c r="AI31" s="362">
        <f t="shared" si="5"/>
        <v>0.30058651026392946</v>
      </c>
      <c r="AK31" s="311">
        <v>21208</v>
      </c>
      <c r="AL31" s="311">
        <v>1</v>
      </c>
      <c r="AM31" s="311">
        <v>299</v>
      </c>
      <c r="AN31" s="165"/>
      <c r="AO31" s="312">
        <v>6.1506000000000007</v>
      </c>
      <c r="AP31" s="312">
        <v>8.4455999999999989</v>
      </c>
      <c r="AQ31" s="312">
        <v>10.979279999999999</v>
      </c>
      <c r="AR31" s="166"/>
      <c r="AS31" s="312">
        <v>6.7625999999999999</v>
      </c>
      <c r="AT31" s="312">
        <v>9.593775903614457</v>
      </c>
      <c r="AU31" s="312">
        <v>12.471908674698794</v>
      </c>
      <c r="AV31" s="166"/>
      <c r="AW31" s="312">
        <v>11.496419999999999</v>
      </c>
      <c r="AX31" s="312">
        <v>16.309419036144575</v>
      </c>
      <c r="AY31" s="312">
        <v>21.202244746987951</v>
      </c>
      <c r="AZ31" s="357"/>
      <c r="BA31" s="312">
        <f>ROUND(AO31*1.3,2)</f>
        <v>8</v>
      </c>
      <c r="BB31" s="312">
        <f t="shared" ref="BB31:BC46" si="7">ROUND(AP31*1.3,2)</f>
        <v>10.98</v>
      </c>
      <c r="BC31" s="312">
        <f t="shared" si="7"/>
        <v>14.27</v>
      </c>
      <c r="BD31" s="166"/>
      <c r="BE31" s="312">
        <f>ROUND(AS31*1.3,2)</f>
        <v>8.7899999999999991</v>
      </c>
      <c r="BF31" s="312">
        <f t="shared" ref="BF31:BG94" si="8">ROUND(AT31*1.3,2)</f>
        <v>12.47</v>
      </c>
      <c r="BG31" s="312">
        <f t="shared" si="8"/>
        <v>16.21</v>
      </c>
      <c r="BH31" s="166"/>
      <c r="BI31" s="312">
        <f>ROUND(AW31*1.3,2)</f>
        <v>14.95</v>
      </c>
      <c r="BJ31" s="312">
        <f t="shared" ref="BJ31:BK94" si="9">ROUND(AX31*1.3,2)</f>
        <v>21.2</v>
      </c>
      <c r="BK31" s="312">
        <f t="shared" si="9"/>
        <v>27.56</v>
      </c>
      <c r="BL31" s="362">
        <f t="shared" si="6"/>
        <v>0.30068611192403977</v>
      </c>
    </row>
    <row r="32" spans="2:64">
      <c r="B32" s="156">
        <v>132</v>
      </c>
      <c r="C32" s="157" t="s">
        <v>6179</v>
      </c>
      <c r="D32" t="s">
        <v>6250</v>
      </c>
      <c r="E32">
        <v>7500</v>
      </c>
      <c r="F32">
        <v>7999</v>
      </c>
      <c r="G32" s="360">
        <v>14.98</v>
      </c>
      <c r="I32" s="360">
        <f t="shared" si="0"/>
        <v>19.47</v>
      </c>
      <c r="M32" s="125" t="s">
        <v>6438</v>
      </c>
      <c r="N32" s="116" t="s">
        <v>6439</v>
      </c>
      <c r="O32" s="116" t="s">
        <v>6484</v>
      </c>
      <c r="P32" s="116">
        <v>481</v>
      </c>
      <c r="Q32" s="116">
        <v>492</v>
      </c>
      <c r="R32" s="118">
        <v>4.63</v>
      </c>
      <c r="S32" s="118">
        <v>5.1856</v>
      </c>
      <c r="T32" s="153">
        <f t="shared" si="1"/>
        <v>0.12000000000000002</v>
      </c>
      <c r="U32" s="72">
        <f t="shared" si="2"/>
        <v>6.02</v>
      </c>
      <c r="V32" s="72">
        <f t="shared" si="3"/>
        <v>6.74</v>
      </c>
      <c r="Y32" s="227">
        <v>31</v>
      </c>
      <c r="Z32" s="227" t="s">
        <v>315</v>
      </c>
      <c r="AA32" s="227" t="s">
        <v>359</v>
      </c>
      <c r="AB32" s="227" t="s">
        <v>360</v>
      </c>
      <c r="AC32" s="227">
        <v>1100</v>
      </c>
      <c r="AD32" s="227">
        <v>1299</v>
      </c>
      <c r="AE32" s="228">
        <v>7.4</v>
      </c>
      <c r="AF32" s="227"/>
      <c r="AG32" s="360">
        <f t="shared" si="4"/>
        <v>9.6199999999999992</v>
      </c>
      <c r="AI32" s="362">
        <f t="shared" si="5"/>
        <v>0.29999999999999982</v>
      </c>
      <c r="AK32" s="311">
        <v>21208</v>
      </c>
      <c r="AL32" s="311">
        <v>300</v>
      </c>
      <c r="AM32" s="311">
        <v>599</v>
      </c>
      <c r="AN32" s="165"/>
      <c r="AO32" s="312">
        <v>8.4455999999999989</v>
      </c>
      <c r="AP32" s="312">
        <v>10.134719999999998</v>
      </c>
      <c r="AQ32" s="312">
        <v>13.175135999999998</v>
      </c>
      <c r="AR32" s="166"/>
      <c r="AS32" s="312">
        <v>10.1592</v>
      </c>
      <c r="AT32" s="312">
        <v>10.954800000000001</v>
      </c>
      <c r="AU32" s="312">
        <v>14.241240000000001</v>
      </c>
      <c r="AV32" s="166"/>
      <c r="AW32" s="312">
        <v>17.270640000000004</v>
      </c>
      <c r="AX32" s="312">
        <v>18.623159999999999</v>
      </c>
      <c r="AY32" s="312">
        <v>24.210108000000002</v>
      </c>
      <c r="AZ32" s="357"/>
      <c r="BA32" s="312">
        <f t="shared" ref="BA32:BA36" si="10">ROUND(AO32*1.3,2)</f>
        <v>10.98</v>
      </c>
      <c r="BB32" s="312">
        <f t="shared" si="7"/>
        <v>13.18</v>
      </c>
      <c r="BC32" s="312">
        <f t="shared" si="7"/>
        <v>17.13</v>
      </c>
      <c r="BD32" s="166"/>
      <c r="BE32" s="312">
        <f t="shared" ref="BE32:BE36" si="11">ROUND(AS32*1.3,2)</f>
        <v>13.21</v>
      </c>
      <c r="BF32" s="312">
        <f t="shared" si="8"/>
        <v>14.24</v>
      </c>
      <c r="BG32" s="312">
        <f t="shared" si="8"/>
        <v>18.510000000000002</v>
      </c>
      <c r="BH32" s="166"/>
      <c r="BI32" s="312">
        <f t="shared" ref="BI32:BI36" si="12">ROUND(AW32*1.3,2)</f>
        <v>22.45</v>
      </c>
      <c r="BJ32" s="312">
        <f t="shared" si="9"/>
        <v>24.21</v>
      </c>
      <c r="BK32" s="312">
        <f t="shared" si="9"/>
        <v>31.47</v>
      </c>
      <c r="BL32" s="362">
        <f t="shared" si="6"/>
        <v>0.30008525149190135</v>
      </c>
    </row>
    <row r="33" spans="2:64">
      <c r="B33" s="156">
        <v>132</v>
      </c>
      <c r="C33" s="157" t="s">
        <v>6179</v>
      </c>
      <c r="D33" t="s">
        <v>6252</v>
      </c>
      <c r="E33">
        <v>8000</v>
      </c>
      <c r="F33">
        <v>8499</v>
      </c>
      <c r="G33" s="360">
        <v>15.91</v>
      </c>
      <c r="I33" s="360">
        <f t="shared" si="0"/>
        <v>20.68</v>
      </c>
      <c r="M33" s="125" t="s">
        <v>6438</v>
      </c>
      <c r="N33" s="116" t="s">
        <v>6439</v>
      </c>
      <c r="O33" s="116" t="s">
        <v>6486</v>
      </c>
      <c r="P33" s="116">
        <v>493</v>
      </c>
      <c r="Q33" s="116">
        <v>504</v>
      </c>
      <c r="R33" s="118">
        <v>4.74</v>
      </c>
      <c r="S33" s="118">
        <v>5.3088000000000006</v>
      </c>
      <c r="T33" s="153">
        <f t="shared" si="1"/>
        <v>0.12000000000000008</v>
      </c>
      <c r="U33" s="72">
        <f t="shared" si="2"/>
        <v>6.16</v>
      </c>
      <c r="V33" s="72">
        <f t="shared" si="3"/>
        <v>6.9</v>
      </c>
      <c r="Y33" s="227">
        <v>31</v>
      </c>
      <c r="Z33" s="227" t="s">
        <v>315</v>
      </c>
      <c r="AA33" s="227" t="s">
        <v>359</v>
      </c>
      <c r="AB33" s="227" t="s">
        <v>360</v>
      </c>
      <c r="AC33" s="227">
        <v>1300</v>
      </c>
      <c r="AD33" s="227">
        <v>1499</v>
      </c>
      <c r="AE33" s="228">
        <v>7.98</v>
      </c>
      <c r="AF33" s="227"/>
      <c r="AG33" s="360">
        <f t="shared" si="4"/>
        <v>10.37</v>
      </c>
      <c r="AI33" s="362">
        <f t="shared" si="5"/>
        <v>0.29949874686716776</v>
      </c>
      <c r="AK33" s="311">
        <v>21208</v>
      </c>
      <c r="AL33" s="311">
        <v>600</v>
      </c>
      <c r="AM33" s="311">
        <v>899</v>
      </c>
      <c r="AN33" s="165"/>
      <c r="AO33" s="312">
        <v>9.2718000000000007</v>
      </c>
      <c r="AP33" s="312">
        <v>12.161663999999998</v>
      </c>
      <c r="AQ33" s="312">
        <v>15.810163199999998</v>
      </c>
      <c r="AR33" s="166"/>
      <c r="AS33" s="312">
        <v>12.191040000000001</v>
      </c>
      <c r="AT33" s="312">
        <v>13.145760000000001</v>
      </c>
      <c r="AU33" s="312">
        <v>17.089487999999999</v>
      </c>
      <c r="AV33" s="166"/>
      <c r="AW33" s="312">
        <v>20.724768000000001</v>
      </c>
      <c r="AX33" s="312">
        <v>22.347791999999998</v>
      </c>
      <c r="AY33" s="312">
        <v>29.052129600000001</v>
      </c>
      <c r="AZ33" s="357"/>
      <c r="BA33" s="312">
        <f t="shared" si="10"/>
        <v>12.05</v>
      </c>
      <c r="BB33" s="312">
        <f t="shared" si="7"/>
        <v>15.81</v>
      </c>
      <c r="BC33" s="312">
        <f t="shared" si="7"/>
        <v>20.55</v>
      </c>
      <c r="BD33" s="166"/>
      <c r="BE33" s="312">
        <f t="shared" si="11"/>
        <v>15.85</v>
      </c>
      <c r="BF33" s="312">
        <f t="shared" si="8"/>
        <v>17.09</v>
      </c>
      <c r="BG33" s="312">
        <f t="shared" si="8"/>
        <v>22.22</v>
      </c>
      <c r="BH33" s="166"/>
      <c r="BI33" s="312">
        <f t="shared" si="12"/>
        <v>26.94</v>
      </c>
      <c r="BJ33" s="312">
        <f t="shared" si="9"/>
        <v>29.05</v>
      </c>
      <c r="BK33" s="312">
        <f t="shared" si="9"/>
        <v>37.770000000000003</v>
      </c>
      <c r="BL33" s="362">
        <f t="shared" si="6"/>
        <v>0.29963976789835844</v>
      </c>
    </row>
    <row r="34" spans="2:64">
      <c r="B34" s="156">
        <v>132</v>
      </c>
      <c r="C34" s="157" t="s">
        <v>6179</v>
      </c>
      <c r="D34" t="s">
        <v>6255</v>
      </c>
      <c r="E34">
        <v>8500</v>
      </c>
      <c r="F34">
        <v>8999</v>
      </c>
      <c r="G34" s="360">
        <v>16.84</v>
      </c>
      <c r="I34" s="360">
        <f t="shared" si="0"/>
        <v>21.89</v>
      </c>
      <c r="M34" s="125" t="s">
        <v>6438</v>
      </c>
      <c r="N34" s="116" t="s">
        <v>6439</v>
      </c>
      <c r="O34" s="116" t="s">
        <v>6488</v>
      </c>
      <c r="P34" s="116">
        <v>505</v>
      </c>
      <c r="Q34" s="116">
        <v>516</v>
      </c>
      <c r="R34" s="118">
        <v>4.8499999999999996</v>
      </c>
      <c r="S34" s="118">
        <v>5.4320000000000004</v>
      </c>
      <c r="T34" s="153">
        <f t="shared" si="1"/>
        <v>0.12000000000000016</v>
      </c>
      <c r="U34" s="72">
        <f t="shared" si="2"/>
        <v>6.31</v>
      </c>
      <c r="V34" s="72">
        <f t="shared" si="3"/>
        <v>7.07</v>
      </c>
      <c r="Y34" s="227">
        <v>31</v>
      </c>
      <c r="Z34" s="227" t="s">
        <v>315</v>
      </c>
      <c r="AA34" s="227" t="s">
        <v>359</v>
      </c>
      <c r="AB34" s="227" t="s">
        <v>360</v>
      </c>
      <c r="AC34" s="227">
        <v>1500</v>
      </c>
      <c r="AD34" s="227">
        <v>1699</v>
      </c>
      <c r="AE34" s="228">
        <v>8.57</v>
      </c>
      <c r="AF34" s="227"/>
      <c r="AG34" s="360">
        <f t="shared" si="4"/>
        <v>11.14</v>
      </c>
      <c r="AI34" s="362">
        <f t="shared" si="5"/>
        <v>0.29988331388564765</v>
      </c>
      <c r="AK34" s="311">
        <v>21208</v>
      </c>
      <c r="AL34" s="311">
        <v>900</v>
      </c>
      <c r="AM34" s="311">
        <v>1199</v>
      </c>
      <c r="AN34" s="165"/>
      <c r="AO34" s="312">
        <v>10.662569999999999</v>
      </c>
      <c r="AP34" s="312">
        <v>14.593996799999998</v>
      </c>
      <c r="AQ34" s="312">
        <v>18.972195839999998</v>
      </c>
      <c r="AR34" s="166"/>
      <c r="AS34" s="312">
        <v>14.019696</v>
      </c>
      <c r="AT34" s="312">
        <v>15.774911999999999</v>
      </c>
      <c r="AU34" s="312">
        <v>20.507385599999996</v>
      </c>
      <c r="AV34" s="166"/>
      <c r="AW34" s="312">
        <v>23.833483199999996</v>
      </c>
      <c r="AX34" s="312">
        <v>26.817350399999999</v>
      </c>
      <c r="AY34" s="312">
        <v>34.862555519999994</v>
      </c>
      <c r="AZ34" s="357"/>
      <c r="BA34" s="312">
        <f t="shared" si="10"/>
        <v>13.86</v>
      </c>
      <c r="BB34" s="312">
        <f t="shared" si="7"/>
        <v>18.97</v>
      </c>
      <c r="BC34" s="312">
        <f t="shared" si="7"/>
        <v>24.66</v>
      </c>
      <c r="BD34" s="166"/>
      <c r="BE34" s="312">
        <f t="shared" si="11"/>
        <v>18.23</v>
      </c>
      <c r="BF34" s="312">
        <f t="shared" si="8"/>
        <v>20.51</v>
      </c>
      <c r="BG34" s="312">
        <f t="shared" si="8"/>
        <v>26.66</v>
      </c>
      <c r="BH34" s="166"/>
      <c r="BI34" s="312">
        <f t="shared" si="12"/>
        <v>30.98</v>
      </c>
      <c r="BJ34" s="312">
        <f t="shared" si="9"/>
        <v>34.86</v>
      </c>
      <c r="BK34" s="312">
        <f t="shared" si="9"/>
        <v>45.32</v>
      </c>
      <c r="BL34" s="362">
        <f t="shared" si="6"/>
        <v>0.29987423294759152</v>
      </c>
    </row>
    <row r="35" spans="2:64">
      <c r="B35" s="156">
        <v>132</v>
      </c>
      <c r="C35" s="157" t="s">
        <v>6179</v>
      </c>
      <c r="D35" t="s">
        <v>6256</v>
      </c>
      <c r="E35">
        <v>9000</v>
      </c>
      <c r="F35">
        <v>9499</v>
      </c>
      <c r="G35" s="360">
        <v>17.77</v>
      </c>
      <c r="I35" s="360">
        <f t="shared" si="0"/>
        <v>23.1</v>
      </c>
      <c r="M35" s="125" t="s">
        <v>6438</v>
      </c>
      <c r="N35" s="116" t="s">
        <v>6439</v>
      </c>
      <c r="O35" s="116" t="s">
        <v>6489</v>
      </c>
      <c r="P35" s="116">
        <v>517</v>
      </c>
      <c r="Q35" s="116">
        <v>528</v>
      </c>
      <c r="R35" s="118">
        <v>4.96</v>
      </c>
      <c r="S35" s="118">
        <v>5.5552000000000001</v>
      </c>
      <c r="T35" s="153">
        <f t="shared" si="1"/>
        <v>0.12000000000000004</v>
      </c>
      <c r="U35" s="72">
        <f t="shared" si="2"/>
        <v>6.45</v>
      </c>
      <c r="V35" s="72">
        <f t="shared" si="3"/>
        <v>7.22</v>
      </c>
      <c r="Y35" s="227">
        <v>31</v>
      </c>
      <c r="Z35" s="227" t="s">
        <v>315</v>
      </c>
      <c r="AA35" s="227" t="s">
        <v>359</v>
      </c>
      <c r="AB35" s="227" t="s">
        <v>360</v>
      </c>
      <c r="AC35" s="227">
        <v>1700</v>
      </c>
      <c r="AD35" s="227">
        <v>1899</v>
      </c>
      <c r="AE35" s="228">
        <v>9.15</v>
      </c>
      <c r="AF35" s="227"/>
      <c r="AG35" s="360">
        <f t="shared" si="4"/>
        <v>11.9</v>
      </c>
      <c r="AI35" s="362">
        <f t="shared" si="5"/>
        <v>0.30054644808743169</v>
      </c>
      <c r="AK35" s="311">
        <v>21208</v>
      </c>
      <c r="AL35" s="311">
        <v>1200</v>
      </c>
      <c r="AM35" s="311">
        <v>1499</v>
      </c>
      <c r="AN35" s="165"/>
      <c r="AO35" s="312">
        <v>12.261955499999997</v>
      </c>
      <c r="AP35" s="312">
        <v>17.512796159999997</v>
      </c>
      <c r="AQ35" s="312">
        <v>22.766635007999998</v>
      </c>
      <c r="AR35" s="166"/>
      <c r="AS35" s="312">
        <v>16.122650399999998</v>
      </c>
      <c r="AT35" s="312">
        <v>18.929894399999998</v>
      </c>
      <c r="AU35" s="312">
        <v>24.608862719999998</v>
      </c>
      <c r="AV35" s="166"/>
      <c r="AW35" s="312">
        <v>27.408505679999998</v>
      </c>
      <c r="AX35" s="312">
        <v>32.180820479999994</v>
      </c>
      <c r="AY35" s="312">
        <v>41.835066624</v>
      </c>
      <c r="AZ35" s="357"/>
      <c r="BA35" s="312">
        <f t="shared" si="10"/>
        <v>15.94</v>
      </c>
      <c r="BB35" s="312">
        <f t="shared" si="7"/>
        <v>22.77</v>
      </c>
      <c r="BC35" s="312">
        <f t="shared" si="7"/>
        <v>29.6</v>
      </c>
      <c r="BD35" s="166"/>
      <c r="BE35" s="312">
        <f t="shared" si="11"/>
        <v>20.96</v>
      </c>
      <c r="BF35" s="312">
        <f t="shared" si="8"/>
        <v>24.61</v>
      </c>
      <c r="BG35" s="312">
        <f t="shared" si="8"/>
        <v>31.99</v>
      </c>
      <c r="BH35" s="166"/>
      <c r="BI35" s="312">
        <f t="shared" si="12"/>
        <v>35.630000000000003</v>
      </c>
      <c r="BJ35" s="312">
        <f t="shared" si="9"/>
        <v>41.84</v>
      </c>
      <c r="BK35" s="312">
        <f t="shared" si="9"/>
        <v>54.39</v>
      </c>
      <c r="BL35" s="362">
        <f t="shared" si="6"/>
        <v>0.29995578600819445</v>
      </c>
    </row>
    <row r="36" spans="2:64">
      <c r="B36" s="159">
        <v>132</v>
      </c>
      <c r="C36" s="160" t="s">
        <v>6179</v>
      </c>
      <c r="D36" s="90" t="s">
        <v>6257</v>
      </c>
      <c r="E36" s="90">
        <v>9500</v>
      </c>
      <c r="F36" s="90">
        <v>10000</v>
      </c>
      <c r="G36" s="295">
        <v>18.7</v>
      </c>
      <c r="H36" s="90"/>
      <c r="I36" s="360">
        <f t="shared" si="0"/>
        <v>24.31</v>
      </c>
      <c r="M36" s="125" t="s">
        <v>6438</v>
      </c>
      <c r="N36" s="116" t="s">
        <v>6439</v>
      </c>
      <c r="O36" s="116" t="s">
        <v>6491</v>
      </c>
      <c r="P36" s="116">
        <v>529</v>
      </c>
      <c r="Q36" s="116">
        <v>540</v>
      </c>
      <c r="R36" s="118">
        <v>5.07</v>
      </c>
      <c r="S36" s="118">
        <v>5.6784000000000008</v>
      </c>
      <c r="T36" s="153">
        <f t="shared" si="1"/>
        <v>0.12000000000000009</v>
      </c>
      <c r="U36" s="72">
        <f t="shared" si="2"/>
        <v>6.59</v>
      </c>
      <c r="V36" s="72">
        <f t="shared" si="3"/>
        <v>7.38</v>
      </c>
      <c r="Y36" s="227">
        <v>31</v>
      </c>
      <c r="Z36" s="227" t="s">
        <v>315</v>
      </c>
      <c r="AA36" s="227" t="s">
        <v>359</v>
      </c>
      <c r="AB36" s="227" t="s">
        <v>360</v>
      </c>
      <c r="AC36" s="227">
        <v>1900</v>
      </c>
      <c r="AD36" s="227">
        <v>2099</v>
      </c>
      <c r="AE36" s="228">
        <v>9.73</v>
      </c>
      <c r="AF36" s="227"/>
      <c r="AG36" s="360">
        <f t="shared" si="4"/>
        <v>12.65</v>
      </c>
      <c r="AI36" s="362">
        <f t="shared" si="5"/>
        <v>0.30010277492291881</v>
      </c>
      <c r="AK36" s="311">
        <v>21208</v>
      </c>
      <c r="AL36" s="311">
        <v>1500</v>
      </c>
      <c r="AM36" s="311">
        <v>1799</v>
      </c>
      <c r="AN36" s="165"/>
      <c r="AO36" s="312">
        <v>14.101248824999995</v>
      </c>
      <c r="AP36" s="312">
        <v>21.015355391999996</v>
      </c>
      <c r="AQ36" s="312">
        <v>27.319962009599998</v>
      </c>
      <c r="AR36" s="166"/>
      <c r="AS36" s="312">
        <v>18.541047959999997</v>
      </c>
      <c r="AT36" s="312">
        <v>22.715873279999997</v>
      </c>
      <c r="AU36" s="312">
        <v>29.530635263999997</v>
      </c>
      <c r="AV36" s="166"/>
      <c r="AW36" s="312">
        <v>31.519781531999993</v>
      </c>
      <c r="AX36" s="312">
        <v>38.616984576</v>
      </c>
      <c r="AY36" s="312">
        <v>50.202079948799998</v>
      </c>
      <c r="AZ36" s="357"/>
      <c r="BA36" s="312">
        <f t="shared" si="10"/>
        <v>18.329999999999998</v>
      </c>
      <c r="BB36" s="312">
        <f t="shared" si="7"/>
        <v>27.32</v>
      </c>
      <c r="BC36" s="312">
        <f t="shared" si="7"/>
        <v>35.520000000000003</v>
      </c>
      <c r="BD36" s="166"/>
      <c r="BE36" s="312">
        <f t="shared" si="11"/>
        <v>24.1</v>
      </c>
      <c r="BF36" s="312">
        <f t="shared" si="8"/>
        <v>29.53</v>
      </c>
      <c r="BG36" s="312">
        <f t="shared" si="8"/>
        <v>38.39</v>
      </c>
      <c r="BH36" s="166"/>
      <c r="BI36" s="312">
        <f t="shared" si="12"/>
        <v>40.98</v>
      </c>
      <c r="BJ36" s="312">
        <f t="shared" si="9"/>
        <v>50.2</v>
      </c>
      <c r="BK36" s="312">
        <f t="shared" si="9"/>
        <v>65.260000000000005</v>
      </c>
      <c r="BL36" s="362">
        <f t="shared" si="6"/>
        <v>0.2998848703033225</v>
      </c>
    </row>
    <row r="37" spans="2:64">
      <c r="B37" s="156">
        <v>130</v>
      </c>
      <c r="C37" s="157" t="s">
        <v>6258</v>
      </c>
      <c r="D37" s="157" t="s">
        <v>6180</v>
      </c>
      <c r="E37" s="157">
        <v>16</v>
      </c>
      <c r="F37" s="157">
        <v>249</v>
      </c>
      <c r="G37" s="158">
        <v>0.93</v>
      </c>
      <c r="H37" s="89">
        <f>ROUND(G37*1.15,2)</f>
        <v>1.07</v>
      </c>
      <c r="I37" s="360">
        <f t="shared" si="0"/>
        <v>1.21</v>
      </c>
      <c r="J37" s="89">
        <f>ROUND(I37*1.15,2)</f>
        <v>1.39</v>
      </c>
      <c r="M37" s="125" t="s">
        <v>6438</v>
      </c>
      <c r="N37" s="116" t="s">
        <v>6439</v>
      </c>
      <c r="O37" s="116" t="s">
        <v>6494</v>
      </c>
      <c r="P37" s="116">
        <v>541</v>
      </c>
      <c r="Q37" s="116">
        <v>552</v>
      </c>
      <c r="R37" s="118">
        <v>5.18</v>
      </c>
      <c r="S37" s="118">
        <v>5.8016000000000005</v>
      </c>
      <c r="T37" s="153">
        <f t="shared" si="1"/>
        <v>0.12000000000000016</v>
      </c>
      <c r="U37" s="72">
        <f t="shared" si="2"/>
        <v>6.73</v>
      </c>
      <c r="V37" s="72">
        <f t="shared" si="3"/>
        <v>7.54</v>
      </c>
      <c r="Y37" s="227">
        <v>31</v>
      </c>
      <c r="Z37" s="227" t="s">
        <v>315</v>
      </c>
      <c r="AA37" s="227" t="s">
        <v>359</v>
      </c>
      <c r="AB37" s="227" t="s">
        <v>360</v>
      </c>
      <c r="AC37" s="227">
        <v>2100</v>
      </c>
      <c r="AD37" s="227">
        <v>2299</v>
      </c>
      <c r="AE37" s="228">
        <v>10.32</v>
      </c>
      <c r="AF37" s="227"/>
      <c r="AG37" s="360">
        <f t="shared" si="4"/>
        <v>13.42</v>
      </c>
      <c r="AI37" s="362">
        <f t="shared" si="5"/>
        <v>0.30038759689922478</v>
      </c>
      <c r="AK37" s="167">
        <v>21308</v>
      </c>
      <c r="AL37" s="167">
        <v>1</v>
      </c>
      <c r="AM37" s="167">
        <v>299</v>
      </c>
      <c r="AN37" s="165"/>
      <c r="AO37" s="169">
        <v>6.7656600000000013</v>
      </c>
      <c r="AP37" s="169">
        <v>9.2901600000000002</v>
      </c>
      <c r="AQ37" s="169">
        <v>12.077208000000001</v>
      </c>
      <c r="AR37" s="166"/>
      <c r="AS37" s="169">
        <v>7.4388600000000009</v>
      </c>
      <c r="AT37" s="169">
        <v>10.553153493975904</v>
      </c>
      <c r="AU37" s="169">
        <v>13.719099542168674</v>
      </c>
      <c r="AV37" s="166"/>
      <c r="AW37" s="169">
        <v>12.646061999999999</v>
      </c>
      <c r="AX37" s="169">
        <v>17.940360939759035</v>
      </c>
      <c r="AY37" s="169">
        <v>23.322469221686749</v>
      </c>
      <c r="AZ37" s="357"/>
      <c r="BA37" s="169">
        <f>ROUND(AO37*1.3,2)</f>
        <v>8.8000000000000007</v>
      </c>
      <c r="BB37" s="169">
        <f t="shared" si="7"/>
        <v>12.08</v>
      </c>
      <c r="BC37" s="169">
        <f t="shared" si="7"/>
        <v>15.7</v>
      </c>
      <c r="BD37" s="166"/>
      <c r="BE37" s="169">
        <f>ROUND(AS37*1.3,2)</f>
        <v>9.67</v>
      </c>
      <c r="BF37" s="169">
        <f t="shared" si="8"/>
        <v>13.72</v>
      </c>
      <c r="BG37" s="169">
        <f t="shared" si="8"/>
        <v>17.829999999999998</v>
      </c>
      <c r="BH37" s="166"/>
      <c r="BI37" s="169">
        <f>ROUND(AW37*1.3,2)</f>
        <v>16.440000000000001</v>
      </c>
      <c r="BJ37" s="169">
        <f t="shared" si="9"/>
        <v>23.32</v>
      </c>
      <c r="BK37" s="169">
        <f t="shared" si="9"/>
        <v>30.32</v>
      </c>
      <c r="BL37" s="362">
        <f t="shared" si="6"/>
        <v>0.30068611192403977</v>
      </c>
    </row>
    <row r="38" spans="2:64">
      <c r="B38" s="156">
        <v>130</v>
      </c>
      <c r="C38" s="157" t="s">
        <v>6258</v>
      </c>
      <c r="D38" s="157" t="s">
        <v>6185</v>
      </c>
      <c r="E38" s="157">
        <v>250</v>
      </c>
      <c r="F38" s="157">
        <v>299</v>
      </c>
      <c r="G38" s="158">
        <v>1.02</v>
      </c>
      <c r="H38" s="89">
        <f t="shared" ref="H38:H70" si="13">ROUND(G38*1.15,2)</f>
        <v>1.17</v>
      </c>
      <c r="I38" s="360">
        <f t="shared" si="0"/>
        <v>1.33</v>
      </c>
      <c r="J38" s="89">
        <f t="shared" ref="J38:J70" si="14">ROUND(I38*1.15,2)</f>
        <v>1.53</v>
      </c>
      <c r="M38" s="125" t="s">
        <v>6438</v>
      </c>
      <c r="N38" s="116" t="s">
        <v>6439</v>
      </c>
      <c r="O38" s="116" t="s">
        <v>6496</v>
      </c>
      <c r="P38" s="116">
        <v>553</v>
      </c>
      <c r="Q38" s="116">
        <v>564</v>
      </c>
      <c r="R38" s="118">
        <v>5.29</v>
      </c>
      <c r="S38" s="118">
        <v>5.9248000000000003</v>
      </c>
      <c r="T38" s="153">
        <f t="shared" si="1"/>
        <v>0.12000000000000005</v>
      </c>
      <c r="U38" s="72">
        <f t="shared" si="2"/>
        <v>6.88</v>
      </c>
      <c r="V38" s="72">
        <f t="shared" si="3"/>
        <v>7.71</v>
      </c>
      <c r="Y38" s="227">
        <v>31</v>
      </c>
      <c r="Z38" s="227" t="s">
        <v>315</v>
      </c>
      <c r="AA38" s="227" t="s">
        <v>359</v>
      </c>
      <c r="AB38" s="227" t="s">
        <v>360</v>
      </c>
      <c r="AC38" s="227">
        <v>2300</v>
      </c>
      <c r="AD38" s="227">
        <v>2568</v>
      </c>
      <c r="AE38" s="228">
        <v>11.1</v>
      </c>
      <c r="AF38" s="227"/>
      <c r="AG38" s="360">
        <f t="shared" si="4"/>
        <v>14.43</v>
      </c>
      <c r="AI38" s="362">
        <f t="shared" si="5"/>
        <v>0.3</v>
      </c>
      <c r="AK38" s="167">
        <v>21308</v>
      </c>
      <c r="AL38" s="167">
        <v>300</v>
      </c>
      <c r="AM38" s="167">
        <v>599</v>
      </c>
      <c r="AN38" s="165"/>
      <c r="AO38" s="169">
        <v>9.2901600000000002</v>
      </c>
      <c r="AP38" s="169">
        <v>11.148191999999998</v>
      </c>
      <c r="AQ38" s="169">
        <v>14.4926496</v>
      </c>
      <c r="AR38" s="166"/>
      <c r="AS38" s="169">
        <v>11.175120000000001</v>
      </c>
      <c r="AT38" s="169">
        <v>12.050280000000001</v>
      </c>
      <c r="AU38" s="169">
        <v>15.665364000000002</v>
      </c>
      <c r="AV38" s="166"/>
      <c r="AW38" s="169">
        <v>18.997704000000006</v>
      </c>
      <c r="AX38" s="169">
        <v>20.485475999999998</v>
      </c>
      <c r="AY38" s="169">
        <v>26.631118800000003</v>
      </c>
      <c r="AZ38" s="357"/>
      <c r="BA38" s="169">
        <f t="shared" ref="BA38:BA42" si="15">ROUND(AO38*1.3,2)</f>
        <v>12.08</v>
      </c>
      <c r="BB38" s="169">
        <f t="shared" si="7"/>
        <v>14.49</v>
      </c>
      <c r="BC38" s="169">
        <f t="shared" si="7"/>
        <v>18.84</v>
      </c>
      <c r="BD38" s="166"/>
      <c r="BE38" s="169">
        <f t="shared" ref="BE38:BE42" si="16">ROUND(AS38*1.3,2)</f>
        <v>14.53</v>
      </c>
      <c r="BF38" s="169">
        <f t="shared" si="8"/>
        <v>15.67</v>
      </c>
      <c r="BG38" s="169">
        <f t="shared" si="8"/>
        <v>20.36</v>
      </c>
      <c r="BH38" s="166"/>
      <c r="BI38" s="169">
        <f t="shared" ref="BI38:BI42" si="17">ROUND(AW38*1.3,2)</f>
        <v>24.7</v>
      </c>
      <c r="BJ38" s="169">
        <f t="shared" si="9"/>
        <v>26.63</v>
      </c>
      <c r="BK38" s="169">
        <f t="shared" si="9"/>
        <v>34.619999999999997</v>
      </c>
      <c r="BL38" s="362">
        <f t="shared" si="6"/>
        <v>0.30030053303710591</v>
      </c>
    </row>
    <row r="39" spans="2:64">
      <c r="B39" s="156">
        <v>130</v>
      </c>
      <c r="C39" s="157" t="s">
        <v>6258</v>
      </c>
      <c r="D39" s="157" t="s">
        <v>6187</v>
      </c>
      <c r="E39" s="157">
        <v>300</v>
      </c>
      <c r="F39" s="157">
        <v>349</v>
      </c>
      <c r="G39" s="158">
        <v>1.1100000000000001</v>
      </c>
      <c r="H39" s="89">
        <f t="shared" si="13"/>
        <v>1.28</v>
      </c>
      <c r="I39" s="360">
        <f t="shared" si="0"/>
        <v>1.44</v>
      </c>
      <c r="J39" s="89">
        <f t="shared" si="14"/>
        <v>1.66</v>
      </c>
      <c r="M39" s="125" t="s">
        <v>6438</v>
      </c>
      <c r="N39" s="116" t="s">
        <v>6439</v>
      </c>
      <c r="O39" s="116" t="s">
        <v>6497</v>
      </c>
      <c r="P39" s="116">
        <v>565</v>
      </c>
      <c r="Q39" s="116">
        <v>576</v>
      </c>
      <c r="R39" s="118">
        <v>5.4</v>
      </c>
      <c r="S39" s="118">
        <v>6.0480000000000009</v>
      </c>
      <c r="T39" s="153">
        <f t="shared" si="1"/>
        <v>0.12000000000000009</v>
      </c>
      <c r="U39" s="72">
        <f t="shared" si="2"/>
        <v>7.02</v>
      </c>
      <c r="V39" s="72">
        <f t="shared" si="3"/>
        <v>7.86</v>
      </c>
      <c r="Y39" s="238">
        <v>31</v>
      </c>
      <c r="Z39" s="238" t="s">
        <v>315</v>
      </c>
      <c r="AA39" s="238" t="s">
        <v>385</v>
      </c>
      <c r="AB39" s="238" t="s">
        <v>386</v>
      </c>
      <c r="AC39" s="238">
        <v>1114</v>
      </c>
      <c r="AD39" s="238">
        <v>1499</v>
      </c>
      <c r="AE39" s="239">
        <v>9.98</v>
      </c>
      <c r="AF39" s="238"/>
      <c r="AG39" s="360">
        <f t="shared" si="4"/>
        <v>12.97</v>
      </c>
      <c r="AI39" s="362">
        <f t="shared" si="5"/>
        <v>0.29959919839679361</v>
      </c>
      <c r="AK39" s="167">
        <v>21308</v>
      </c>
      <c r="AL39" s="167">
        <v>600</v>
      </c>
      <c r="AM39" s="167">
        <v>899</v>
      </c>
      <c r="AN39" s="165"/>
      <c r="AO39" s="169">
        <v>10.198980000000002</v>
      </c>
      <c r="AP39" s="169">
        <v>13.377830399999999</v>
      </c>
      <c r="AQ39" s="169">
        <v>17.391179519999998</v>
      </c>
      <c r="AR39" s="166"/>
      <c r="AS39" s="169">
        <v>13.410144000000003</v>
      </c>
      <c r="AT39" s="169">
        <v>14.460336000000002</v>
      </c>
      <c r="AU39" s="169">
        <v>18.798436800000001</v>
      </c>
      <c r="AV39" s="166"/>
      <c r="AW39" s="169">
        <v>22.797244800000001</v>
      </c>
      <c r="AX39" s="169">
        <v>24.5825712</v>
      </c>
      <c r="AY39" s="169">
        <v>31.957342560000004</v>
      </c>
      <c r="AZ39" s="357"/>
      <c r="BA39" s="169">
        <f t="shared" si="15"/>
        <v>13.26</v>
      </c>
      <c r="BB39" s="169">
        <f t="shared" si="7"/>
        <v>17.39</v>
      </c>
      <c r="BC39" s="169">
        <f t="shared" si="7"/>
        <v>22.61</v>
      </c>
      <c r="BD39" s="166"/>
      <c r="BE39" s="169">
        <f t="shared" si="16"/>
        <v>17.43</v>
      </c>
      <c r="BF39" s="169">
        <f t="shared" si="8"/>
        <v>18.8</v>
      </c>
      <c r="BG39" s="169">
        <f t="shared" si="8"/>
        <v>24.44</v>
      </c>
      <c r="BH39" s="166"/>
      <c r="BI39" s="169">
        <f t="shared" si="17"/>
        <v>29.64</v>
      </c>
      <c r="BJ39" s="169">
        <f t="shared" si="9"/>
        <v>31.96</v>
      </c>
      <c r="BK39" s="169">
        <f t="shared" si="9"/>
        <v>41.54</v>
      </c>
      <c r="BL39" s="362">
        <f t="shared" si="6"/>
        <v>0.30013001300129982</v>
      </c>
    </row>
    <row r="40" spans="2:64">
      <c r="B40" s="156">
        <v>130</v>
      </c>
      <c r="C40" s="157" t="s">
        <v>6258</v>
      </c>
      <c r="D40" s="157" t="s">
        <v>6193</v>
      </c>
      <c r="E40" s="157">
        <v>350</v>
      </c>
      <c r="F40" s="157">
        <v>399</v>
      </c>
      <c r="G40" s="158">
        <v>1.2</v>
      </c>
      <c r="H40" s="89">
        <f t="shared" si="13"/>
        <v>1.38</v>
      </c>
      <c r="I40" s="360">
        <f t="shared" si="0"/>
        <v>1.56</v>
      </c>
      <c r="J40" s="89">
        <f t="shared" si="14"/>
        <v>1.79</v>
      </c>
      <c r="M40" s="125" t="s">
        <v>6438</v>
      </c>
      <c r="N40" s="116" t="s">
        <v>6439</v>
      </c>
      <c r="O40" s="116" t="s">
        <v>6499</v>
      </c>
      <c r="P40" s="116">
        <v>577</v>
      </c>
      <c r="Q40" s="116">
        <v>588</v>
      </c>
      <c r="R40" s="118">
        <v>5.51</v>
      </c>
      <c r="S40" s="118">
        <v>6.1712000000000007</v>
      </c>
      <c r="T40" s="153">
        <f t="shared" si="1"/>
        <v>0.12000000000000016</v>
      </c>
      <c r="U40" s="72">
        <f t="shared" si="2"/>
        <v>7.16</v>
      </c>
      <c r="V40" s="72">
        <f t="shared" si="3"/>
        <v>8.02</v>
      </c>
      <c r="Y40" s="227">
        <v>31</v>
      </c>
      <c r="Z40" s="227" t="s">
        <v>315</v>
      </c>
      <c r="AA40" s="227" t="s">
        <v>385</v>
      </c>
      <c r="AB40" s="227" t="s">
        <v>386</v>
      </c>
      <c r="AC40" s="227">
        <v>1500</v>
      </c>
      <c r="AD40" s="227">
        <v>1999</v>
      </c>
      <c r="AE40" s="228">
        <v>12.13</v>
      </c>
      <c r="AF40" s="227"/>
      <c r="AG40" s="360">
        <f t="shared" si="4"/>
        <v>15.77</v>
      </c>
      <c r="AI40" s="362">
        <f t="shared" si="5"/>
        <v>0.30008244023083253</v>
      </c>
      <c r="AK40" s="167">
        <v>21308</v>
      </c>
      <c r="AL40" s="167">
        <v>900</v>
      </c>
      <c r="AM40" s="167">
        <v>1199</v>
      </c>
      <c r="AN40" s="165"/>
      <c r="AO40" s="169">
        <v>11.728826999999999</v>
      </c>
      <c r="AP40" s="169">
        <v>16.05339648</v>
      </c>
      <c r="AQ40" s="169">
        <v>20.869415424</v>
      </c>
      <c r="AR40" s="166"/>
      <c r="AS40" s="169">
        <v>15.421665600000001</v>
      </c>
      <c r="AT40" s="169">
        <v>17.352403200000001</v>
      </c>
      <c r="AU40" s="169">
        <v>22.558124159999998</v>
      </c>
      <c r="AV40" s="166"/>
      <c r="AW40" s="169">
        <v>26.21683152</v>
      </c>
      <c r="AX40" s="169">
        <v>29.499085440000002</v>
      </c>
      <c r="AY40" s="169">
        <v>38.348811071999997</v>
      </c>
      <c r="AZ40" s="357"/>
      <c r="BA40" s="169">
        <f t="shared" si="15"/>
        <v>15.25</v>
      </c>
      <c r="BB40" s="169">
        <f t="shared" si="7"/>
        <v>20.87</v>
      </c>
      <c r="BC40" s="169">
        <f t="shared" si="7"/>
        <v>27.13</v>
      </c>
      <c r="BD40" s="166"/>
      <c r="BE40" s="169">
        <f t="shared" si="16"/>
        <v>20.05</v>
      </c>
      <c r="BF40" s="169">
        <f t="shared" si="8"/>
        <v>22.56</v>
      </c>
      <c r="BG40" s="169">
        <f t="shared" si="8"/>
        <v>29.33</v>
      </c>
      <c r="BH40" s="166"/>
      <c r="BI40" s="169">
        <f t="shared" si="17"/>
        <v>34.08</v>
      </c>
      <c r="BJ40" s="169">
        <f t="shared" si="9"/>
        <v>38.35</v>
      </c>
      <c r="BK40" s="169">
        <f t="shared" si="9"/>
        <v>49.85</v>
      </c>
      <c r="BL40" s="362">
        <f t="shared" si="6"/>
        <v>0.30021527301920314</v>
      </c>
    </row>
    <row r="41" spans="2:64">
      <c r="B41" s="156">
        <v>130</v>
      </c>
      <c r="C41" s="157" t="s">
        <v>6258</v>
      </c>
      <c r="D41" s="157" t="s">
        <v>6196</v>
      </c>
      <c r="E41" s="157">
        <v>400</v>
      </c>
      <c r="F41" s="157">
        <v>449</v>
      </c>
      <c r="G41" s="158">
        <v>1.29</v>
      </c>
      <c r="H41" s="89">
        <f t="shared" si="13"/>
        <v>1.48</v>
      </c>
      <c r="I41" s="360">
        <f t="shared" si="0"/>
        <v>1.68</v>
      </c>
      <c r="J41" s="89">
        <f t="shared" si="14"/>
        <v>1.93</v>
      </c>
      <c r="M41" s="125" t="s">
        <v>6438</v>
      </c>
      <c r="N41" s="116" t="s">
        <v>6439</v>
      </c>
      <c r="O41" s="116" t="s">
        <v>6500</v>
      </c>
      <c r="P41" s="116">
        <v>589</v>
      </c>
      <c r="Q41" s="116">
        <v>600</v>
      </c>
      <c r="R41" s="118">
        <v>5.62</v>
      </c>
      <c r="S41" s="118">
        <v>6.2944000000000004</v>
      </c>
      <c r="T41" s="153">
        <f t="shared" si="1"/>
        <v>0.12000000000000005</v>
      </c>
      <c r="U41" s="72">
        <f t="shared" si="2"/>
        <v>7.31</v>
      </c>
      <c r="V41" s="72">
        <f t="shared" si="3"/>
        <v>8.19</v>
      </c>
      <c r="Y41" s="227">
        <v>31</v>
      </c>
      <c r="Z41" s="227" t="s">
        <v>315</v>
      </c>
      <c r="AA41" s="227" t="s">
        <v>385</v>
      </c>
      <c r="AB41" s="227" t="s">
        <v>386</v>
      </c>
      <c r="AC41" s="227">
        <v>2000</v>
      </c>
      <c r="AD41" s="227">
        <v>2499</v>
      </c>
      <c r="AE41" s="228">
        <v>14.29</v>
      </c>
      <c r="AF41" s="227"/>
      <c r="AG41" s="360">
        <f t="shared" si="4"/>
        <v>18.579999999999998</v>
      </c>
      <c r="AI41" s="362">
        <f t="shared" si="5"/>
        <v>0.30020993701889431</v>
      </c>
      <c r="AK41" s="167">
        <v>21308</v>
      </c>
      <c r="AL41" s="167">
        <v>1200</v>
      </c>
      <c r="AM41" s="167">
        <v>1499</v>
      </c>
      <c r="AN41" s="165"/>
      <c r="AO41" s="169">
        <v>13.488151049999999</v>
      </c>
      <c r="AP41" s="169">
        <v>19.264075775999999</v>
      </c>
      <c r="AQ41" s="169">
        <v>25.0432985088</v>
      </c>
      <c r="AR41" s="166"/>
      <c r="AS41" s="169">
        <v>17.734915439999998</v>
      </c>
      <c r="AT41" s="169">
        <v>20.822883839999999</v>
      </c>
      <c r="AU41" s="169">
        <v>27.069748992000001</v>
      </c>
      <c r="AV41" s="166"/>
      <c r="AW41" s="169">
        <v>30.149356248</v>
      </c>
      <c r="AX41" s="169">
        <v>35.398902527999994</v>
      </c>
      <c r="AY41" s="169">
        <v>46.018573286400006</v>
      </c>
      <c r="AZ41" s="357"/>
      <c r="BA41" s="169">
        <f t="shared" si="15"/>
        <v>17.53</v>
      </c>
      <c r="BB41" s="169">
        <f t="shared" si="7"/>
        <v>25.04</v>
      </c>
      <c r="BC41" s="169">
        <f t="shared" si="7"/>
        <v>32.56</v>
      </c>
      <c r="BD41" s="166"/>
      <c r="BE41" s="169">
        <f t="shared" si="16"/>
        <v>23.06</v>
      </c>
      <c r="BF41" s="169">
        <f t="shared" si="8"/>
        <v>27.07</v>
      </c>
      <c r="BG41" s="169">
        <f t="shared" si="8"/>
        <v>35.19</v>
      </c>
      <c r="BH41" s="166"/>
      <c r="BI41" s="169">
        <f t="shared" si="17"/>
        <v>39.19</v>
      </c>
      <c r="BJ41" s="169">
        <f t="shared" si="9"/>
        <v>46.02</v>
      </c>
      <c r="BK41" s="169">
        <f t="shared" si="9"/>
        <v>59.82</v>
      </c>
      <c r="BL41" s="362">
        <f t="shared" si="6"/>
        <v>0.29965922942418433</v>
      </c>
    </row>
    <row r="42" spans="2:64">
      <c r="B42" s="156">
        <v>130</v>
      </c>
      <c r="C42" s="157" t="s">
        <v>6258</v>
      </c>
      <c r="D42" s="157" t="s">
        <v>6199</v>
      </c>
      <c r="E42" s="157">
        <v>450</v>
      </c>
      <c r="F42" s="157">
        <v>499</v>
      </c>
      <c r="G42" s="158">
        <v>1.38</v>
      </c>
      <c r="H42" s="89">
        <f t="shared" si="13"/>
        <v>1.59</v>
      </c>
      <c r="I42" s="360">
        <f t="shared" si="0"/>
        <v>1.79</v>
      </c>
      <c r="J42" s="89">
        <f t="shared" si="14"/>
        <v>2.06</v>
      </c>
      <c r="M42" s="125" t="s">
        <v>6438</v>
      </c>
      <c r="N42" s="116" t="s">
        <v>6439</v>
      </c>
      <c r="O42" s="116" t="s">
        <v>6501</v>
      </c>
      <c r="P42" s="116">
        <v>601</v>
      </c>
      <c r="Q42" s="116">
        <v>612</v>
      </c>
      <c r="R42" s="118">
        <v>5.73</v>
      </c>
      <c r="S42" s="118">
        <v>6.4176000000000011</v>
      </c>
      <c r="T42" s="153">
        <f t="shared" si="1"/>
        <v>0.12000000000000011</v>
      </c>
      <c r="U42" s="72">
        <f t="shared" si="2"/>
        <v>7.45</v>
      </c>
      <c r="V42" s="72">
        <f t="shared" si="3"/>
        <v>8.34</v>
      </c>
      <c r="Y42" s="227">
        <v>31</v>
      </c>
      <c r="Z42" s="227" t="s">
        <v>315</v>
      </c>
      <c r="AA42" s="227" t="s">
        <v>385</v>
      </c>
      <c r="AB42" s="227" t="s">
        <v>386</v>
      </c>
      <c r="AC42" s="227">
        <v>2500</v>
      </c>
      <c r="AD42" s="227">
        <v>2999</v>
      </c>
      <c r="AE42" s="228">
        <v>16.440000000000001</v>
      </c>
      <c r="AF42" s="227"/>
      <c r="AG42" s="360">
        <f t="shared" si="4"/>
        <v>21.37</v>
      </c>
      <c r="AI42" s="362">
        <f t="shared" si="5"/>
        <v>0.29987834549878339</v>
      </c>
      <c r="AK42" s="167">
        <v>21308</v>
      </c>
      <c r="AL42" s="167">
        <v>1500</v>
      </c>
      <c r="AM42" s="167">
        <v>1799</v>
      </c>
      <c r="AN42" s="165"/>
      <c r="AO42" s="169">
        <v>15.511373707499997</v>
      </c>
      <c r="AP42" s="169">
        <v>23.116890931199997</v>
      </c>
      <c r="AQ42" s="169">
        <v>30.051958210559999</v>
      </c>
      <c r="AR42" s="166"/>
      <c r="AS42" s="169">
        <v>20.395152755999998</v>
      </c>
      <c r="AT42" s="169">
        <v>24.987460607999999</v>
      </c>
      <c r="AU42" s="169">
        <v>32.483698790399998</v>
      </c>
      <c r="AV42" s="166"/>
      <c r="AW42" s="169">
        <v>34.671759685199994</v>
      </c>
      <c r="AX42" s="169">
        <v>42.478683033600007</v>
      </c>
      <c r="AY42" s="169">
        <v>55.222287943680001</v>
      </c>
      <c r="AZ42" s="357"/>
      <c r="BA42" s="169">
        <f t="shared" si="15"/>
        <v>20.16</v>
      </c>
      <c r="BB42" s="169">
        <f t="shared" si="7"/>
        <v>30.05</v>
      </c>
      <c r="BC42" s="169">
        <f t="shared" si="7"/>
        <v>39.07</v>
      </c>
      <c r="BD42" s="166"/>
      <c r="BE42" s="169">
        <f t="shared" si="16"/>
        <v>26.51</v>
      </c>
      <c r="BF42" s="169">
        <f t="shared" si="8"/>
        <v>32.479999999999997</v>
      </c>
      <c r="BG42" s="169">
        <f t="shared" si="8"/>
        <v>42.23</v>
      </c>
      <c r="BH42" s="166"/>
      <c r="BI42" s="169">
        <f t="shared" si="17"/>
        <v>45.07</v>
      </c>
      <c r="BJ42" s="169">
        <f t="shared" si="9"/>
        <v>55.22</v>
      </c>
      <c r="BK42" s="169">
        <f t="shared" si="9"/>
        <v>71.790000000000006</v>
      </c>
      <c r="BL42" s="362">
        <f t="shared" si="6"/>
        <v>0.29969146383548984</v>
      </c>
    </row>
    <row r="43" spans="2:64">
      <c r="B43" s="156">
        <v>130</v>
      </c>
      <c r="C43" s="157" t="s">
        <v>6258</v>
      </c>
      <c r="D43" s="157" t="s">
        <v>6201</v>
      </c>
      <c r="E43" s="157">
        <v>500</v>
      </c>
      <c r="F43" s="157">
        <v>549</v>
      </c>
      <c r="G43" s="158">
        <v>1.47</v>
      </c>
      <c r="H43" s="89">
        <f t="shared" si="13"/>
        <v>1.69</v>
      </c>
      <c r="I43" s="360">
        <f t="shared" si="0"/>
        <v>1.91</v>
      </c>
      <c r="J43" s="89">
        <f t="shared" si="14"/>
        <v>2.2000000000000002</v>
      </c>
      <c r="M43" s="125" t="s">
        <v>6438</v>
      </c>
      <c r="N43" s="116" t="s">
        <v>6439</v>
      </c>
      <c r="O43" s="116" t="s">
        <v>6502</v>
      </c>
      <c r="P43" s="116">
        <v>613</v>
      </c>
      <c r="Q43" s="116">
        <v>624</v>
      </c>
      <c r="R43" s="118">
        <v>5.84</v>
      </c>
      <c r="S43" s="118">
        <v>6.5408000000000008</v>
      </c>
      <c r="T43" s="153">
        <f t="shared" si="1"/>
        <v>0.12000000000000018</v>
      </c>
      <c r="U43" s="72">
        <f t="shared" si="2"/>
        <v>7.59</v>
      </c>
      <c r="V43" s="72">
        <f t="shared" si="3"/>
        <v>8.5</v>
      </c>
      <c r="Y43" s="227">
        <v>31</v>
      </c>
      <c r="Z43" s="227" t="s">
        <v>315</v>
      </c>
      <c r="AA43" s="227" t="s">
        <v>385</v>
      </c>
      <c r="AB43" s="227" t="s">
        <v>386</v>
      </c>
      <c r="AC43" s="227">
        <v>3000</v>
      </c>
      <c r="AD43" s="227">
        <v>3599</v>
      </c>
      <c r="AE43" s="228">
        <v>19.02</v>
      </c>
      <c r="AF43" s="227"/>
      <c r="AG43" s="360">
        <f t="shared" si="4"/>
        <v>24.73</v>
      </c>
      <c r="AI43" s="362">
        <f t="shared" si="5"/>
        <v>0.30021030494216622</v>
      </c>
      <c r="AK43" s="184">
        <v>21211</v>
      </c>
      <c r="AL43" s="184">
        <v>1</v>
      </c>
      <c r="AM43" s="184">
        <v>299</v>
      </c>
      <c r="AN43" s="165"/>
      <c r="AO43" s="186">
        <v>7.257708</v>
      </c>
      <c r="AP43" s="186">
        <v>9.9658079999999973</v>
      </c>
      <c r="AQ43" s="186">
        <v>12.955550399999998</v>
      </c>
      <c r="AR43" s="166"/>
      <c r="AS43" s="186">
        <v>7.9798679999999997</v>
      </c>
      <c r="AT43" s="186">
        <v>11.320655566265058</v>
      </c>
      <c r="AU43" s="186">
        <v>14.716852236144575</v>
      </c>
      <c r="AV43" s="166"/>
      <c r="AW43" s="186">
        <v>13.565775599999998</v>
      </c>
      <c r="AX43" s="186">
        <v>19.245114462650598</v>
      </c>
      <c r="AY43" s="186">
        <v>25.018648801445782</v>
      </c>
      <c r="AZ43" s="357"/>
      <c r="BA43" s="186">
        <f>ROUND(AO43*1.3,2)</f>
        <v>9.44</v>
      </c>
      <c r="BB43" s="186">
        <f t="shared" si="7"/>
        <v>12.96</v>
      </c>
      <c r="BC43" s="186">
        <f t="shared" si="7"/>
        <v>16.84</v>
      </c>
      <c r="BD43" s="166"/>
      <c r="BE43" s="186">
        <f>ROUND(AS43*1.3,2)</f>
        <v>10.37</v>
      </c>
      <c r="BF43" s="186">
        <f t="shared" si="8"/>
        <v>14.72</v>
      </c>
      <c r="BG43" s="186">
        <f t="shared" si="8"/>
        <v>19.13</v>
      </c>
      <c r="BH43" s="166"/>
      <c r="BI43" s="186">
        <f>ROUND(AW43*1.3,2)</f>
        <v>17.64</v>
      </c>
      <c r="BJ43" s="186">
        <f t="shared" si="9"/>
        <v>25.02</v>
      </c>
      <c r="BK43" s="186">
        <f t="shared" si="9"/>
        <v>32.520000000000003</v>
      </c>
      <c r="BL43" s="362">
        <f t="shared" si="6"/>
        <v>0.30068611192403988</v>
      </c>
    </row>
    <row r="44" spans="2:64">
      <c r="B44" s="156">
        <v>130</v>
      </c>
      <c r="C44" s="157" t="s">
        <v>6258</v>
      </c>
      <c r="D44" s="157" t="s">
        <v>6203</v>
      </c>
      <c r="E44" s="157">
        <v>550</v>
      </c>
      <c r="F44" s="157">
        <v>599</v>
      </c>
      <c r="G44" s="158">
        <v>1.56</v>
      </c>
      <c r="H44" s="89">
        <f t="shared" si="13"/>
        <v>1.79</v>
      </c>
      <c r="I44" s="360">
        <f t="shared" si="0"/>
        <v>2.0299999999999998</v>
      </c>
      <c r="J44" s="89">
        <f t="shared" si="14"/>
        <v>2.33</v>
      </c>
      <c r="M44" s="125" t="s">
        <v>6438</v>
      </c>
      <c r="N44" s="116" t="s">
        <v>6439</v>
      </c>
      <c r="O44" s="116" t="s">
        <v>6506</v>
      </c>
      <c r="P44" s="116">
        <v>625</v>
      </c>
      <c r="Q44" s="116">
        <v>636</v>
      </c>
      <c r="R44" s="118">
        <v>5.95</v>
      </c>
      <c r="S44" s="118">
        <v>6.6640000000000006</v>
      </c>
      <c r="T44" s="153">
        <f t="shared" si="1"/>
        <v>0.12000000000000006</v>
      </c>
      <c r="U44" s="72">
        <f t="shared" si="2"/>
        <v>7.74</v>
      </c>
      <c r="V44" s="72">
        <f t="shared" si="3"/>
        <v>8.67</v>
      </c>
      <c r="Y44" s="227">
        <v>31</v>
      </c>
      <c r="Z44" s="227" t="s">
        <v>315</v>
      </c>
      <c r="AA44" s="227" t="s">
        <v>385</v>
      </c>
      <c r="AB44" s="227" t="s">
        <v>386</v>
      </c>
      <c r="AC44" s="227">
        <v>3600</v>
      </c>
      <c r="AD44" s="227">
        <v>3959</v>
      </c>
      <c r="AE44" s="228">
        <v>20.57</v>
      </c>
      <c r="AF44" s="227"/>
      <c r="AG44" s="360">
        <f t="shared" si="4"/>
        <v>26.74</v>
      </c>
      <c r="AI44" s="362">
        <f t="shared" si="5"/>
        <v>0.29995138551288275</v>
      </c>
      <c r="AK44" s="184">
        <v>21211</v>
      </c>
      <c r="AL44" s="184">
        <v>300</v>
      </c>
      <c r="AM44" s="184">
        <v>599</v>
      </c>
      <c r="AN44" s="165"/>
      <c r="AO44" s="186">
        <v>9.9658079999999973</v>
      </c>
      <c r="AP44" s="186">
        <v>11.958969599999996</v>
      </c>
      <c r="AQ44" s="186">
        <v>15.546660479999998</v>
      </c>
      <c r="AR44" s="166"/>
      <c r="AS44" s="186">
        <v>11.987855999999999</v>
      </c>
      <c r="AT44" s="186">
        <v>12.926664000000001</v>
      </c>
      <c r="AU44" s="186">
        <v>16.8046632</v>
      </c>
      <c r="AV44" s="166"/>
      <c r="AW44" s="186">
        <v>20.379355200000003</v>
      </c>
      <c r="AX44" s="186">
        <v>21.975328799999996</v>
      </c>
      <c r="AY44" s="186">
        <v>28.567927440000002</v>
      </c>
      <c r="AZ44" s="357"/>
      <c r="BA44" s="186">
        <f t="shared" ref="BA44:BC59" si="18">ROUND(AO44*1.3,2)</f>
        <v>12.96</v>
      </c>
      <c r="BB44" s="186">
        <f t="shared" si="7"/>
        <v>15.55</v>
      </c>
      <c r="BC44" s="186">
        <f t="shared" si="7"/>
        <v>20.21</v>
      </c>
      <c r="BD44" s="166"/>
      <c r="BE44" s="186">
        <f t="shared" ref="BE44:BE48" si="19">ROUND(AS44*1.3,2)</f>
        <v>15.58</v>
      </c>
      <c r="BF44" s="186">
        <f t="shared" si="8"/>
        <v>16.8</v>
      </c>
      <c r="BG44" s="186">
        <f t="shared" si="8"/>
        <v>21.85</v>
      </c>
      <c r="BH44" s="166"/>
      <c r="BI44" s="186">
        <f t="shared" ref="BI44:BI48" si="20">ROUND(AW44*1.3,2)</f>
        <v>26.49</v>
      </c>
      <c r="BJ44" s="186">
        <f t="shared" si="9"/>
        <v>28.57</v>
      </c>
      <c r="BK44" s="186">
        <f t="shared" si="9"/>
        <v>37.14</v>
      </c>
      <c r="BL44" s="362">
        <f t="shared" si="6"/>
        <v>0.30044648662707574</v>
      </c>
    </row>
    <row r="45" spans="2:64">
      <c r="B45" s="156">
        <v>130</v>
      </c>
      <c r="C45" s="157" t="s">
        <v>6258</v>
      </c>
      <c r="D45" s="157" t="s">
        <v>6205</v>
      </c>
      <c r="E45" s="157">
        <v>600</v>
      </c>
      <c r="F45" s="157">
        <v>649</v>
      </c>
      <c r="G45" s="158">
        <v>1.65</v>
      </c>
      <c r="H45" s="89">
        <f t="shared" si="13"/>
        <v>1.9</v>
      </c>
      <c r="I45" s="360">
        <f t="shared" si="0"/>
        <v>2.15</v>
      </c>
      <c r="J45" s="89">
        <f t="shared" si="14"/>
        <v>2.4700000000000002</v>
      </c>
      <c r="M45" s="125" t="s">
        <v>6438</v>
      </c>
      <c r="N45" s="116" t="s">
        <v>6439</v>
      </c>
      <c r="O45" s="116" t="s">
        <v>6509</v>
      </c>
      <c r="P45" s="116">
        <v>637</v>
      </c>
      <c r="Q45" s="116">
        <v>648</v>
      </c>
      <c r="R45" s="118">
        <v>6.06</v>
      </c>
      <c r="S45" s="118">
        <v>6.7872000000000003</v>
      </c>
      <c r="T45" s="153">
        <f t="shared" si="1"/>
        <v>0.12000000000000013</v>
      </c>
      <c r="U45" s="72">
        <f t="shared" si="2"/>
        <v>7.88</v>
      </c>
      <c r="V45" s="72">
        <f t="shared" si="3"/>
        <v>8.83</v>
      </c>
      <c r="Y45" s="223">
        <v>50</v>
      </c>
      <c r="Z45" s="223">
        <v>3</v>
      </c>
      <c r="AA45" s="252" t="s">
        <v>316</v>
      </c>
      <c r="AB45" s="252" t="s">
        <v>316</v>
      </c>
      <c r="AC45" s="252">
        <v>16</v>
      </c>
      <c r="AD45" s="253">
        <v>249</v>
      </c>
      <c r="AE45" s="224">
        <v>3.76</v>
      </c>
      <c r="AF45" s="224">
        <v>3.91</v>
      </c>
      <c r="AG45" s="360">
        <f t="shared" si="4"/>
        <v>4.8899999999999997</v>
      </c>
      <c r="AH45" s="360">
        <f>ROUND(AG45*1.04,2)</f>
        <v>5.09</v>
      </c>
      <c r="AI45" s="362">
        <f t="shared" si="5"/>
        <v>0.30053191489361702</v>
      </c>
      <c r="AJ45" s="362"/>
      <c r="AK45" s="184">
        <v>21211</v>
      </c>
      <c r="AL45" s="184">
        <v>600</v>
      </c>
      <c r="AM45" s="184">
        <v>899</v>
      </c>
      <c r="AN45" s="165"/>
      <c r="AO45" s="186">
        <v>10.940723999999999</v>
      </c>
      <c r="AP45" s="186">
        <v>14.350763519999997</v>
      </c>
      <c r="AQ45" s="186">
        <v>18.655992575999996</v>
      </c>
      <c r="AR45" s="166"/>
      <c r="AS45" s="186">
        <v>14.385427200000001</v>
      </c>
      <c r="AT45" s="186">
        <v>15.5119968</v>
      </c>
      <c r="AU45" s="186">
        <v>20.165595839999998</v>
      </c>
      <c r="AV45" s="166"/>
      <c r="AW45" s="186">
        <v>24.455226239999998</v>
      </c>
      <c r="AX45" s="186">
        <v>26.370394559999998</v>
      </c>
      <c r="AY45" s="186">
        <v>34.281512927999998</v>
      </c>
      <c r="AZ45" s="357"/>
      <c r="BA45" s="186">
        <f t="shared" si="18"/>
        <v>14.22</v>
      </c>
      <c r="BB45" s="186">
        <f t="shared" si="7"/>
        <v>18.66</v>
      </c>
      <c r="BC45" s="186">
        <f t="shared" si="7"/>
        <v>24.25</v>
      </c>
      <c r="BD45" s="166"/>
      <c r="BE45" s="186">
        <f t="shared" si="19"/>
        <v>18.7</v>
      </c>
      <c r="BF45" s="186">
        <f t="shared" si="8"/>
        <v>20.170000000000002</v>
      </c>
      <c r="BG45" s="186">
        <f t="shared" si="8"/>
        <v>26.22</v>
      </c>
      <c r="BH45" s="166"/>
      <c r="BI45" s="186">
        <f t="shared" si="20"/>
        <v>31.79</v>
      </c>
      <c r="BJ45" s="186">
        <f t="shared" si="9"/>
        <v>34.28</v>
      </c>
      <c r="BK45" s="186">
        <f t="shared" si="9"/>
        <v>44.57</v>
      </c>
      <c r="BL45" s="362">
        <f t="shared" si="6"/>
        <v>0.29973116952772061</v>
      </c>
    </row>
    <row r="46" spans="2:64">
      <c r="B46" s="156">
        <v>130</v>
      </c>
      <c r="C46" s="157" t="s">
        <v>6258</v>
      </c>
      <c r="D46" s="157" t="s">
        <v>6207</v>
      </c>
      <c r="E46" s="157">
        <v>650</v>
      </c>
      <c r="F46" s="157">
        <v>699</v>
      </c>
      <c r="G46" s="158">
        <v>1.74</v>
      </c>
      <c r="H46" s="89">
        <f t="shared" si="13"/>
        <v>2</v>
      </c>
      <c r="I46" s="360">
        <f t="shared" si="0"/>
        <v>2.2599999999999998</v>
      </c>
      <c r="J46" s="89">
        <f t="shared" si="14"/>
        <v>2.6</v>
      </c>
      <c r="M46" s="125" t="s">
        <v>6438</v>
      </c>
      <c r="N46" s="116" t="s">
        <v>6439</v>
      </c>
      <c r="O46" s="116" t="s">
        <v>6510</v>
      </c>
      <c r="P46" s="116">
        <v>649</v>
      </c>
      <c r="Q46" s="116">
        <v>660</v>
      </c>
      <c r="R46" s="118">
        <v>6.17</v>
      </c>
      <c r="S46" s="118">
        <v>6.910400000000001</v>
      </c>
      <c r="T46" s="153">
        <f t="shared" si="1"/>
        <v>0.12000000000000018</v>
      </c>
      <c r="U46" s="72">
        <f t="shared" si="2"/>
        <v>8.02</v>
      </c>
      <c r="V46" s="72">
        <f t="shared" si="3"/>
        <v>8.98</v>
      </c>
      <c r="Y46" s="227">
        <v>50</v>
      </c>
      <c r="Z46" s="227">
        <v>3</v>
      </c>
      <c r="AA46" s="255" t="s">
        <v>316</v>
      </c>
      <c r="AB46" s="255" t="s">
        <v>316</v>
      </c>
      <c r="AC46" s="255">
        <f t="shared" ref="AC46:AC52" si="21">+AD45+1</f>
        <v>250</v>
      </c>
      <c r="AD46" s="256">
        <v>299</v>
      </c>
      <c r="AE46" s="228">
        <v>3.84</v>
      </c>
      <c r="AF46" s="228">
        <v>4</v>
      </c>
      <c r="AG46" s="360">
        <f t="shared" si="4"/>
        <v>4.99</v>
      </c>
      <c r="AH46" s="360">
        <f t="shared" ref="AH46:AH109" si="22">ROUND(AG46*1.04,2)</f>
        <v>5.19</v>
      </c>
      <c r="AI46" s="362">
        <f>(AG46-AE46)/AE46</f>
        <v>0.2994791666666668</v>
      </c>
      <c r="AJ46" s="362"/>
      <c r="AK46" s="184">
        <v>21211</v>
      </c>
      <c r="AL46" s="184">
        <v>900</v>
      </c>
      <c r="AM46" s="184">
        <v>1199</v>
      </c>
      <c r="AN46" s="165"/>
      <c r="AO46" s="186">
        <v>12.581832599999998</v>
      </c>
      <c r="AP46" s="186">
        <v>17.220916223999996</v>
      </c>
      <c r="AQ46" s="186">
        <v>22.387191091199995</v>
      </c>
      <c r="AR46" s="166"/>
      <c r="AS46" s="186">
        <v>16.54324128</v>
      </c>
      <c r="AT46" s="186">
        <v>18.614396159999998</v>
      </c>
      <c r="AU46" s="186">
        <v>24.198715007999994</v>
      </c>
      <c r="AV46" s="166"/>
      <c r="AW46" s="186">
        <v>28.123510175999993</v>
      </c>
      <c r="AX46" s="186">
        <v>31.644473471999998</v>
      </c>
      <c r="AY46" s="186">
        <v>41.137815513599989</v>
      </c>
      <c r="AZ46" s="357"/>
      <c r="BA46" s="186">
        <f t="shared" si="18"/>
        <v>16.36</v>
      </c>
      <c r="BB46" s="186">
        <f t="shared" si="7"/>
        <v>22.39</v>
      </c>
      <c r="BC46" s="186">
        <f t="shared" si="7"/>
        <v>29.1</v>
      </c>
      <c r="BD46" s="166"/>
      <c r="BE46" s="186">
        <f t="shared" si="19"/>
        <v>21.51</v>
      </c>
      <c r="BF46" s="186">
        <f t="shared" si="8"/>
        <v>24.2</v>
      </c>
      <c r="BG46" s="186">
        <f t="shared" si="8"/>
        <v>31.46</v>
      </c>
      <c r="BH46" s="166"/>
      <c r="BI46" s="186">
        <f t="shared" si="20"/>
        <v>36.56</v>
      </c>
      <c r="BJ46" s="186">
        <f t="shared" si="9"/>
        <v>41.14</v>
      </c>
      <c r="BK46" s="186">
        <f t="shared" si="9"/>
        <v>53.48</v>
      </c>
      <c r="BL46" s="362">
        <f t="shared" si="6"/>
        <v>0.30028752727166325</v>
      </c>
    </row>
    <row r="47" spans="2:64">
      <c r="B47" s="156">
        <v>130</v>
      </c>
      <c r="C47" s="157" t="s">
        <v>6258</v>
      </c>
      <c r="D47" s="157" t="s">
        <v>6211</v>
      </c>
      <c r="E47" s="157">
        <v>700</v>
      </c>
      <c r="F47" s="157">
        <v>749</v>
      </c>
      <c r="G47" s="158">
        <v>1.83</v>
      </c>
      <c r="H47" s="89">
        <f t="shared" si="13"/>
        <v>2.1</v>
      </c>
      <c r="I47" s="360">
        <f t="shared" si="0"/>
        <v>2.38</v>
      </c>
      <c r="J47" s="89">
        <f t="shared" si="14"/>
        <v>2.74</v>
      </c>
      <c r="M47" s="125" t="s">
        <v>6438</v>
      </c>
      <c r="N47" s="116" t="s">
        <v>6439</v>
      </c>
      <c r="O47" s="116" t="s">
        <v>6512</v>
      </c>
      <c r="P47" s="116">
        <v>661</v>
      </c>
      <c r="Q47" s="116">
        <v>672</v>
      </c>
      <c r="R47" s="118">
        <v>6.28</v>
      </c>
      <c r="S47" s="118">
        <v>7.0336000000000007</v>
      </c>
      <c r="T47" s="153">
        <f t="shared" si="1"/>
        <v>0.12000000000000008</v>
      </c>
      <c r="U47" s="72">
        <f t="shared" si="2"/>
        <v>8.16</v>
      </c>
      <c r="V47" s="72">
        <f t="shared" si="3"/>
        <v>9.14</v>
      </c>
      <c r="Y47" s="227">
        <v>50</v>
      </c>
      <c r="Z47" s="227">
        <v>3</v>
      </c>
      <c r="AA47" s="255" t="s">
        <v>316</v>
      </c>
      <c r="AB47" s="255" t="s">
        <v>316</v>
      </c>
      <c r="AC47" s="255">
        <f t="shared" si="21"/>
        <v>300</v>
      </c>
      <c r="AD47" s="256">
        <v>349</v>
      </c>
      <c r="AE47" s="228">
        <v>3.93</v>
      </c>
      <c r="AF47" s="228">
        <v>4.09</v>
      </c>
      <c r="AG47" s="360">
        <f t="shared" si="4"/>
        <v>5.1100000000000003</v>
      </c>
      <c r="AH47" s="360">
        <f t="shared" si="22"/>
        <v>5.31</v>
      </c>
      <c r="AI47" s="362">
        <f t="shared" si="5"/>
        <v>0.30025445292620867</v>
      </c>
      <c r="AJ47" s="362"/>
      <c r="AK47" s="184">
        <v>21211</v>
      </c>
      <c r="AL47" s="184">
        <v>1200</v>
      </c>
      <c r="AM47" s="184">
        <v>1499</v>
      </c>
      <c r="AN47" s="165"/>
      <c r="AO47" s="186">
        <v>14.469107489999995</v>
      </c>
      <c r="AP47" s="186">
        <v>20.665099468799994</v>
      </c>
      <c r="AQ47" s="186">
        <v>26.864629309439998</v>
      </c>
      <c r="AR47" s="166"/>
      <c r="AS47" s="186">
        <v>19.024727471999995</v>
      </c>
      <c r="AT47" s="186">
        <v>22.337275391999999</v>
      </c>
      <c r="AU47" s="186">
        <v>29.038458009599996</v>
      </c>
      <c r="AV47" s="166"/>
      <c r="AW47" s="186">
        <v>32.342036702399994</v>
      </c>
      <c r="AX47" s="186">
        <v>37.973368166399993</v>
      </c>
      <c r="AY47" s="186">
        <v>49.365378616319994</v>
      </c>
      <c r="AZ47" s="357"/>
      <c r="BA47" s="186">
        <f t="shared" si="18"/>
        <v>18.809999999999999</v>
      </c>
      <c r="BB47" s="186">
        <f t="shared" si="18"/>
        <v>26.86</v>
      </c>
      <c r="BC47" s="186">
        <f t="shared" si="18"/>
        <v>34.92</v>
      </c>
      <c r="BD47" s="166"/>
      <c r="BE47" s="186">
        <f t="shared" si="19"/>
        <v>24.73</v>
      </c>
      <c r="BF47" s="186">
        <f t="shared" si="8"/>
        <v>29.04</v>
      </c>
      <c r="BG47" s="186">
        <f t="shared" si="8"/>
        <v>37.75</v>
      </c>
      <c r="BH47" s="166"/>
      <c r="BI47" s="186">
        <f t="shared" si="20"/>
        <v>42.04</v>
      </c>
      <c r="BJ47" s="186">
        <f t="shared" si="9"/>
        <v>49.37</v>
      </c>
      <c r="BK47" s="186">
        <f t="shared" si="9"/>
        <v>64.17</v>
      </c>
      <c r="BL47" s="362">
        <f t="shared" si="6"/>
        <v>0.30001107621877265</v>
      </c>
    </row>
    <row r="48" spans="2:64">
      <c r="B48" s="156">
        <v>130</v>
      </c>
      <c r="C48" s="157" t="s">
        <v>6258</v>
      </c>
      <c r="D48" s="157" t="s">
        <v>6212</v>
      </c>
      <c r="E48" s="157">
        <v>750</v>
      </c>
      <c r="F48" s="157">
        <v>799</v>
      </c>
      <c r="G48" s="158">
        <v>1.92</v>
      </c>
      <c r="H48" s="89">
        <f t="shared" si="13"/>
        <v>2.21</v>
      </c>
      <c r="I48" s="360">
        <f t="shared" si="0"/>
        <v>2.5</v>
      </c>
      <c r="J48" s="89">
        <f t="shared" si="14"/>
        <v>2.88</v>
      </c>
      <c r="M48" s="125" t="s">
        <v>6438</v>
      </c>
      <c r="N48" s="116" t="s">
        <v>6439</v>
      </c>
      <c r="O48" s="116" t="s">
        <v>6513</v>
      </c>
      <c r="P48" s="116">
        <v>673</v>
      </c>
      <c r="Q48" s="116">
        <v>684</v>
      </c>
      <c r="R48" s="118">
        <v>6.39</v>
      </c>
      <c r="S48" s="118">
        <v>7.1568000000000005</v>
      </c>
      <c r="T48" s="153">
        <f t="shared" si="1"/>
        <v>0.12000000000000013</v>
      </c>
      <c r="U48" s="72">
        <f t="shared" si="2"/>
        <v>8.31</v>
      </c>
      <c r="V48" s="72">
        <f t="shared" si="3"/>
        <v>9.31</v>
      </c>
      <c r="Y48" s="227">
        <v>50</v>
      </c>
      <c r="Z48" s="227">
        <v>3</v>
      </c>
      <c r="AA48" s="255" t="s">
        <v>316</v>
      </c>
      <c r="AB48" s="255" t="s">
        <v>316</v>
      </c>
      <c r="AC48" s="255">
        <f t="shared" si="21"/>
        <v>350</v>
      </c>
      <c r="AD48" s="256">
        <v>399</v>
      </c>
      <c r="AE48" s="228">
        <v>4.01</v>
      </c>
      <c r="AF48" s="228">
        <v>4.17</v>
      </c>
      <c r="AG48" s="360">
        <f t="shared" si="4"/>
        <v>5.21</v>
      </c>
      <c r="AH48" s="360">
        <f t="shared" si="22"/>
        <v>5.42</v>
      </c>
      <c r="AI48" s="362">
        <f t="shared" si="5"/>
        <v>0.29925187032418959</v>
      </c>
      <c r="AJ48" s="362"/>
      <c r="AK48" s="184">
        <v>21211</v>
      </c>
      <c r="AL48" s="184">
        <v>1500</v>
      </c>
      <c r="AM48" s="184">
        <v>1799</v>
      </c>
      <c r="AN48" s="165"/>
      <c r="AO48" s="186">
        <v>16.639473613499995</v>
      </c>
      <c r="AP48" s="186">
        <v>24.798119362559994</v>
      </c>
      <c r="AQ48" s="186">
        <v>32.237555171327998</v>
      </c>
      <c r="AR48" s="166"/>
      <c r="AS48" s="186">
        <v>21.878436592799996</v>
      </c>
      <c r="AT48" s="186">
        <v>26.804730470399996</v>
      </c>
      <c r="AU48" s="186">
        <v>34.846149611519998</v>
      </c>
      <c r="AV48" s="166"/>
      <c r="AW48" s="186">
        <v>37.19334220775999</v>
      </c>
      <c r="AX48" s="186">
        <v>45.568041799679996</v>
      </c>
      <c r="AY48" s="186">
        <v>59.238454339583996</v>
      </c>
      <c r="AZ48" s="357"/>
      <c r="BA48" s="186">
        <f t="shared" si="18"/>
        <v>21.63</v>
      </c>
      <c r="BB48" s="186">
        <f t="shared" si="18"/>
        <v>32.24</v>
      </c>
      <c r="BC48" s="186">
        <f t="shared" si="18"/>
        <v>41.91</v>
      </c>
      <c r="BD48" s="166"/>
      <c r="BE48" s="186">
        <f t="shared" si="19"/>
        <v>28.44</v>
      </c>
      <c r="BF48" s="186">
        <f t="shared" si="8"/>
        <v>34.85</v>
      </c>
      <c r="BG48" s="186">
        <f t="shared" si="8"/>
        <v>45.3</v>
      </c>
      <c r="BH48" s="166"/>
      <c r="BI48" s="186">
        <f t="shared" si="20"/>
        <v>48.35</v>
      </c>
      <c r="BJ48" s="186">
        <f t="shared" si="9"/>
        <v>59.24</v>
      </c>
      <c r="BK48" s="186">
        <f t="shared" si="9"/>
        <v>77.010000000000005</v>
      </c>
      <c r="BL48" s="362">
        <f t="shared" si="6"/>
        <v>0.29992092913630836</v>
      </c>
    </row>
    <row r="49" spans="2:64">
      <c r="B49" s="156">
        <v>130</v>
      </c>
      <c r="C49" s="157" t="s">
        <v>6258</v>
      </c>
      <c r="D49" s="157" t="s">
        <v>6213</v>
      </c>
      <c r="E49" s="157">
        <v>800</v>
      </c>
      <c r="F49" s="157">
        <v>849</v>
      </c>
      <c r="G49" s="158">
        <v>2.0099999999999998</v>
      </c>
      <c r="H49" s="89">
        <f t="shared" si="13"/>
        <v>2.31</v>
      </c>
      <c r="I49" s="360">
        <f t="shared" si="0"/>
        <v>2.61</v>
      </c>
      <c r="J49" s="89">
        <f t="shared" si="14"/>
        <v>3</v>
      </c>
      <c r="M49" s="125" t="s">
        <v>6438</v>
      </c>
      <c r="N49" s="116" t="s">
        <v>6439</v>
      </c>
      <c r="O49" s="116" t="s">
        <v>6514</v>
      </c>
      <c r="P49" s="116">
        <v>685</v>
      </c>
      <c r="Q49" s="116">
        <v>696</v>
      </c>
      <c r="R49" s="118">
        <v>6.5</v>
      </c>
      <c r="S49" s="118">
        <v>7.2800000000000011</v>
      </c>
      <c r="T49" s="153">
        <f t="shared" si="1"/>
        <v>0.12000000000000018</v>
      </c>
      <c r="U49" s="72">
        <f t="shared" si="2"/>
        <v>8.4499999999999993</v>
      </c>
      <c r="V49" s="72">
        <f t="shared" si="3"/>
        <v>9.4600000000000009</v>
      </c>
      <c r="Y49" s="227">
        <v>50</v>
      </c>
      <c r="Z49" s="227">
        <v>3</v>
      </c>
      <c r="AA49" s="255" t="s">
        <v>316</v>
      </c>
      <c r="AB49" s="255" t="s">
        <v>316</v>
      </c>
      <c r="AC49" s="255">
        <f t="shared" si="21"/>
        <v>400</v>
      </c>
      <c r="AD49" s="256">
        <f>+AD48+50</f>
        <v>449</v>
      </c>
      <c r="AE49" s="228">
        <v>4.0999999999999996</v>
      </c>
      <c r="AF49" s="228">
        <v>4.26</v>
      </c>
      <c r="AG49" s="360">
        <f t="shared" si="4"/>
        <v>5.33</v>
      </c>
      <c r="AH49" s="360">
        <f t="shared" si="22"/>
        <v>5.54</v>
      </c>
      <c r="AI49" s="362">
        <f t="shared" si="5"/>
        <v>0.30000000000000016</v>
      </c>
      <c r="AJ49" s="362"/>
      <c r="AK49" s="174">
        <v>21311</v>
      </c>
      <c r="AL49" s="174">
        <v>1</v>
      </c>
      <c r="AM49" s="174">
        <v>299</v>
      </c>
      <c r="AN49" s="165"/>
      <c r="AO49" s="175">
        <v>7.9834788000000003</v>
      </c>
      <c r="AP49" s="175">
        <v>10.962388799999998</v>
      </c>
      <c r="AQ49" s="175">
        <v>14.25110544</v>
      </c>
      <c r="AR49" s="166"/>
      <c r="AS49" s="175">
        <v>8.7778548000000001</v>
      </c>
      <c r="AT49" s="175">
        <v>12.452721122891566</v>
      </c>
      <c r="AU49" s="175">
        <v>16.188537459759033</v>
      </c>
      <c r="AV49" s="166"/>
      <c r="AW49" s="175">
        <v>14.92235316</v>
      </c>
      <c r="AX49" s="175">
        <v>21.169625908915659</v>
      </c>
      <c r="AY49" s="175">
        <v>27.520513681590362</v>
      </c>
      <c r="AZ49" s="357"/>
      <c r="BA49" s="175">
        <f>ROUND(AO49*1.3,2)</f>
        <v>10.38</v>
      </c>
      <c r="BB49" s="175">
        <f t="shared" si="18"/>
        <v>14.25</v>
      </c>
      <c r="BC49" s="175">
        <f t="shared" si="18"/>
        <v>18.53</v>
      </c>
      <c r="BD49" s="166"/>
      <c r="BE49" s="175">
        <f>ROUND(AS49*1.3,2)</f>
        <v>11.41</v>
      </c>
      <c r="BF49" s="175">
        <f t="shared" si="8"/>
        <v>16.190000000000001</v>
      </c>
      <c r="BG49" s="175">
        <f t="shared" si="8"/>
        <v>21.05</v>
      </c>
      <c r="BH49" s="166"/>
      <c r="BI49" s="175">
        <f>ROUND(AW49*1.3,2)</f>
        <v>19.399999999999999</v>
      </c>
      <c r="BJ49" s="175">
        <f t="shared" si="9"/>
        <v>27.52</v>
      </c>
      <c r="BK49" s="175">
        <f t="shared" si="9"/>
        <v>35.78</v>
      </c>
      <c r="BL49" s="362">
        <f t="shared" si="6"/>
        <v>0.30018507721220483</v>
      </c>
    </row>
    <row r="50" spans="2:64">
      <c r="B50" s="156">
        <v>130</v>
      </c>
      <c r="C50" s="157" t="s">
        <v>6258</v>
      </c>
      <c r="D50" s="157" t="s">
        <v>6216</v>
      </c>
      <c r="E50" s="157">
        <v>850</v>
      </c>
      <c r="F50" s="157">
        <v>899</v>
      </c>
      <c r="G50" s="158">
        <v>2.1</v>
      </c>
      <c r="H50" s="89">
        <f t="shared" si="13"/>
        <v>2.42</v>
      </c>
      <c r="I50" s="360">
        <f t="shared" si="0"/>
        <v>2.73</v>
      </c>
      <c r="J50" s="89">
        <f t="shared" si="14"/>
        <v>3.14</v>
      </c>
      <c r="M50" s="125" t="s">
        <v>6438</v>
      </c>
      <c r="N50" s="116" t="s">
        <v>6439</v>
      </c>
      <c r="O50" s="116" t="s">
        <v>6516</v>
      </c>
      <c r="P50" s="116">
        <v>697</v>
      </c>
      <c r="Q50" s="116">
        <v>708</v>
      </c>
      <c r="R50" s="118">
        <v>6.61</v>
      </c>
      <c r="S50" s="118">
        <v>7.4032000000000009</v>
      </c>
      <c r="T50" s="153">
        <f t="shared" si="1"/>
        <v>0.12000000000000008</v>
      </c>
      <c r="U50" s="72">
        <f t="shared" si="2"/>
        <v>8.59</v>
      </c>
      <c r="V50" s="72">
        <f t="shared" si="3"/>
        <v>9.6199999999999992</v>
      </c>
      <c r="Y50" s="227">
        <v>50</v>
      </c>
      <c r="Z50" s="227">
        <v>3</v>
      </c>
      <c r="AA50" s="255" t="s">
        <v>316</v>
      </c>
      <c r="AB50" s="255" t="s">
        <v>316</v>
      </c>
      <c r="AC50" s="255">
        <f t="shared" si="21"/>
        <v>450</v>
      </c>
      <c r="AD50" s="256">
        <f>+AD49+50</f>
        <v>499</v>
      </c>
      <c r="AE50" s="228">
        <v>4.18</v>
      </c>
      <c r="AF50" s="228">
        <v>4.3499999999999996</v>
      </c>
      <c r="AG50" s="360">
        <f t="shared" si="4"/>
        <v>5.43</v>
      </c>
      <c r="AH50" s="360">
        <f t="shared" si="22"/>
        <v>5.65</v>
      </c>
      <c r="AI50" s="362">
        <f t="shared" si="5"/>
        <v>0.29904306220095694</v>
      </c>
      <c r="AJ50" s="362"/>
      <c r="AK50" s="174">
        <v>21311</v>
      </c>
      <c r="AL50" s="174">
        <v>300</v>
      </c>
      <c r="AM50" s="174">
        <v>599</v>
      </c>
      <c r="AN50" s="165"/>
      <c r="AO50" s="175">
        <v>10.962388799999998</v>
      </c>
      <c r="AP50" s="175">
        <v>13.154866559999997</v>
      </c>
      <c r="AQ50" s="175">
        <v>17.101326527999998</v>
      </c>
      <c r="AR50" s="166"/>
      <c r="AS50" s="175">
        <v>13.1866416</v>
      </c>
      <c r="AT50" s="175">
        <v>14.219330400000002</v>
      </c>
      <c r="AU50" s="175">
        <v>18.485129520000001</v>
      </c>
      <c r="AV50" s="166"/>
      <c r="AW50" s="175">
        <v>22.417290720000004</v>
      </c>
      <c r="AX50" s="175">
        <v>24.172861679999997</v>
      </c>
      <c r="AY50" s="175">
        <v>31.424720184000005</v>
      </c>
      <c r="AZ50" s="357"/>
      <c r="BA50" s="175">
        <f t="shared" ref="BA50:BA54" si="23">ROUND(AO50*1.3,2)</f>
        <v>14.25</v>
      </c>
      <c r="BB50" s="175">
        <f t="shared" si="18"/>
        <v>17.100000000000001</v>
      </c>
      <c r="BC50" s="175">
        <f t="shared" si="18"/>
        <v>22.23</v>
      </c>
      <c r="BD50" s="166"/>
      <c r="BE50" s="175">
        <f t="shared" ref="BE50:BE54" si="24">ROUND(AS50*1.3,2)</f>
        <v>17.14</v>
      </c>
      <c r="BF50" s="175">
        <f t="shared" si="8"/>
        <v>18.489999999999998</v>
      </c>
      <c r="BG50" s="175">
        <f t="shared" si="8"/>
        <v>24.03</v>
      </c>
      <c r="BH50" s="166"/>
      <c r="BI50" s="175">
        <f t="shared" ref="BI50:BI54" si="25">ROUND(AW50*1.3,2)</f>
        <v>29.14</v>
      </c>
      <c r="BJ50" s="175">
        <f t="shared" si="9"/>
        <v>31.42</v>
      </c>
      <c r="BK50" s="175">
        <f t="shared" si="9"/>
        <v>40.85</v>
      </c>
      <c r="BL50" s="362">
        <f t="shared" si="6"/>
        <v>0.29989916066469047</v>
      </c>
    </row>
    <row r="51" spans="2:64">
      <c r="B51" s="156">
        <v>130</v>
      </c>
      <c r="C51" s="157" t="s">
        <v>6258</v>
      </c>
      <c r="D51" s="157" t="s">
        <v>6221</v>
      </c>
      <c r="E51" s="157">
        <v>900</v>
      </c>
      <c r="F51" s="157">
        <v>949</v>
      </c>
      <c r="G51" s="158">
        <v>2.19</v>
      </c>
      <c r="H51" s="89">
        <f t="shared" si="13"/>
        <v>2.52</v>
      </c>
      <c r="I51" s="360">
        <f t="shared" si="0"/>
        <v>2.85</v>
      </c>
      <c r="J51" s="89">
        <f t="shared" si="14"/>
        <v>3.28</v>
      </c>
      <c r="M51" s="125" t="s">
        <v>6438</v>
      </c>
      <c r="N51" s="116" t="s">
        <v>6439</v>
      </c>
      <c r="O51" s="116" t="s">
        <v>6518</v>
      </c>
      <c r="P51" s="116">
        <v>709</v>
      </c>
      <c r="Q51" s="116">
        <v>720</v>
      </c>
      <c r="R51" s="118">
        <v>6.72</v>
      </c>
      <c r="S51" s="118">
        <v>7.5264000000000006</v>
      </c>
      <c r="T51" s="153">
        <f t="shared" si="1"/>
        <v>0.12000000000000013</v>
      </c>
      <c r="U51" s="72">
        <f t="shared" si="2"/>
        <v>8.74</v>
      </c>
      <c r="V51" s="72">
        <f t="shared" si="3"/>
        <v>9.7899999999999991</v>
      </c>
      <c r="Y51" s="227">
        <v>50</v>
      </c>
      <c r="Z51" s="227">
        <v>3</v>
      </c>
      <c r="AA51" s="255" t="s">
        <v>316</v>
      </c>
      <c r="AB51" s="255" t="s">
        <v>316</v>
      </c>
      <c r="AC51" s="255">
        <f t="shared" si="21"/>
        <v>500</v>
      </c>
      <c r="AD51" s="256">
        <f>+AD50+50</f>
        <v>549</v>
      </c>
      <c r="AE51" s="228">
        <v>4.26</v>
      </c>
      <c r="AF51" s="228">
        <v>4.43</v>
      </c>
      <c r="AG51" s="360">
        <f t="shared" si="4"/>
        <v>5.54</v>
      </c>
      <c r="AH51" s="360">
        <f t="shared" si="22"/>
        <v>5.76</v>
      </c>
      <c r="AI51" s="362">
        <f t="shared" si="5"/>
        <v>0.30046948356807518</v>
      </c>
      <c r="AJ51" s="362"/>
      <c r="AK51" s="174">
        <v>21311</v>
      </c>
      <c r="AL51" s="174">
        <v>600</v>
      </c>
      <c r="AM51" s="174">
        <v>899</v>
      </c>
      <c r="AN51" s="165"/>
      <c r="AO51" s="175">
        <v>12.034796400000001</v>
      </c>
      <c r="AP51" s="175">
        <v>15.785839871999999</v>
      </c>
      <c r="AQ51" s="175">
        <v>20.521591833599995</v>
      </c>
      <c r="AR51" s="166"/>
      <c r="AS51" s="175">
        <v>15.823969920000001</v>
      </c>
      <c r="AT51" s="175">
        <v>17.063196480000002</v>
      </c>
      <c r="AU51" s="175">
        <v>22.182155424000001</v>
      </c>
      <c r="AV51" s="166"/>
      <c r="AW51" s="175">
        <v>26.900748864000001</v>
      </c>
      <c r="AX51" s="175">
        <v>29.007434016000001</v>
      </c>
      <c r="AY51" s="175">
        <v>37.709664220800001</v>
      </c>
      <c r="AZ51" s="357"/>
      <c r="BA51" s="175">
        <f t="shared" si="23"/>
        <v>15.65</v>
      </c>
      <c r="BB51" s="175">
        <f t="shared" si="18"/>
        <v>20.52</v>
      </c>
      <c r="BC51" s="175">
        <f t="shared" si="18"/>
        <v>26.68</v>
      </c>
      <c r="BD51" s="166"/>
      <c r="BE51" s="175">
        <f t="shared" si="24"/>
        <v>20.57</v>
      </c>
      <c r="BF51" s="175">
        <f t="shared" si="8"/>
        <v>22.18</v>
      </c>
      <c r="BG51" s="175">
        <f t="shared" si="8"/>
        <v>28.84</v>
      </c>
      <c r="BH51" s="166"/>
      <c r="BI51" s="175">
        <f t="shared" si="25"/>
        <v>34.97</v>
      </c>
      <c r="BJ51" s="175">
        <f t="shared" si="9"/>
        <v>37.71</v>
      </c>
      <c r="BK51" s="175">
        <f t="shared" si="9"/>
        <v>49.02</v>
      </c>
      <c r="BL51" s="362">
        <f t="shared" si="6"/>
        <v>0.30039590865035315</v>
      </c>
    </row>
    <row r="52" spans="2:64">
      <c r="B52" s="156">
        <v>130</v>
      </c>
      <c r="C52" s="157" t="s">
        <v>6258</v>
      </c>
      <c r="D52" s="157" t="s">
        <v>6222</v>
      </c>
      <c r="E52" s="157">
        <v>950</v>
      </c>
      <c r="F52" s="157">
        <v>999</v>
      </c>
      <c r="G52" s="158">
        <v>2.2799999999999998</v>
      </c>
      <c r="H52" s="89">
        <f t="shared" si="13"/>
        <v>2.62</v>
      </c>
      <c r="I52" s="360">
        <f t="shared" si="0"/>
        <v>2.96</v>
      </c>
      <c r="J52" s="89">
        <f t="shared" si="14"/>
        <v>3.4</v>
      </c>
      <c r="M52" s="125" t="s">
        <v>6438</v>
      </c>
      <c r="N52" s="116" t="s">
        <v>6439</v>
      </c>
      <c r="O52" s="116" t="s">
        <v>6520</v>
      </c>
      <c r="P52" s="116">
        <v>721</v>
      </c>
      <c r="Q52" s="116">
        <v>732</v>
      </c>
      <c r="R52" s="118">
        <v>6.83</v>
      </c>
      <c r="S52" s="118">
        <v>7.6496000000000004</v>
      </c>
      <c r="T52" s="153">
        <f t="shared" si="1"/>
        <v>0.12000000000000005</v>
      </c>
      <c r="U52" s="72">
        <f t="shared" si="2"/>
        <v>8.8800000000000008</v>
      </c>
      <c r="V52" s="72">
        <f t="shared" si="3"/>
        <v>9.9499999999999993</v>
      </c>
      <c r="Y52" s="227">
        <v>50</v>
      </c>
      <c r="Z52" s="227">
        <v>3</v>
      </c>
      <c r="AA52" s="255" t="s">
        <v>316</v>
      </c>
      <c r="AB52" s="255" t="s">
        <v>316</v>
      </c>
      <c r="AC52" s="255">
        <f t="shared" si="21"/>
        <v>550</v>
      </c>
      <c r="AD52" s="256">
        <f>+AD51+50</f>
        <v>599</v>
      </c>
      <c r="AE52" s="228">
        <v>4.3499999999999996</v>
      </c>
      <c r="AF52" s="228">
        <v>4.5199999999999996</v>
      </c>
      <c r="AG52" s="360">
        <f t="shared" si="4"/>
        <v>5.66</v>
      </c>
      <c r="AH52" s="360">
        <f t="shared" si="22"/>
        <v>5.89</v>
      </c>
      <c r="AI52" s="362">
        <f t="shared" si="5"/>
        <v>0.30114942528735644</v>
      </c>
      <c r="AJ52" s="362"/>
      <c r="AK52" s="174">
        <v>21311</v>
      </c>
      <c r="AL52" s="174">
        <v>900</v>
      </c>
      <c r="AM52" s="174">
        <v>1199</v>
      </c>
      <c r="AN52" s="165"/>
      <c r="AO52" s="175">
        <v>13.840015859999999</v>
      </c>
      <c r="AP52" s="175">
        <v>18.943007846399997</v>
      </c>
      <c r="AQ52" s="175">
        <v>24.625910200319996</v>
      </c>
      <c r="AR52" s="166"/>
      <c r="AS52" s="175">
        <v>18.197565408000003</v>
      </c>
      <c r="AT52" s="175">
        <v>20.475835776</v>
      </c>
      <c r="AU52" s="175">
        <v>26.618586508799996</v>
      </c>
      <c r="AV52" s="166"/>
      <c r="AW52" s="175">
        <v>30.935861193599994</v>
      </c>
      <c r="AX52" s="175">
        <v>34.808920819199997</v>
      </c>
      <c r="AY52" s="175">
        <v>45.251597064959995</v>
      </c>
      <c r="AZ52" s="357"/>
      <c r="BA52" s="175">
        <f t="shared" si="23"/>
        <v>17.989999999999998</v>
      </c>
      <c r="BB52" s="175">
        <f t="shared" si="18"/>
        <v>24.63</v>
      </c>
      <c r="BC52" s="175">
        <f t="shared" si="18"/>
        <v>32.01</v>
      </c>
      <c r="BD52" s="166"/>
      <c r="BE52" s="175">
        <f t="shared" si="24"/>
        <v>23.66</v>
      </c>
      <c r="BF52" s="175">
        <f t="shared" si="8"/>
        <v>26.62</v>
      </c>
      <c r="BG52" s="175">
        <f t="shared" si="8"/>
        <v>34.6</v>
      </c>
      <c r="BH52" s="166"/>
      <c r="BI52" s="175">
        <f t="shared" si="25"/>
        <v>40.22</v>
      </c>
      <c r="BJ52" s="175">
        <f t="shared" si="9"/>
        <v>45.25</v>
      </c>
      <c r="BK52" s="175">
        <f t="shared" si="9"/>
        <v>58.83</v>
      </c>
      <c r="BL52" s="362">
        <f t="shared" si="6"/>
        <v>0.29985400175690258</v>
      </c>
    </row>
    <row r="53" spans="2:64">
      <c r="B53" s="156">
        <v>130</v>
      </c>
      <c r="C53" s="157" t="s">
        <v>6258</v>
      </c>
      <c r="D53" s="157" t="s">
        <v>6224</v>
      </c>
      <c r="E53" s="157">
        <v>1000</v>
      </c>
      <c r="F53" s="157">
        <v>1499</v>
      </c>
      <c r="G53" s="158">
        <v>3.36</v>
      </c>
      <c r="H53" s="89">
        <f t="shared" si="13"/>
        <v>3.86</v>
      </c>
      <c r="I53" s="360">
        <f t="shared" si="0"/>
        <v>4.37</v>
      </c>
      <c r="J53" s="89">
        <f t="shared" si="14"/>
        <v>5.03</v>
      </c>
      <c r="M53" s="125" t="s">
        <v>6438</v>
      </c>
      <c r="N53" s="116" t="s">
        <v>6439</v>
      </c>
      <c r="O53" s="116" t="s">
        <v>6522</v>
      </c>
      <c r="P53" s="116">
        <v>733</v>
      </c>
      <c r="Q53" s="116">
        <v>744</v>
      </c>
      <c r="R53" s="118">
        <v>6.94</v>
      </c>
      <c r="S53" s="118">
        <v>7.772800000000001</v>
      </c>
      <c r="T53" s="153">
        <f t="shared" si="1"/>
        <v>0.12000000000000009</v>
      </c>
      <c r="U53" s="72">
        <f t="shared" si="2"/>
        <v>9.02</v>
      </c>
      <c r="V53" s="72">
        <f t="shared" si="3"/>
        <v>10.1</v>
      </c>
      <c r="Y53" s="223">
        <v>50</v>
      </c>
      <c r="Z53" s="223">
        <v>3</v>
      </c>
      <c r="AA53" s="252" t="s">
        <v>316</v>
      </c>
      <c r="AB53" s="252" t="s">
        <v>341</v>
      </c>
      <c r="AC53" s="252">
        <v>16</v>
      </c>
      <c r="AD53" s="253">
        <v>249</v>
      </c>
      <c r="AE53" s="224">
        <v>4.3099999999999996</v>
      </c>
      <c r="AF53" s="224">
        <v>4.4800000000000004</v>
      </c>
      <c r="AG53" s="360">
        <f t="shared" si="4"/>
        <v>5.6</v>
      </c>
      <c r="AH53" s="360">
        <f t="shared" si="22"/>
        <v>5.82</v>
      </c>
      <c r="AI53" s="362">
        <f t="shared" si="5"/>
        <v>0.2993039443155453</v>
      </c>
      <c r="AJ53" s="362"/>
      <c r="AK53" s="174">
        <v>21311</v>
      </c>
      <c r="AL53" s="174">
        <v>1200</v>
      </c>
      <c r="AM53" s="174">
        <v>1499</v>
      </c>
      <c r="AN53" s="165"/>
      <c r="AO53" s="175">
        <v>15.916018238999996</v>
      </c>
      <c r="AP53" s="175">
        <v>22.731609415679994</v>
      </c>
      <c r="AQ53" s="175">
        <v>29.551092240384001</v>
      </c>
      <c r="AR53" s="166"/>
      <c r="AS53" s="175">
        <v>20.927200219199996</v>
      </c>
      <c r="AT53" s="175">
        <v>24.571002931199999</v>
      </c>
      <c r="AU53" s="175">
        <v>31.942303810559999</v>
      </c>
      <c r="AV53" s="166"/>
      <c r="AW53" s="175">
        <v>35.576240372639994</v>
      </c>
      <c r="AX53" s="175">
        <v>41.770704983039998</v>
      </c>
      <c r="AY53" s="175">
        <v>54.301916477951998</v>
      </c>
      <c r="AZ53" s="357"/>
      <c r="BA53" s="175">
        <f t="shared" si="23"/>
        <v>20.69</v>
      </c>
      <c r="BB53" s="175">
        <f t="shared" si="18"/>
        <v>29.55</v>
      </c>
      <c r="BC53" s="175">
        <f t="shared" si="18"/>
        <v>38.42</v>
      </c>
      <c r="BD53" s="166"/>
      <c r="BE53" s="175">
        <f t="shared" si="24"/>
        <v>27.21</v>
      </c>
      <c r="BF53" s="175">
        <f t="shared" si="8"/>
        <v>31.94</v>
      </c>
      <c r="BG53" s="175">
        <f t="shared" si="8"/>
        <v>41.52</v>
      </c>
      <c r="BH53" s="166"/>
      <c r="BI53" s="175">
        <f t="shared" si="25"/>
        <v>46.25</v>
      </c>
      <c r="BJ53" s="175">
        <f t="shared" si="9"/>
        <v>54.3</v>
      </c>
      <c r="BK53" s="175">
        <f t="shared" si="9"/>
        <v>70.59</v>
      </c>
      <c r="BL53" s="362">
        <f t="shared" si="6"/>
        <v>0.29994824643402485</v>
      </c>
    </row>
    <row r="54" spans="2:64">
      <c r="B54" s="156">
        <v>130</v>
      </c>
      <c r="C54" s="157" t="s">
        <v>6258</v>
      </c>
      <c r="D54" s="157" t="s">
        <v>6227</v>
      </c>
      <c r="E54" s="157">
        <v>1500</v>
      </c>
      <c r="F54" s="157">
        <v>1999</v>
      </c>
      <c r="G54" s="158">
        <v>4.4400000000000004</v>
      </c>
      <c r="H54" s="89">
        <f t="shared" si="13"/>
        <v>5.1100000000000003</v>
      </c>
      <c r="I54" s="360">
        <f t="shared" si="0"/>
        <v>5.77</v>
      </c>
      <c r="J54" s="89">
        <f t="shared" si="14"/>
        <v>6.64</v>
      </c>
      <c r="M54" s="125" t="s">
        <v>6438</v>
      </c>
      <c r="N54" s="116" t="s">
        <v>6439</v>
      </c>
      <c r="O54" s="116" t="s">
        <v>6523</v>
      </c>
      <c r="P54" s="116">
        <v>745</v>
      </c>
      <c r="Q54" s="116">
        <v>756</v>
      </c>
      <c r="R54" s="118">
        <v>7.05</v>
      </c>
      <c r="S54" s="118">
        <v>7.8960000000000008</v>
      </c>
      <c r="T54" s="153">
        <f t="shared" si="1"/>
        <v>0.12000000000000013</v>
      </c>
      <c r="U54" s="72">
        <f t="shared" si="2"/>
        <v>9.17</v>
      </c>
      <c r="V54" s="72">
        <f t="shared" si="3"/>
        <v>10.27</v>
      </c>
      <c r="Y54" s="227">
        <v>50</v>
      </c>
      <c r="Z54" s="227">
        <v>3</v>
      </c>
      <c r="AA54" s="255" t="s">
        <v>316</v>
      </c>
      <c r="AB54" s="255" t="s">
        <v>341</v>
      </c>
      <c r="AC54" s="255">
        <f t="shared" ref="AC54:AC59" si="26">+AD53+1</f>
        <v>250</v>
      </c>
      <c r="AD54" s="256">
        <v>399</v>
      </c>
      <c r="AE54" s="228">
        <v>4.53</v>
      </c>
      <c r="AF54" s="228">
        <v>4.72</v>
      </c>
      <c r="AG54" s="360">
        <f t="shared" si="4"/>
        <v>5.89</v>
      </c>
      <c r="AH54" s="360">
        <f t="shared" si="22"/>
        <v>6.13</v>
      </c>
      <c r="AI54" s="362">
        <f t="shared" si="5"/>
        <v>0.30022075055187625</v>
      </c>
      <c r="AJ54" s="362"/>
      <c r="AK54" s="174">
        <v>21311</v>
      </c>
      <c r="AL54" s="174">
        <v>1500</v>
      </c>
      <c r="AM54" s="174">
        <v>1799</v>
      </c>
      <c r="AN54" s="165"/>
      <c r="AO54" s="175">
        <v>18.303420974849995</v>
      </c>
      <c r="AP54" s="175">
        <v>27.277931298815997</v>
      </c>
      <c r="AQ54" s="175">
        <v>35.461310688460799</v>
      </c>
      <c r="AR54" s="166"/>
      <c r="AS54" s="175">
        <v>24.066280252079999</v>
      </c>
      <c r="AT54" s="175">
        <v>29.485203517439999</v>
      </c>
      <c r="AU54" s="175">
        <v>38.330764572672003</v>
      </c>
      <c r="AV54" s="166"/>
      <c r="AW54" s="175">
        <v>40.912676428535995</v>
      </c>
      <c r="AX54" s="175">
        <v>50.124845979648001</v>
      </c>
      <c r="AY54" s="175">
        <v>65.162299773542401</v>
      </c>
      <c r="AZ54" s="357"/>
      <c r="BA54" s="175">
        <f t="shared" si="23"/>
        <v>23.79</v>
      </c>
      <c r="BB54" s="175">
        <f t="shared" si="18"/>
        <v>35.46</v>
      </c>
      <c r="BC54" s="175">
        <f t="shared" si="18"/>
        <v>46.1</v>
      </c>
      <c r="BD54" s="166"/>
      <c r="BE54" s="175">
        <f t="shared" si="24"/>
        <v>31.29</v>
      </c>
      <c r="BF54" s="175">
        <f t="shared" si="8"/>
        <v>38.33</v>
      </c>
      <c r="BG54" s="175">
        <f t="shared" si="8"/>
        <v>49.83</v>
      </c>
      <c r="BH54" s="166"/>
      <c r="BI54" s="175">
        <f t="shared" si="25"/>
        <v>53.19</v>
      </c>
      <c r="BJ54" s="175">
        <f t="shared" si="9"/>
        <v>65.16</v>
      </c>
      <c r="BK54" s="175">
        <f t="shared" si="9"/>
        <v>84.71</v>
      </c>
      <c r="BL54" s="362">
        <f t="shared" si="6"/>
        <v>0.29975702535000942</v>
      </c>
    </row>
    <row r="55" spans="2:64">
      <c r="B55" s="156">
        <v>130</v>
      </c>
      <c r="C55" s="157" t="s">
        <v>6258</v>
      </c>
      <c r="D55" s="157" t="s">
        <v>6229</v>
      </c>
      <c r="E55" s="157">
        <v>2000</v>
      </c>
      <c r="F55" s="157">
        <v>2499</v>
      </c>
      <c r="G55" s="158">
        <v>5.52</v>
      </c>
      <c r="H55" s="89">
        <f t="shared" si="13"/>
        <v>6.35</v>
      </c>
      <c r="I55" s="360">
        <f t="shared" si="0"/>
        <v>7.18</v>
      </c>
      <c r="J55" s="89">
        <f t="shared" si="14"/>
        <v>8.26</v>
      </c>
      <c r="M55" s="125" t="s">
        <v>6438</v>
      </c>
      <c r="N55" s="116" t="s">
        <v>6439</v>
      </c>
      <c r="O55" s="116" t="s">
        <v>6524</v>
      </c>
      <c r="P55" s="116">
        <v>757</v>
      </c>
      <c r="Q55" s="116">
        <v>768</v>
      </c>
      <c r="R55" s="118">
        <v>7.16</v>
      </c>
      <c r="S55" s="118">
        <v>8.0192000000000014</v>
      </c>
      <c r="T55" s="153">
        <f t="shared" si="1"/>
        <v>0.12000000000000018</v>
      </c>
      <c r="U55" s="72">
        <f t="shared" si="2"/>
        <v>9.31</v>
      </c>
      <c r="V55" s="72">
        <f t="shared" si="3"/>
        <v>10.43</v>
      </c>
      <c r="Y55" s="227">
        <v>50</v>
      </c>
      <c r="Z55" s="227">
        <v>3</v>
      </c>
      <c r="AA55" s="255" t="s">
        <v>316</v>
      </c>
      <c r="AB55" s="255" t="s">
        <v>341</v>
      </c>
      <c r="AC55" s="255">
        <f t="shared" si="26"/>
        <v>400</v>
      </c>
      <c r="AD55" s="256">
        <v>499</v>
      </c>
      <c r="AE55" s="228">
        <v>4.6900000000000004</v>
      </c>
      <c r="AF55" s="228">
        <v>4.87</v>
      </c>
      <c r="AG55" s="360">
        <f t="shared" si="4"/>
        <v>6.1</v>
      </c>
      <c r="AH55" s="360">
        <f t="shared" si="22"/>
        <v>6.34</v>
      </c>
      <c r="AI55" s="362">
        <f t="shared" si="5"/>
        <v>0.30063965884861388</v>
      </c>
      <c r="AJ55" s="362"/>
      <c r="AK55" s="187">
        <v>21213</v>
      </c>
      <c r="AL55" s="187">
        <v>1</v>
      </c>
      <c r="AM55" s="187">
        <v>299</v>
      </c>
      <c r="AN55" s="165"/>
      <c r="AO55" s="188">
        <v>9.420504983999999</v>
      </c>
      <c r="AP55" s="188">
        <v>12.935618783999997</v>
      </c>
      <c r="AQ55" s="188">
        <v>16.816304419199998</v>
      </c>
      <c r="AR55" s="166"/>
      <c r="AS55" s="188">
        <v>10.357868664</v>
      </c>
      <c r="AT55" s="188">
        <v>14.694210925012047</v>
      </c>
      <c r="AU55" s="188">
        <v>19.102474202515658</v>
      </c>
      <c r="AV55" s="166"/>
      <c r="AW55" s="188">
        <v>17.6083767288</v>
      </c>
      <c r="AX55" s="188">
        <v>24.980158572520477</v>
      </c>
      <c r="AY55" s="188">
        <v>32.474206144276629</v>
      </c>
      <c r="AZ55" s="357"/>
      <c r="BA55" s="188">
        <f>ROUND(AO55*1.3,2)</f>
        <v>12.25</v>
      </c>
      <c r="BB55" s="188">
        <f t="shared" si="18"/>
        <v>16.82</v>
      </c>
      <c r="BC55" s="188">
        <f t="shared" si="18"/>
        <v>21.86</v>
      </c>
      <c r="BD55" s="166"/>
      <c r="BE55" s="188">
        <f>ROUND(AS55*1.3,2)</f>
        <v>13.47</v>
      </c>
      <c r="BF55" s="188">
        <f t="shared" si="8"/>
        <v>19.100000000000001</v>
      </c>
      <c r="BG55" s="188">
        <f t="shared" si="8"/>
        <v>24.83</v>
      </c>
      <c r="BH55" s="166"/>
      <c r="BI55" s="188">
        <f>ROUND(AW55*1.3,2)</f>
        <v>22.89</v>
      </c>
      <c r="BJ55" s="188">
        <f t="shared" si="9"/>
        <v>32.47</v>
      </c>
      <c r="BK55" s="188">
        <f t="shared" si="9"/>
        <v>42.22</v>
      </c>
      <c r="BL55" s="362">
        <f t="shared" si="6"/>
        <v>0.30035491948740328</v>
      </c>
    </row>
    <row r="56" spans="2:64">
      <c r="B56" s="156">
        <v>130</v>
      </c>
      <c r="C56" s="157" t="s">
        <v>6258</v>
      </c>
      <c r="D56" s="157" t="s">
        <v>6231</v>
      </c>
      <c r="E56" s="157">
        <v>2500</v>
      </c>
      <c r="F56" s="157">
        <v>2999</v>
      </c>
      <c r="G56" s="158">
        <v>6.6</v>
      </c>
      <c r="H56" s="89">
        <f t="shared" si="13"/>
        <v>7.59</v>
      </c>
      <c r="I56" s="360">
        <f t="shared" si="0"/>
        <v>8.58</v>
      </c>
      <c r="J56" s="89">
        <f t="shared" si="14"/>
        <v>9.8699999999999992</v>
      </c>
      <c r="M56" s="125" t="s">
        <v>6438</v>
      </c>
      <c r="N56" s="116" t="s">
        <v>6439</v>
      </c>
      <c r="O56" s="116" t="s">
        <v>6525</v>
      </c>
      <c r="P56" s="116">
        <v>769</v>
      </c>
      <c r="Q56" s="116">
        <v>780</v>
      </c>
      <c r="R56" s="118">
        <v>7.27</v>
      </c>
      <c r="S56" s="118">
        <v>8.1424000000000003</v>
      </c>
      <c r="T56" s="153">
        <f t="shared" si="1"/>
        <v>0.12000000000000011</v>
      </c>
      <c r="U56" s="72">
        <f t="shared" si="2"/>
        <v>9.4499999999999993</v>
      </c>
      <c r="V56" s="72">
        <f t="shared" si="3"/>
        <v>10.58</v>
      </c>
      <c r="Y56" s="227">
        <v>50</v>
      </c>
      <c r="Z56" s="227">
        <v>3</v>
      </c>
      <c r="AA56" s="255" t="s">
        <v>316</v>
      </c>
      <c r="AB56" s="255" t="s">
        <v>341</v>
      </c>
      <c r="AC56" s="255">
        <f t="shared" si="26"/>
        <v>500</v>
      </c>
      <c r="AD56" s="256">
        <v>649</v>
      </c>
      <c r="AE56" s="228">
        <v>4.91</v>
      </c>
      <c r="AF56" s="228">
        <v>5.1100000000000003</v>
      </c>
      <c r="AG56" s="360">
        <f t="shared" si="4"/>
        <v>6.38</v>
      </c>
      <c r="AH56" s="360">
        <f t="shared" si="22"/>
        <v>6.64</v>
      </c>
      <c r="AI56" s="362">
        <f t="shared" si="5"/>
        <v>0.2993890020366598</v>
      </c>
      <c r="AJ56" s="362"/>
      <c r="AK56" s="187">
        <v>21213</v>
      </c>
      <c r="AL56" s="187">
        <v>300</v>
      </c>
      <c r="AM56" s="187">
        <v>599</v>
      </c>
      <c r="AN56" s="165"/>
      <c r="AO56" s="188">
        <v>12.935618783999997</v>
      </c>
      <c r="AP56" s="188">
        <v>15.522742540799996</v>
      </c>
      <c r="AQ56" s="188">
        <v>20.179565303039997</v>
      </c>
      <c r="AR56" s="166"/>
      <c r="AS56" s="188">
        <v>15.560237087999999</v>
      </c>
      <c r="AT56" s="188">
        <v>16.778809872</v>
      </c>
      <c r="AU56" s="188">
        <v>21.812452833599998</v>
      </c>
      <c r="AV56" s="166"/>
      <c r="AW56" s="188">
        <v>26.452403049600004</v>
      </c>
      <c r="AX56" s="188">
        <v>28.523976782399995</v>
      </c>
      <c r="AY56" s="188">
        <v>37.081169817120006</v>
      </c>
      <c r="AZ56" s="357"/>
      <c r="BA56" s="188">
        <f t="shared" ref="BA56:BC71" si="27">ROUND(AO56*1.3,2)</f>
        <v>16.82</v>
      </c>
      <c r="BB56" s="188">
        <f t="shared" si="18"/>
        <v>20.18</v>
      </c>
      <c r="BC56" s="188">
        <f t="shared" si="18"/>
        <v>26.23</v>
      </c>
      <c r="BD56" s="166"/>
      <c r="BE56" s="188">
        <f t="shared" ref="BE56:BG119" si="28">ROUND(AS56*1.3,2)</f>
        <v>20.23</v>
      </c>
      <c r="BF56" s="188">
        <f t="shared" si="8"/>
        <v>21.81</v>
      </c>
      <c r="BG56" s="188">
        <f t="shared" si="8"/>
        <v>28.36</v>
      </c>
      <c r="BH56" s="166"/>
      <c r="BI56" s="188">
        <f t="shared" ref="BI56:BK119" si="29">ROUND(AW56*1.3,2)</f>
        <v>34.39</v>
      </c>
      <c r="BJ56" s="188">
        <f t="shared" si="9"/>
        <v>37.08</v>
      </c>
      <c r="BK56" s="188">
        <f t="shared" si="9"/>
        <v>48.21</v>
      </c>
      <c r="BL56" s="362">
        <f t="shared" si="6"/>
        <v>0.30028569029914326</v>
      </c>
    </row>
    <row r="57" spans="2:64">
      <c r="B57" s="156">
        <v>130</v>
      </c>
      <c r="C57" s="157" t="s">
        <v>6258</v>
      </c>
      <c r="D57" s="157" t="s">
        <v>6234</v>
      </c>
      <c r="E57" s="157">
        <v>3000</v>
      </c>
      <c r="F57" s="157">
        <v>3499</v>
      </c>
      <c r="G57" s="158">
        <v>7.68</v>
      </c>
      <c r="H57" s="89">
        <f t="shared" si="13"/>
        <v>8.83</v>
      </c>
      <c r="I57" s="360">
        <f t="shared" si="0"/>
        <v>9.98</v>
      </c>
      <c r="J57" s="89">
        <f t="shared" si="14"/>
        <v>11.48</v>
      </c>
      <c r="M57" s="125" t="s">
        <v>6438</v>
      </c>
      <c r="N57" s="116" t="s">
        <v>6439</v>
      </c>
      <c r="O57" s="116" t="s">
        <v>6526</v>
      </c>
      <c r="P57" s="116">
        <v>781</v>
      </c>
      <c r="Q57" s="116">
        <v>792</v>
      </c>
      <c r="R57" s="118">
        <v>7.38</v>
      </c>
      <c r="S57" s="118">
        <v>8.2656000000000009</v>
      </c>
      <c r="T57" s="153">
        <f t="shared" si="1"/>
        <v>0.12000000000000015</v>
      </c>
      <c r="U57" s="72">
        <f t="shared" si="2"/>
        <v>9.59</v>
      </c>
      <c r="V57" s="72">
        <f t="shared" si="3"/>
        <v>10.74</v>
      </c>
      <c r="Y57" s="227">
        <v>50</v>
      </c>
      <c r="Z57" s="227">
        <v>3</v>
      </c>
      <c r="AA57" s="255" t="s">
        <v>316</v>
      </c>
      <c r="AB57" s="255" t="s">
        <v>341</v>
      </c>
      <c r="AC57" s="255">
        <f t="shared" si="26"/>
        <v>650</v>
      </c>
      <c r="AD57" s="256">
        <v>699</v>
      </c>
      <c r="AE57" s="228">
        <v>4.99</v>
      </c>
      <c r="AF57" s="228">
        <v>5.19</v>
      </c>
      <c r="AG57" s="360">
        <f t="shared" si="4"/>
        <v>6.49</v>
      </c>
      <c r="AH57" s="360">
        <f t="shared" si="22"/>
        <v>6.75</v>
      </c>
      <c r="AI57" s="362">
        <f t="shared" si="5"/>
        <v>0.30060120240480959</v>
      </c>
      <c r="AJ57" s="362"/>
      <c r="AK57" s="187">
        <v>21213</v>
      </c>
      <c r="AL57" s="187">
        <v>600</v>
      </c>
      <c r="AM57" s="187">
        <v>899</v>
      </c>
      <c r="AN57" s="165"/>
      <c r="AO57" s="188">
        <v>14.201059752000001</v>
      </c>
      <c r="AP57" s="188">
        <v>18.627291048959997</v>
      </c>
      <c r="AQ57" s="188">
        <v>24.215478363647993</v>
      </c>
      <c r="AR57" s="166"/>
      <c r="AS57" s="188">
        <v>18.6722845056</v>
      </c>
      <c r="AT57" s="188">
        <v>20.1345718464</v>
      </c>
      <c r="AU57" s="188">
        <v>26.17494340032</v>
      </c>
      <c r="AV57" s="166"/>
      <c r="AW57" s="188">
        <v>31.74288365952</v>
      </c>
      <c r="AX57" s="188">
        <v>34.228772138879997</v>
      </c>
      <c r="AY57" s="188">
        <v>44.497403780543998</v>
      </c>
      <c r="AZ57" s="357"/>
      <c r="BA57" s="188">
        <f t="shared" si="27"/>
        <v>18.46</v>
      </c>
      <c r="BB57" s="188">
        <f t="shared" si="18"/>
        <v>24.22</v>
      </c>
      <c r="BC57" s="188">
        <f t="shared" si="18"/>
        <v>31.48</v>
      </c>
      <c r="BD57" s="166"/>
      <c r="BE57" s="188">
        <f t="shared" si="28"/>
        <v>24.27</v>
      </c>
      <c r="BF57" s="188">
        <f t="shared" si="8"/>
        <v>26.17</v>
      </c>
      <c r="BG57" s="188">
        <f t="shared" si="8"/>
        <v>34.03</v>
      </c>
      <c r="BH57" s="166"/>
      <c r="BI57" s="188">
        <f t="shared" si="29"/>
        <v>41.27</v>
      </c>
      <c r="BJ57" s="188">
        <f t="shared" si="9"/>
        <v>44.5</v>
      </c>
      <c r="BK57" s="188">
        <f t="shared" si="9"/>
        <v>57.85</v>
      </c>
      <c r="BL57" s="362">
        <f t="shared" si="6"/>
        <v>0.29990298769077384</v>
      </c>
    </row>
    <row r="58" spans="2:64">
      <c r="B58" s="156">
        <v>130</v>
      </c>
      <c r="C58" s="157" t="s">
        <v>6258</v>
      </c>
      <c r="D58" s="157" t="s">
        <v>6236</v>
      </c>
      <c r="E58" s="157">
        <v>3500</v>
      </c>
      <c r="F58" s="157">
        <v>3999</v>
      </c>
      <c r="G58" s="158">
        <v>8.76</v>
      </c>
      <c r="H58" s="89">
        <f t="shared" si="13"/>
        <v>10.07</v>
      </c>
      <c r="I58" s="360">
        <f t="shared" si="0"/>
        <v>11.39</v>
      </c>
      <c r="J58" s="89">
        <f t="shared" si="14"/>
        <v>13.1</v>
      </c>
      <c r="M58" s="125" t="s">
        <v>6438</v>
      </c>
      <c r="N58" s="116" t="s">
        <v>6439</v>
      </c>
      <c r="O58" s="116" t="s">
        <v>6527</v>
      </c>
      <c r="P58" s="116">
        <v>793</v>
      </c>
      <c r="Q58" s="116">
        <v>804</v>
      </c>
      <c r="R58" s="118">
        <v>7.49</v>
      </c>
      <c r="S58" s="118">
        <v>8.3888000000000016</v>
      </c>
      <c r="T58" s="153">
        <f t="shared" si="1"/>
        <v>0.12000000000000018</v>
      </c>
      <c r="U58" s="72">
        <f t="shared" si="2"/>
        <v>9.74</v>
      </c>
      <c r="V58" s="72">
        <f t="shared" si="3"/>
        <v>10.91</v>
      </c>
      <c r="Y58" s="227">
        <v>50</v>
      </c>
      <c r="Z58" s="227">
        <v>3</v>
      </c>
      <c r="AA58" s="255" t="s">
        <v>316</v>
      </c>
      <c r="AB58" s="255" t="s">
        <v>341</v>
      </c>
      <c r="AC58" s="255">
        <f t="shared" si="26"/>
        <v>700</v>
      </c>
      <c r="AD58" s="256">
        <v>999</v>
      </c>
      <c r="AE58" s="228">
        <v>5.45</v>
      </c>
      <c r="AF58" s="228">
        <v>5.67</v>
      </c>
      <c r="AG58" s="360">
        <f t="shared" si="4"/>
        <v>7.09</v>
      </c>
      <c r="AH58" s="360">
        <f t="shared" si="22"/>
        <v>7.37</v>
      </c>
      <c r="AI58" s="362">
        <f t="shared" si="5"/>
        <v>0.30091743119266046</v>
      </c>
      <c r="AJ58" s="362"/>
      <c r="AK58" s="187">
        <v>21213</v>
      </c>
      <c r="AL58" s="187">
        <v>900</v>
      </c>
      <c r="AM58" s="187">
        <v>1199</v>
      </c>
      <c r="AN58" s="165"/>
      <c r="AO58" s="188">
        <v>16.331218714799999</v>
      </c>
      <c r="AP58" s="188">
        <v>22.352749258751995</v>
      </c>
      <c r="AQ58" s="188">
        <v>29.058574036377593</v>
      </c>
      <c r="AR58" s="166"/>
      <c r="AS58" s="188">
        <v>21.473127181440002</v>
      </c>
      <c r="AT58" s="188">
        <v>24.16148621568</v>
      </c>
      <c r="AU58" s="188">
        <v>31.409932080383996</v>
      </c>
      <c r="AV58" s="166"/>
      <c r="AW58" s="188">
        <v>36.504316208447989</v>
      </c>
      <c r="AX58" s="188">
        <v>41.074526566655997</v>
      </c>
      <c r="AY58" s="188">
        <v>53.396884536652792</v>
      </c>
      <c r="AZ58" s="357"/>
      <c r="BA58" s="188">
        <f t="shared" si="27"/>
        <v>21.23</v>
      </c>
      <c r="BB58" s="188">
        <f t="shared" si="18"/>
        <v>29.06</v>
      </c>
      <c r="BC58" s="188">
        <f t="shared" si="18"/>
        <v>37.78</v>
      </c>
      <c r="BD58" s="166"/>
      <c r="BE58" s="188">
        <f t="shared" si="28"/>
        <v>27.92</v>
      </c>
      <c r="BF58" s="188">
        <f t="shared" si="8"/>
        <v>31.41</v>
      </c>
      <c r="BG58" s="188">
        <f t="shared" si="8"/>
        <v>40.83</v>
      </c>
      <c r="BH58" s="166"/>
      <c r="BI58" s="188">
        <f t="shared" si="29"/>
        <v>47.46</v>
      </c>
      <c r="BJ58" s="188">
        <f t="shared" si="9"/>
        <v>53.4</v>
      </c>
      <c r="BK58" s="188">
        <f t="shared" si="9"/>
        <v>69.42</v>
      </c>
      <c r="BL58" s="362">
        <f t="shared" si="6"/>
        <v>0.29996422010811308</v>
      </c>
    </row>
    <row r="59" spans="2:64">
      <c r="B59" s="156">
        <v>130</v>
      </c>
      <c r="C59" s="157" t="s">
        <v>6258</v>
      </c>
      <c r="D59" s="157" t="s">
        <v>6238</v>
      </c>
      <c r="E59" s="157">
        <v>4000</v>
      </c>
      <c r="F59" s="157">
        <v>4499</v>
      </c>
      <c r="G59" s="158">
        <v>9.84</v>
      </c>
      <c r="H59" s="89">
        <f t="shared" si="13"/>
        <v>11.32</v>
      </c>
      <c r="I59" s="360">
        <f t="shared" si="0"/>
        <v>12.79</v>
      </c>
      <c r="J59" s="89">
        <f t="shared" si="14"/>
        <v>14.71</v>
      </c>
      <c r="M59" s="125" t="s">
        <v>6438</v>
      </c>
      <c r="N59" s="116" t="s">
        <v>6439</v>
      </c>
      <c r="O59" s="116" t="s">
        <v>6528</v>
      </c>
      <c r="P59" s="116">
        <v>805</v>
      </c>
      <c r="Q59" s="116">
        <v>816</v>
      </c>
      <c r="R59" s="118">
        <v>7.6</v>
      </c>
      <c r="S59" s="118">
        <v>8.5120000000000005</v>
      </c>
      <c r="T59" s="153">
        <f t="shared" si="1"/>
        <v>0.12000000000000011</v>
      </c>
      <c r="U59" s="72">
        <f t="shared" si="2"/>
        <v>9.8800000000000008</v>
      </c>
      <c r="V59" s="72">
        <f t="shared" si="3"/>
        <v>11.07</v>
      </c>
      <c r="Y59" s="227">
        <v>50</v>
      </c>
      <c r="Z59" s="227">
        <v>3</v>
      </c>
      <c r="AA59" s="255" t="s">
        <v>316</v>
      </c>
      <c r="AB59" s="255" t="s">
        <v>341</v>
      </c>
      <c r="AC59" s="255">
        <f t="shared" si="26"/>
        <v>1000</v>
      </c>
      <c r="AD59" s="256">
        <v>1145</v>
      </c>
      <c r="AE59" s="228">
        <v>5.67</v>
      </c>
      <c r="AF59" s="228">
        <v>5.9</v>
      </c>
      <c r="AG59" s="360">
        <f t="shared" si="4"/>
        <v>7.37</v>
      </c>
      <c r="AH59" s="360">
        <f t="shared" si="22"/>
        <v>7.66</v>
      </c>
      <c r="AI59" s="362">
        <f t="shared" si="5"/>
        <v>0.29982363315696653</v>
      </c>
      <c r="AJ59" s="362"/>
      <c r="AK59" s="187">
        <v>21213</v>
      </c>
      <c r="AL59" s="187">
        <v>1200</v>
      </c>
      <c r="AM59" s="187">
        <v>1499</v>
      </c>
      <c r="AN59" s="165"/>
      <c r="AO59" s="188">
        <v>18.780901522019995</v>
      </c>
      <c r="AP59" s="188">
        <v>26.823299110502393</v>
      </c>
      <c r="AQ59" s="188">
        <v>34.870288843653121</v>
      </c>
      <c r="AR59" s="166"/>
      <c r="AS59" s="188">
        <v>24.694096258655993</v>
      </c>
      <c r="AT59" s="188">
        <v>28.993783458815997</v>
      </c>
      <c r="AU59" s="188">
        <v>37.691918496460794</v>
      </c>
      <c r="AV59" s="166"/>
      <c r="AW59" s="188">
        <v>41.979963639715187</v>
      </c>
      <c r="AX59" s="188">
        <v>49.289431879987198</v>
      </c>
      <c r="AY59" s="188">
        <v>64.076261443983356</v>
      </c>
      <c r="AZ59" s="357"/>
      <c r="BA59" s="188">
        <f t="shared" si="27"/>
        <v>24.42</v>
      </c>
      <c r="BB59" s="188">
        <f t="shared" si="18"/>
        <v>34.869999999999997</v>
      </c>
      <c r="BC59" s="188">
        <f t="shared" si="18"/>
        <v>45.33</v>
      </c>
      <c r="BD59" s="166"/>
      <c r="BE59" s="188">
        <f t="shared" si="28"/>
        <v>32.1</v>
      </c>
      <c r="BF59" s="188">
        <f t="shared" si="8"/>
        <v>37.69</v>
      </c>
      <c r="BG59" s="188">
        <f t="shared" si="8"/>
        <v>49</v>
      </c>
      <c r="BH59" s="166"/>
      <c r="BI59" s="188">
        <f t="shared" si="29"/>
        <v>54.57</v>
      </c>
      <c r="BJ59" s="188">
        <f t="shared" si="9"/>
        <v>64.08</v>
      </c>
      <c r="BK59" s="188">
        <f t="shared" si="9"/>
        <v>83.3</v>
      </c>
      <c r="BL59" s="362">
        <f t="shared" si="6"/>
        <v>0.3002570707997349</v>
      </c>
    </row>
    <row r="60" spans="2:64">
      <c r="B60" s="156">
        <v>130</v>
      </c>
      <c r="C60" s="157" t="s">
        <v>6258</v>
      </c>
      <c r="D60" s="157" t="s">
        <v>6240</v>
      </c>
      <c r="E60" s="157">
        <v>4500</v>
      </c>
      <c r="F60" s="157">
        <v>4999</v>
      </c>
      <c r="G60" s="158">
        <v>10.92</v>
      </c>
      <c r="H60" s="89">
        <f t="shared" si="13"/>
        <v>12.56</v>
      </c>
      <c r="I60" s="360">
        <f t="shared" si="0"/>
        <v>14.2</v>
      </c>
      <c r="J60" s="89">
        <f t="shared" si="14"/>
        <v>16.329999999999998</v>
      </c>
      <c r="M60" s="125" t="s">
        <v>6438</v>
      </c>
      <c r="N60" s="116" t="s">
        <v>6439</v>
      </c>
      <c r="O60" s="116" t="s">
        <v>6529</v>
      </c>
      <c r="P60" s="116">
        <v>817</v>
      </c>
      <c r="Q60" s="116">
        <v>828</v>
      </c>
      <c r="R60" s="118">
        <v>7.71</v>
      </c>
      <c r="S60" s="118">
        <v>8.6352000000000011</v>
      </c>
      <c r="T60" s="153">
        <f t="shared" si="1"/>
        <v>0.12000000000000015</v>
      </c>
      <c r="U60" s="72">
        <f t="shared" si="2"/>
        <v>10.02</v>
      </c>
      <c r="V60" s="72">
        <f t="shared" si="3"/>
        <v>11.22</v>
      </c>
      <c r="Y60" s="223">
        <v>50</v>
      </c>
      <c r="Z60" s="223">
        <v>3</v>
      </c>
      <c r="AA60" s="257" t="s">
        <v>316</v>
      </c>
      <c r="AB60" s="258" t="s">
        <v>351</v>
      </c>
      <c r="AC60" s="258">
        <v>16</v>
      </c>
      <c r="AD60" s="258">
        <v>499</v>
      </c>
      <c r="AE60" s="224">
        <v>4.8499999999999996</v>
      </c>
      <c r="AF60" s="224">
        <v>5.04</v>
      </c>
      <c r="AG60" s="360">
        <f t="shared" si="4"/>
        <v>6.31</v>
      </c>
      <c r="AH60" s="360">
        <f t="shared" si="22"/>
        <v>6.56</v>
      </c>
      <c r="AI60" s="362">
        <f t="shared" si="5"/>
        <v>0.30103092783505159</v>
      </c>
      <c r="AJ60" s="362"/>
      <c r="AK60" s="187">
        <v>21213</v>
      </c>
      <c r="AL60" s="187">
        <v>1500</v>
      </c>
      <c r="AM60" s="187">
        <v>1799</v>
      </c>
      <c r="AN60" s="165"/>
      <c r="AO60" s="188">
        <v>21.598036750322994</v>
      </c>
      <c r="AP60" s="188">
        <v>32.187958932602875</v>
      </c>
      <c r="AQ60" s="188">
        <v>41.844346612383738</v>
      </c>
      <c r="AR60" s="166"/>
      <c r="AS60" s="188">
        <v>28.398210697454395</v>
      </c>
      <c r="AT60" s="188">
        <v>34.7925401505792</v>
      </c>
      <c r="AU60" s="188">
        <v>45.230302195752962</v>
      </c>
      <c r="AV60" s="166"/>
      <c r="AW60" s="188">
        <v>48.27695818567247</v>
      </c>
      <c r="AX60" s="188">
        <v>59.147318255984636</v>
      </c>
      <c r="AY60" s="188">
        <v>76.891513732780027</v>
      </c>
      <c r="AZ60" s="357"/>
      <c r="BA60" s="188">
        <f t="shared" si="27"/>
        <v>28.08</v>
      </c>
      <c r="BB60" s="188">
        <f t="shared" si="27"/>
        <v>41.84</v>
      </c>
      <c r="BC60" s="188">
        <f t="shared" si="27"/>
        <v>54.4</v>
      </c>
      <c r="BD60" s="166"/>
      <c r="BE60" s="188">
        <f t="shared" si="28"/>
        <v>36.92</v>
      </c>
      <c r="BF60" s="188">
        <f t="shared" si="8"/>
        <v>45.23</v>
      </c>
      <c r="BG60" s="188">
        <f t="shared" si="8"/>
        <v>58.8</v>
      </c>
      <c r="BH60" s="166"/>
      <c r="BI60" s="188">
        <f t="shared" si="29"/>
        <v>62.76</v>
      </c>
      <c r="BJ60" s="188">
        <f t="shared" si="9"/>
        <v>76.89</v>
      </c>
      <c r="BK60" s="188">
        <f t="shared" si="9"/>
        <v>99.96</v>
      </c>
      <c r="BL60" s="362">
        <f t="shared" si="6"/>
        <v>0.30011816928592217</v>
      </c>
    </row>
    <row r="61" spans="2:64">
      <c r="B61" s="156">
        <v>130</v>
      </c>
      <c r="C61" s="157" t="s">
        <v>6258</v>
      </c>
      <c r="D61" s="157" t="s">
        <v>6241</v>
      </c>
      <c r="E61" s="157">
        <v>5000</v>
      </c>
      <c r="F61" s="157">
        <v>5499</v>
      </c>
      <c r="G61" s="158">
        <v>12</v>
      </c>
      <c r="H61" s="89">
        <f t="shared" si="13"/>
        <v>13.8</v>
      </c>
      <c r="I61" s="360">
        <f t="shared" si="0"/>
        <v>15.6</v>
      </c>
      <c r="J61" s="89">
        <f t="shared" si="14"/>
        <v>17.940000000000001</v>
      </c>
      <c r="M61" s="125" t="s">
        <v>6438</v>
      </c>
      <c r="N61" s="116" t="s">
        <v>6439</v>
      </c>
      <c r="O61" s="116" t="s">
        <v>6530</v>
      </c>
      <c r="P61" s="116">
        <v>829</v>
      </c>
      <c r="Q61" s="116">
        <v>840</v>
      </c>
      <c r="R61" s="118">
        <v>7.82</v>
      </c>
      <c r="S61" s="118">
        <v>8.7584000000000017</v>
      </c>
      <c r="T61" s="153">
        <f t="shared" si="1"/>
        <v>0.12000000000000018</v>
      </c>
      <c r="U61" s="72">
        <f t="shared" si="2"/>
        <v>10.17</v>
      </c>
      <c r="V61" s="72">
        <f t="shared" si="3"/>
        <v>11.39</v>
      </c>
      <c r="Y61" s="227">
        <v>50</v>
      </c>
      <c r="Z61" s="227">
        <v>3</v>
      </c>
      <c r="AA61" s="259" t="s">
        <v>316</v>
      </c>
      <c r="AB61" s="260" t="s">
        <v>351</v>
      </c>
      <c r="AC61" s="260">
        <v>500</v>
      </c>
      <c r="AD61" s="260">
        <v>649</v>
      </c>
      <c r="AE61" s="228">
        <v>5.08</v>
      </c>
      <c r="AF61" s="228">
        <v>5.28</v>
      </c>
      <c r="AG61" s="360">
        <f t="shared" si="4"/>
        <v>6.6</v>
      </c>
      <c r="AH61" s="360">
        <f t="shared" si="22"/>
        <v>6.86</v>
      </c>
      <c r="AI61" s="362">
        <f t="shared" si="5"/>
        <v>0.29921259842519676</v>
      </c>
      <c r="AJ61" s="362"/>
      <c r="AK61" s="189">
        <v>21210</v>
      </c>
      <c r="AL61" s="189">
        <v>1</v>
      </c>
      <c r="AM61" s="189">
        <v>299</v>
      </c>
      <c r="AN61" s="190"/>
      <c r="AO61" s="191">
        <v>6.4581300000000015</v>
      </c>
      <c r="AP61" s="191">
        <v>8.8678799999999995</v>
      </c>
      <c r="AQ61" s="191">
        <v>11.528243999999999</v>
      </c>
      <c r="AR61" s="166"/>
      <c r="AS61" s="191">
        <v>7.1007300000000004</v>
      </c>
      <c r="AT61" s="191">
        <v>10.073464698795179</v>
      </c>
      <c r="AU61" s="191">
        <v>13.095504108433733</v>
      </c>
      <c r="AV61" s="166"/>
      <c r="AW61" s="191">
        <v>12.071240999999999</v>
      </c>
      <c r="AX61" s="191">
        <v>17.124889987951804</v>
      </c>
      <c r="AY61" s="191">
        <v>22.262356984337348</v>
      </c>
      <c r="AZ61" s="357"/>
      <c r="BA61" s="191">
        <f>ROUND(AO61*1.3,2)</f>
        <v>8.4</v>
      </c>
      <c r="BB61" s="191">
        <f t="shared" si="27"/>
        <v>11.53</v>
      </c>
      <c r="BC61" s="191">
        <f t="shared" si="27"/>
        <v>14.99</v>
      </c>
      <c r="BD61" s="166"/>
      <c r="BE61" s="191">
        <f t="shared" si="28"/>
        <v>9.23</v>
      </c>
      <c r="BF61" s="191">
        <f t="shared" si="8"/>
        <v>13.1</v>
      </c>
      <c r="BG61" s="191">
        <f t="shared" si="8"/>
        <v>17.02</v>
      </c>
      <c r="BH61" s="166"/>
      <c r="BI61" s="191">
        <f t="shared" si="29"/>
        <v>15.69</v>
      </c>
      <c r="BJ61" s="191">
        <f t="shared" si="9"/>
        <v>22.26</v>
      </c>
      <c r="BK61" s="191">
        <f t="shared" si="9"/>
        <v>28.94</v>
      </c>
      <c r="BL61" s="362">
        <f t="shared" si="6"/>
        <v>0.30068611192403971</v>
      </c>
    </row>
    <row r="62" spans="2:64">
      <c r="B62" s="156">
        <v>130</v>
      </c>
      <c r="C62" s="157" t="s">
        <v>6258</v>
      </c>
      <c r="D62" s="157" t="s">
        <v>6242</v>
      </c>
      <c r="E62" s="157">
        <v>5500</v>
      </c>
      <c r="F62" s="157">
        <v>5999</v>
      </c>
      <c r="G62" s="158">
        <v>13.08</v>
      </c>
      <c r="H62" s="89">
        <f t="shared" si="13"/>
        <v>15.04</v>
      </c>
      <c r="I62" s="360">
        <f t="shared" si="0"/>
        <v>17</v>
      </c>
      <c r="J62" s="89">
        <f t="shared" si="14"/>
        <v>19.55</v>
      </c>
      <c r="M62" s="125" t="s">
        <v>6438</v>
      </c>
      <c r="N62" s="116" t="s">
        <v>6439</v>
      </c>
      <c r="O62" s="116" t="s">
        <v>6531</v>
      </c>
      <c r="P62" s="116">
        <v>841</v>
      </c>
      <c r="Q62" s="116">
        <v>852</v>
      </c>
      <c r="R62" s="118">
        <v>7.93</v>
      </c>
      <c r="S62" s="118">
        <v>8.8816000000000006</v>
      </c>
      <c r="T62" s="153">
        <f t="shared" si="1"/>
        <v>0.12000000000000012</v>
      </c>
      <c r="U62" s="72">
        <f t="shared" si="2"/>
        <v>10.31</v>
      </c>
      <c r="V62" s="72">
        <f t="shared" si="3"/>
        <v>11.55</v>
      </c>
      <c r="Y62" s="227">
        <v>50</v>
      </c>
      <c r="Z62" s="227">
        <v>3</v>
      </c>
      <c r="AA62" s="259" t="s">
        <v>316</v>
      </c>
      <c r="AB62" s="260" t="s">
        <v>351</v>
      </c>
      <c r="AC62" s="260">
        <v>650</v>
      </c>
      <c r="AD62" s="260">
        <v>799</v>
      </c>
      <c r="AE62" s="228">
        <v>5.31</v>
      </c>
      <c r="AF62" s="228">
        <v>5.52</v>
      </c>
      <c r="AG62" s="360">
        <f t="shared" si="4"/>
        <v>6.9</v>
      </c>
      <c r="AH62" s="360">
        <f t="shared" si="22"/>
        <v>7.18</v>
      </c>
      <c r="AI62" s="362">
        <f t="shared" si="5"/>
        <v>0.29943502824858775</v>
      </c>
      <c r="AJ62" s="362"/>
      <c r="AK62" s="189">
        <v>21210</v>
      </c>
      <c r="AL62" s="189">
        <v>300</v>
      </c>
      <c r="AM62" s="189">
        <v>599</v>
      </c>
      <c r="AN62" s="190"/>
      <c r="AO62" s="191">
        <v>8.8678799999999995</v>
      </c>
      <c r="AP62" s="191">
        <v>10.641455999999998</v>
      </c>
      <c r="AQ62" s="191">
        <v>13.833892799999999</v>
      </c>
      <c r="AR62" s="166"/>
      <c r="AS62" s="191">
        <v>10.667160000000001</v>
      </c>
      <c r="AT62" s="191">
        <v>11.502540000000002</v>
      </c>
      <c r="AU62" s="191">
        <v>14.953302000000003</v>
      </c>
      <c r="AV62" s="166"/>
      <c r="AW62" s="191">
        <v>18.134172000000003</v>
      </c>
      <c r="AX62" s="191">
        <v>19.554317999999999</v>
      </c>
      <c r="AY62" s="191">
        <v>25.420613400000004</v>
      </c>
      <c r="AZ62" s="357"/>
      <c r="BA62" s="191">
        <f t="shared" ref="BA62:BA66" si="30">ROUND(AO62*1.3,2)</f>
        <v>11.53</v>
      </c>
      <c r="BB62" s="191">
        <f t="shared" si="27"/>
        <v>13.83</v>
      </c>
      <c r="BC62" s="191">
        <f t="shared" si="27"/>
        <v>17.98</v>
      </c>
      <c r="BD62" s="166"/>
      <c r="BE62" s="191">
        <f t="shared" si="28"/>
        <v>13.87</v>
      </c>
      <c r="BF62" s="191">
        <f t="shared" si="8"/>
        <v>14.95</v>
      </c>
      <c r="BG62" s="191">
        <f t="shared" si="8"/>
        <v>19.440000000000001</v>
      </c>
      <c r="BH62" s="166"/>
      <c r="BI62" s="191">
        <f t="shared" si="29"/>
        <v>23.57</v>
      </c>
      <c r="BJ62" s="191">
        <f t="shared" si="9"/>
        <v>25.42</v>
      </c>
      <c r="BK62" s="191">
        <f t="shared" si="9"/>
        <v>33.049999999999997</v>
      </c>
      <c r="BL62" s="362">
        <f t="shared" si="6"/>
        <v>0.30019801801557983</v>
      </c>
    </row>
    <row r="63" spans="2:64">
      <c r="B63" s="156">
        <v>130</v>
      </c>
      <c r="C63" s="157" t="s">
        <v>6258</v>
      </c>
      <c r="D63" s="157" t="s">
        <v>6246</v>
      </c>
      <c r="E63" s="157">
        <v>6000</v>
      </c>
      <c r="F63" s="157">
        <v>6499</v>
      </c>
      <c r="G63" s="158">
        <v>14.16</v>
      </c>
      <c r="H63" s="89">
        <f t="shared" si="13"/>
        <v>16.28</v>
      </c>
      <c r="I63" s="360">
        <f t="shared" si="0"/>
        <v>18.41</v>
      </c>
      <c r="J63" s="89">
        <f t="shared" si="14"/>
        <v>21.17</v>
      </c>
      <c r="M63" s="125" t="s">
        <v>6438</v>
      </c>
      <c r="N63" s="116" t="s">
        <v>6439</v>
      </c>
      <c r="O63" s="116" t="s">
        <v>6532</v>
      </c>
      <c r="P63" s="116">
        <v>853</v>
      </c>
      <c r="Q63" s="116">
        <v>864</v>
      </c>
      <c r="R63" s="118">
        <v>8.0399999999999991</v>
      </c>
      <c r="S63" s="118">
        <v>9.0047999999999995</v>
      </c>
      <c r="T63" s="153">
        <f t="shared" si="1"/>
        <v>0.12000000000000005</v>
      </c>
      <c r="U63" s="72">
        <f t="shared" si="2"/>
        <v>10.45</v>
      </c>
      <c r="V63" s="72">
        <f t="shared" si="3"/>
        <v>11.7</v>
      </c>
      <c r="Y63" s="227">
        <v>50</v>
      </c>
      <c r="Z63" s="227">
        <v>3</v>
      </c>
      <c r="AA63" s="259" t="s">
        <v>316</v>
      </c>
      <c r="AB63" s="260" t="s">
        <v>351</v>
      </c>
      <c r="AC63" s="260">
        <v>800</v>
      </c>
      <c r="AD63" s="260">
        <v>1099</v>
      </c>
      <c r="AE63" s="228">
        <v>5.76</v>
      </c>
      <c r="AF63" s="228">
        <v>6</v>
      </c>
      <c r="AG63" s="360">
        <f t="shared" si="4"/>
        <v>7.49</v>
      </c>
      <c r="AH63" s="360">
        <f t="shared" si="22"/>
        <v>7.79</v>
      </c>
      <c r="AI63" s="362">
        <f t="shared" si="5"/>
        <v>0.30034722222222232</v>
      </c>
      <c r="AJ63" s="362"/>
      <c r="AK63" s="189">
        <v>21210</v>
      </c>
      <c r="AL63" s="189">
        <v>600</v>
      </c>
      <c r="AM63" s="189">
        <v>899</v>
      </c>
      <c r="AN63" s="190"/>
      <c r="AO63" s="191">
        <v>9.7353900000000007</v>
      </c>
      <c r="AP63" s="191">
        <v>12.769747199999999</v>
      </c>
      <c r="AQ63" s="191">
        <v>16.60067136</v>
      </c>
      <c r="AR63" s="166"/>
      <c r="AS63" s="191">
        <v>12.800592000000002</v>
      </c>
      <c r="AT63" s="191">
        <v>13.803048000000002</v>
      </c>
      <c r="AU63" s="191">
        <v>17.9439624</v>
      </c>
      <c r="AV63" s="166"/>
      <c r="AW63" s="191">
        <v>21.761006400000003</v>
      </c>
      <c r="AX63" s="191">
        <v>23.465181599999998</v>
      </c>
      <c r="AY63" s="191">
        <v>30.504736080000001</v>
      </c>
      <c r="AZ63" s="357"/>
      <c r="BA63" s="191">
        <f t="shared" si="30"/>
        <v>12.66</v>
      </c>
      <c r="BB63" s="191">
        <f t="shared" si="27"/>
        <v>16.600000000000001</v>
      </c>
      <c r="BC63" s="191">
        <f t="shared" si="27"/>
        <v>21.58</v>
      </c>
      <c r="BD63" s="166"/>
      <c r="BE63" s="191">
        <f t="shared" si="28"/>
        <v>16.64</v>
      </c>
      <c r="BF63" s="191">
        <f t="shared" si="8"/>
        <v>17.940000000000001</v>
      </c>
      <c r="BG63" s="191">
        <f t="shared" si="8"/>
        <v>23.33</v>
      </c>
      <c r="BH63" s="166"/>
      <c r="BI63" s="191">
        <f t="shared" si="29"/>
        <v>28.29</v>
      </c>
      <c r="BJ63" s="191">
        <f t="shared" si="9"/>
        <v>30.5</v>
      </c>
      <c r="BK63" s="191">
        <f t="shared" si="9"/>
        <v>39.659999999999997</v>
      </c>
      <c r="BL63" s="362">
        <f t="shared" si="6"/>
        <v>0.30041015306012386</v>
      </c>
    </row>
    <row r="64" spans="2:64">
      <c r="B64" s="156">
        <v>130</v>
      </c>
      <c r="C64" s="157" t="s">
        <v>6258</v>
      </c>
      <c r="D64" s="157" t="s">
        <v>6247</v>
      </c>
      <c r="E64" s="157">
        <v>6500</v>
      </c>
      <c r="F64" s="157">
        <v>6999</v>
      </c>
      <c r="G64" s="158">
        <v>15.24</v>
      </c>
      <c r="H64" s="89">
        <f t="shared" si="13"/>
        <v>17.53</v>
      </c>
      <c r="I64" s="360">
        <f t="shared" si="0"/>
        <v>19.809999999999999</v>
      </c>
      <c r="J64" s="89">
        <f t="shared" si="14"/>
        <v>22.78</v>
      </c>
      <c r="M64" s="125" t="s">
        <v>6438</v>
      </c>
      <c r="N64" s="116" t="s">
        <v>6439</v>
      </c>
      <c r="O64" s="116" t="s">
        <v>6533</v>
      </c>
      <c r="P64" s="116">
        <v>865</v>
      </c>
      <c r="Q64" s="116">
        <v>876</v>
      </c>
      <c r="R64" s="118">
        <v>8.15</v>
      </c>
      <c r="S64" s="118">
        <v>9.1280000000000019</v>
      </c>
      <c r="T64" s="153">
        <f t="shared" si="1"/>
        <v>0.12000000000000019</v>
      </c>
      <c r="U64" s="72">
        <f t="shared" si="2"/>
        <v>10.6</v>
      </c>
      <c r="V64" s="72">
        <f t="shared" si="3"/>
        <v>11.87</v>
      </c>
      <c r="Y64" s="227">
        <v>50</v>
      </c>
      <c r="Z64" s="227">
        <v>3</v>
      </c>
      <c r="AA64" s="259" t="s">
        <v>316</v>
      </c>
      <c r="AB64" s="260" t="s">
        <v>351</v>
      </c>
      <c r="AC64" s="260">
        <v>1100</v>
      </c>
      <c r="AD64" s="260">
        <v>1299</v>
      </c>
      <c r="AE64" s="228">
        <v>6.07</v>
      </c>
      <c r="AF64" s="228">
        <v>6.31</v>
      </c>
      <c r="AG64" s="360">
        <f t="shared" si="4"/>
        <v>7.89</v>
      </c>
      <c r="AH64" s="360">
        <f t="shared" si="22"/>
        <v>8.2100000000000009</v>
      </c>
      <c r="AI64" s="362">
        <f t="shared" si="5"/>
        <v>0.29983525535420086</v>
      </c>
      <c r="AJ64" s="362"/>
      <c r="AK64" s="189">
        <v>21210</v>
      </c>
      <c r="AL64" s="189">
        <v>900</v>
      </c>
      <c r="AM64" s="189">
        <v>1199</v>
      </c>
      <c r="AN64" s="190"/>
      <c r="AO64" s="191">
        <v>11.195698499999999</v>
      </c>
      <c r="AP64" s="191">
        <v>15.323696639999998</v>
      </c>
      <c r="AQ64" s="191">
        <v>19.920805631999997</v>
      </c>
      <c r="AR64" s="166"/>
      <c r="AS64" s="191">
        <v>14.7206808</v>
      </c>
      <c r="AT64" s="191">
        <v>16.563657599999999</v>
      </c>
      <c r="AU64" s="191">
        <v>21.532754879999995</v>
      </c>
      <c r="AV64" s="166"/>
      <c r="AW64" s="191">
        <v>25.025157359999998</v>
      </c>
      <c r="AX64" s="191">
        <v>28.158217919999998</v>
      </c>
      <c r="AY64" s="191">
        <v>36.605683295999995</v>
      </c>
      <c r="AZ64" s="357"/>
      <c r="BA64" s="191">
        <f t="shared" si="30"/>
        <v>14.55</v>
      </c>
      <c r="BB64" s="191">
        <f t="shared" si="27"/>
        <v>19.920000000000002</v>
      </c>
      <c r="BC64" s="191">
        <f t="shared" si="27"/>
        <v>25.9</v>
      </c>
      <c r="BD64" s="166"/>
      <c r="BE64" s="191">
        <f t="shared" si="28"/>
        <v>19.14</v>
      </c>
      <c r="BF64" s="191">
        <f t="shared" si="8"/>
        <v>21.53</v>
      </c>
      <c r="BG64" s="191">
        <f t="shared" si="8"/>
        <v>27.99</v>
      </c>
      <c r="BH64" s="166"/>
      <c r="BI64" s="191">
        <f t="shared" si="29"/>
        <v>32.53</v>
      </c>
      <c r="BJ64" s="191">
        <f t="shared" si="9"/>
        <v>36.61</v>
      </c>
      <c r="BK64" s="191">
        <f t="shared" si="9"/>
        <v>47.59</v>
      </c>
      <c r="BL64" s="362">
        <f t="shared" si="6"/>
        <v>0.29960627289132535</v>
      </c>
    </row>
    <row r="65" spans="2:64">
      <c r="B65" s="156">
        <v>130</v>
      </c>
      <c r="C65" s="157" t="s">
        <v>6258</v>
      </c>
      <c r="D65" s="157" t="s">
        <v>6248</v>
      </c>
      <c r="E65" s="157">
        <v>7000</v>
      </c>
      <c r="F65" s="157">
        <v>7499</v>
      </c>
      <c r="G65" s="158">
        <v>16.32</v>
      </c>
      <c r="H65" s="89">
        <f t="shared" si="13"/>
        <v>18.77</v>
      </c>
      <c r="I65" s="360">
        <f t="shared" si="0"/>
        <v>21.22</v>
      </c>
      <c r="J65" s="89">
        <f t="shared" si="14"/>
        <v>24.4</v>
      </c>
      <c r="M65" s="125" t="s">
        <v>6438</v>
      </c>
      <c r="N65" s="116" t="s">
        <v>6439</v>
      </c>
      <c r="O65" s="116" t="s">
        <v>6534</v>
      </c>
      <c r="P65" s="116">
        <v>877</v>
      </c>
      <c r="Q65" s="116">
        <v>888</v>
      </c>
      <c r="R65" s="118">
        <v>8.26</v>
      </c>
      <c r="S65" s="118">
        <v>9.2512000000000008</v>
      </c>
      <c r="T65" s="153">
        <f t="shared" si="1"/>
        <v>0.12000000000000012</v>
      </c>
      <c r="U65" s="72">
        <f t="shared" si="2"/>
        <v>10.74</v>
      </c>
      <c r="V65" s="72">
        <f t="shared" si="3"/>
        <v>12.03</v>
      </c>
      <c r="Y65" s="236">
        <v>50</v>
      </c>
      <c r="Z65" s="236">
        <v>3</v>
      </c>
      <c r="AA65" s="261" t="s">
        <v>316</v>
      </c>
      <c r="AB65" s="262" t="s">
        <v>351</v>
      </c>
      <c r="AC65" s="263">
        <f t="shared" ref="AC65:AC67" si="31">+AD64+1</f>
        <v>1300</v>
      </c>
      <c r="AD65" s="264">
        <v>1499</v>
      </c>
      <c r="AE65" s="237">
        <v>10.24</v>
      </c>
      <c r="AF65" s="237">
        <v>10.65</v>
      </c>
      <c r="AG65" s="360">
        <f t="shared" si="4"/>
        <v>13.31</v>
      </c>
      <c r="AH65" s="360">
        <f t="shared" si="22"/>
        <v>13.84</v>
      </c>
      <c r="AI65" s="362">
        <f t="shared" si="5"/>
        <v>0.2998046875</v>
      </c>
      <c r="AJ65" s="362"/>
      <c r="AK65" s="189">
        <v>21210</v>
      </c>
      <c r="AL65" s="189">
        <v>1200</v>
      </c>
      <c r="AM65" s="189">
        <v>1499</v>
      </c>
      <c r="AN65" s="190"/>
      <c r="AO65" s="191">
        <v>12.875053274999997</v>
      </c>
      <c r="AP65" s="191">
        <v>18.388435967999996</v>
      </c>
      <c r="AQ65" s="191">
        <v>23.904966758400001</v>
      </c>
      <c r="AR65" s="166"/>
      <c r="AS65" s="191">
        <v>16.92878292</v>
      </c>
      <c r="AT65" s="191">
        <v>19.876389119999999</v>
      </c>
      <c r="AU65" s="191">
        <v>25.839305855999999</v>
      </c>
      <c r="AV65" s="166"/>
      <c r="AW65" s="191">
        <v>28.778930963999997</v>
      </c>
      <c r="AX65" s="191">
        <v>33.789861503999994</v>
      </c>
      <c r="AY65" s="191">
        <v>43.926819955200003</v>
      </c>
      <c r="AZ65" s="357"/>
      <c r="BA65" s="191">
        <f t="shared" si="30"/>
        <v>16.739999999999998</v>
      </c>
      <c r="BB65" s="191">
        <f t="shared" si="27"/>
        <v>23.9</v>
      </c>
      <c r="BC65" s="191">
        <f t="shared" si="27"/>
        <v>31.08</v>
      </c>
      <c r="BD65" s="166"/>
      <c r="BE65" s="191">
        <f t="shared" si="28"/>
        <v>22.01</v>
      </c>
      <c r="BF65" s="191">
        <f t="shared" si="8"/>
        <v>25.84</v>
      </c>
      <c r="BG65" s="191">
        <f t="shared" si="8"/>
        <v>33.590000000000003</v>
      </c>
      <c r="BH65" s="166"/>
      <c r="BI65" s="191">
        <f t="shared" si="29"/>
        <v>37.409999999999997</v>
      </c>
      <c r="BJ65" s="191">
        <f t="shared" si="9"/>
        <v>43.93</v>
      </c>
      <c r="BK65" s="191">
        <f t="shared" si="9"/>
        <v>57.1</v>
      </c>
      <c r="BL65" s="362">
        <f t="shared" si="6"/>
        <v>0.30018879475277371</v>
      </c>
    </row>
    <row r="66" spans="2:64">
      <c r="B66" s="156">
        <v>130</v>
      </c>
      <c r="C66" s="157" t="s">
        <v>6258</v>
      </c>
      <c r="D66" s="157" t="s">
        <v>6250</v>
      </c>
      <c r="E66" s="157">
        <v>7500</v>
      </c>
      <c r="F66" s="157">
        <v>7999</v>
      </c>
      <c r="G66" s="158">
        <v>17.399999999999999</v>
      </c>
      <c r="H66" s="89">
        <f t="shared" si="13"/>
        <v>20.010000000000002</v>
      </c>
      <c r="I66" s="360">
        <f t="shared" si="0"/>
        <v>22.62</v>
      </c>
      <c r="J66" s="89">
        <f t="shared" si="14"/>
        <v>26.01</v>
      </c>
      <c r="M66" s="125" t="s">
        <v>6438</v>
      </c>
      <c r="N66" s="116" t="s">
        <v>6439</v>
      </c>
      <c r="O66" s="116" t="s">
        <v>6535</v>
      </c>
      <c r="P66" s="116">
        <v>889</v>
      </c>
      <c r="Q66" s="116">
        <v>900</v>
      </c>
      <c r="R66" s="118">
        <v>8.3699999999999992</v>
      </c>
      <c r="S66" s="118">
        <v>9.3743999999999996</v>
      </c>
      <c r="T66" s="153">
        <f t="shared" si="1"/>
        <v>0.12000000000000006</v>
      </c>
      <c r="U66" s="72">
        <f t="shared" si="2"/>
        <v>10.88</v>
      </c>
      <c r="V66" s="72">
        <f t="shared" si="3"/>
        <v>12.19</v>
      </c>
      <c r="Y66" s="236">
        <v>50</v>
      </c>
      <c r="Z66" s="236">
        <v>3</v>
      </c>
      <c r="AA66" s="261" t="s">
        <v>316</v>
      </c>
      <c r="AB66" s="262" t="s">
        <v>351</v>
      </c>
      <c r="AC66" s="263">
        <f t="shared" si="31"/>
        <v>1500</v>
      </c>
      <c r="AD66" s="264">
        <v>1699</v>
      </c>
      <c r="AE66" s="237">
        <v>10.99</v>
      </c>
      <c r="AF66" s="237">
        <v>11.43</v>
      </c>
      <c r="AG66" s="360">
        <f t="shared" si="4"/>
        <v>14.29</v>
      </c>
      <c r="AH66" s="360">
        <f t="shared" si="22"/>
        <v>14.86</v>
      </c>
      <c r="AI66" s="362">
        <f>(AG66-AE66)/AE66</f>
        <v>0.30027297543221099</v>
      </c>
      <c r="AJ66" s="362"/>
      <c r="AK66" s="189">
        <v>21210</v>
      </c>
      <c r="AL66" s="189">
        <v>1500</v>
      </c>
      <c r="AM66" s="189">
        <v>1799</v>
      </c>
      <c r="AN66" s="190"/>
      <c r="AO66" s="191">
        <v>14.806311266249995</v>
      </c>
      <c r="AP66" s="191">
        <v>22.066123161599997</v>
      </c>
      <c r="AQ66" s="191">
        <v>28.68596011008</v>
      </c>
      <c r="AR66" s="166"/>
      <c r="AS66" s="191">
        <v>19.468100357999997</v>
      </c>
      <c r="AT66" s="191">
        <v>23.851666943999998</v>
      </c>
      <c r="AU66" s="191">
        <v>31.007167027199998</v>
      </c>
      <c r="AV66" s="166"/>
      <c r="AW66" s="191">
        <v>33.095770608599992</v>
      </c>
      <c r="AX66" s="191">
        <v>40.5478338048</v>
      </c>
      <c r="AY66" s="191">
        <v>52.712183946240003</v>
      </c>
      <c r="AZ66" s="357"/>
      <c r="BA66" s="191">
        <f t="shared" si="30"/>
        <v>19.25</v>
      </c>
      <c r="BB66" s="191">
        <f t="shared" si="27"/>
        <v>28.69</v>
      </c>
      <c r="BC66" s="191">
        <f t="shared" si="27"/>
        <v>37.29</v>
      </c>
      <c r="BD66" s="166"/>
      <c r="BE66" s="191">
        <f t="shared" si="28"/>
        <v>25.31</v>
      </c>
      <c r="BF66" s="191">
        <f t="shared" si="8"/>
        <v>31.01</v>
      </c>
      <c r="BG66" s="191">
        <f t="shared" si="8"/>
        <v>40.31</v>
      </c>
      <c r="BH66" s="166"/>
      <c r="BI66" s="191">
        <f t="shared" si="29"/>
        <v>43.02</v>
      </c>
      <c r="BJ66" s="191">
        <f t="shared" si="9"/>
        <v>52.71</v>
      </c>
      <c r="BK66" s="191">
        <f t="shared" si="9"/>
        <v>68.53</v>
      </c>
      <c r="BL66" s="362">
        <f t="shared" si="6"/>
        <v>0.30012125598622924</v>
      </c>
    </row>
    <row r="67" spans="2:64">
      <c r="B67" s="156">
        <v>130</v>
      </c>
      <c r="C67" s="157" t="s">
        <v>6258</v>
      </c>
      <c r="D67" s="157" t="s">
        <v>6252</v>
      </c>
      <c r="E67" s="157">
        <v>8000</v>
      </c>
      <c r="F67" s="157">
        <v>8499</v>
      </c>
      <c r="G67" s="158">
        <v>18.48</v>
      </c>
      <c r="H67" s="89">
        <f t="shared" si="13"/>
        <v>21.25</v>
      </c>
      <c r="I67" s="360">
        <f t="shared" si="0"/>
        <v>24.02</v>
      </c>
      <c r="J67" s="89">
        <f t="shared" si="14"/>
        <v>27.62</v>
      </c>
      <c r="M67" s="125" t="s">
        <v>6438</v>
      </c>
      <c r="N67" s="116" t="s">
        <v>6439</v>
      </c>
      <c r="O67" s="116" t="s">
        <v>6536</v>
      </c>
      <c r="P67" s="116">
        <v>901</v>
      </c>
      <c r="Q67" s="116">
        <v>912</v>
      </c>
      <c r="R67" s="118">
        <v>8.48</v>
      </c>
      <c r="S67" s="118">
        <v>9.497600000000002</v>
      </c>
      <c r="T67" s="153">
        <f t="shared" si="1"/>
        <v>0.12000000000000019</v>
      </c>
      <c r="U67" s="72">
        <f t="shared" si="2"/>
        <v>11.02</v>
      </c>
      <c r="V67" s="72">
        <f t="shared" si="3"/>
        <v>12.34</v>
      </c>
      <c r="Y67" s="236">
        <v>50</v>
      </c>
      <c r="Z67" s="236">
        <v>3</v>
      </c>
      <c r="AA67" s="261" t="s">
        <v>316</v>
      </c>
      <c r="AB67" s="262" t="s">
        <v>351</v>
      </c>
      <c r="AC67" s="263">
        <f t="shared" si="31"/>
        <v>1700</v>
      </c>
      <c r="AD67" s="264">
        <v>1899</v>
      </c>
      <c r="AE67" s="237">
        <v>11.73</v>
      </c>
      <c r="AF67" s="237">
        <v>12.2</v>
      </c>
      <c r="AG67" s="360">
        <f t="shared" si="4"/>
        <v>15.25</v>
      </c>
      <c r="AH67" s="360">
        <f t="shared" si="22"/>
        <v>15.86</v>
      </c>
      <c r="AI67" s="362">
        <f t="shared" si="5"/>
        <v>0.30008525149190107</v>
      </c>
      <c r="AJ67" s="362"/>
      <c r="AK67" s="192">
        <v>21310</v>
      </c>
      <c r="AL67" s="192">
        <v>1</v>
      </c>
      <c r="AM67" s="192">
        <v>299</v>
      </c>
      <c r="AN67" s="193"/>
      <c r="AO67" s="194">
        <v>7.1039430000000019</v>
      </c>
      <c r="AP67" s="194">
        <v>9.7546680000000006</v>
      </c>
      <c r="AQ67" s="194">
        <v>12.681068399999999</v>
      </c>
      <c r="AR67" s="166"/>
      <c r="AS67" s="194">
        <v>7.8108030000000008</v>
      </c>
      <c r="AT67" s="194">
        <v>11.080811168674698</v>
      </c>
      <c r="AU67" s="194">
        <v>14.405054519277108</v>
      </c>
      <c r="AV67" s="166"/>
      <c r="AW67" s="194">
        <v>13.2783651</v>
      </c>
      <c r="AX67" s="194">
        <v>18.837378986746984</v>
      </c>
      <c r="AY67" s="194">
        <v>24.488592682771085</v>
      </c>
      <c r="AZ67" s="357"/>
      <c r="BA67" s="194">
        <f>ROUND(AO67*1.3,2)</f>
        <v>9.24</v>
      </c>
      <c r="BB67" s="194">
        <f t="shared" si="27"/>
        <v>12.68</v>
      </c>
      <c r="BC67" s="194">
        <f t="shared" si="27"/>
        <v>16.489999999999998</v>
      </c>
      <c r="BD67" s="166"/>
      <c r="BE67" s="194">
        <f t="shared" si="28"/>
        <v>10.15</v>
      </c>
      <c r="BF67" s="194">
        <f t="shared" si="8"/>
        <v>14.41</v>
      </c>
      <c r="BG67" s="194">
        <f t="shared" si="8"/>
        <v>18.73</v>
      </c>
      <c r="BH67" s="166"/>
      <c r="BI67" s="194">
        <f t="shared" si="29"/>
        <v>17.260000000000002</v>
      </c>
      <c r="BJ67" s="194">
        <f t="shared" si="9"/>
        <v>24.49</v>
      </c>
      <c r="BK67" s="194">
        <f t="shared" si="9"/>
        <v>31.84</v>
      </c>
      <c r="BL67" s="362">
        <f t="shared" si="6"/>
        <v>0.3006861119240396</v>
      </c>
    </row>
    <row r="68" spans="2:64">
      <c r="B68" s="156">
        <v>130</v>
      </c>
      <c r="C68" s="157" t="s">
        <v>6258</v>
      </c>
      <c r="D68" s="157" t="s">
        <v>6255</v>
      </c>
      <c r="E68" s="157">
        <v>8500</v>
      </c>
      <c r="F68" s="157">
        <v>8999</v>
      </c>
      <c r="G68" s="158">
        <v>19.559999999999999</v>
      </c>
      <c r="H68" s="89">
        <f t="shared" si="13"/>
        <v>22.49</v>
      </c>
      <c r="I68" s="360">
        <f t="shared" ref="I68:I131" si="32">ROUND(G68*1.3,2)</f>
        <v>25.43</v>
      </c>
      <c r="J68" s="89">
        <f t="shared" si="14"/>
        <v>29.24</v>
      </c>
      <c r="M68" s="125" t="s">
        <v>6438</v>
      </c>
      <c r="N68" s="116" t="s">
        <v>6439</v>
      </c>
      <c r="O68" s="116" t="s">
        <v>6537</v>
      </c>
      <c r="P68" s="116">
        <v>913</v>
      </c>
      <c r="Q68" s="116">
        <v>924</v>
      </c>
      <c r="R68" s="118">
        <v>8.59</v>
      </c>
      <c r="S68" s="118">
        <v>9.6208000000000009</v>
      </c>
      <c r="T68" s="153">
        <f t="shared" ref="T68:T75" si="33">(S68-R68)/R68</f>
        <v>0.12000000000000012</v>
      </c>
      <c r="U68" s="72">
        <f t="shared" ref="U68:U75" si="34">ROUND(R68*1.3,2)</f>
        <v>11.17</v>
      </c>
      <c r="V68" s="72">
        <f t="shared" ref="V68:V74" si="35">ROUND(U68*(1+T68),2)</f>
        <v>12.51</v>
      </c>
      <c r="Y68" s="223">
        <v>50</v>
      </c>
      <c r="Z68" s="223">
        <v>3</v>
      </c>
      <c r="AA68" s="252" t="s">
        <v>359</v>
      </c>
      <c r="AB68" s="252" t="s">
        <v>360</v>
      </c>
      <c r="AC68" s="252">
        <v>16</v>
      </c>
      <c r="AD68" s="253">
        <v>349</v>
      </c>
      <c r="AE68" s="224">
        <v>5.94</v>
      </c>
      <c r="AF68" s="224">
        <v>6.18</v>
      </c>
      <c r="AG68" s="360">
        <f t="shared" ref="AG68:AG131" si="36">ROUND(AE68*1.3,2)</f>
        <v>7.72</v>
      </c>
      <c r="AH68" s="360">
        <f t="shared" si="22"/>
        <v>8.0299999999999994</v>
      </c>
      <c r="AI68" s="362">
        <f t="shared" ref="AI68:AI75" si="37">(AG68-AE68)/AE68</f>
        <v>0.29966329966329952</v>
      </c>
      <c r="AJ68" s="362"/>
      <c r="AK68" s="192">
        <v>21310</v>
      </c>
      <c r="AL68" s="192">
        <v>300</v>
      </c>
      <c r="AM68" s="192">
        <v>599</v>
      </c>
      <c r="AN68" s="193"/>
      <c r="AO68" s="194">
        <v>9.7546680000000006</v>
      </c>
      <c r="AP68" s="194">
        <v>11.7056016</v>
      </c>
      <c r="AQ68" s="194">
        <v>15.21728208</v>
      </c>
      <c r="AR68" s="166"/>
      <c r="AS68" s="194">
        <v>11.733876000000002</v>
      </c>
      <c r="AT68" s="194">
        <v>12.652794000000002</v>
      </c>
      <c r="AU68" s="194">
        <v>16.448632200000006</v>
      </c>
      <c r="AV68" s="166"/>
      <c r="AW68" s="194">
        <v>19.947589200000007</v>
      </c>
      <c r="AX68" s="194">
        <v>21.509749800000002</v>
      </c>
      <c r="AY68" s="194">
        <v>27.962674740000008</v>
      </c>
      <c r="AZ68" s="357"/>
      <c r="BA68" s="194">
        <f t="shared" ref="BA68:BC83" si="38">ROUND(AO68*1.3,2)</f>
        <v>12.68</v>
      </c>
      <c r="BB68" s="194">
        <f t="shared" si="27"/>
        <v>15.22</v>
      </c>
      <c r="BC68" s="194">
        <f t="shared" si="27"/>
        <v>19.78</v>
      </c>
      <c r="BD68" s="166"/>
      <c r="BE68" s="194">
        <f t="shared" si="28"/>
        <v>15.25</v>
      </c>
      <c r="BF68" s="194">
        <f t="shared" si="8"/>
        <v>16.45</v>
      </c>
      <c r="BG68" s="194">
        <f t="shared" si="8"/>
        <v>21.38</v>
      </c>
      <c r="BH68" s="166"/>
      <c r="BI68" s="194">
        <f t="shared" si="29"/>
        <v>25.93</v>
      </c>
      <c r="BJ68" s="194">
        <f t="shared" si="9"/>
        <v>27.96</v>
      </c>
      <c r="BK68" s="194">
        <f t="shared" si="9"/>
        <v>36.35</v>
      </c>
      <c r="BL68" s="362">
        <f t="shared" si="6"/>
        <v>0.29989047295100141</v>
      </c>
    </row>
    <row r="69" spans="2:64">
      <c r="B69" s="156">
        <v>130</v>
      </c>
      <c r="C69" s="157" t="s">
        <v>6258</v>
      </c>
      <c r="D69" s="157" t="s">
        <v>6256</v>
      </c>
      <c r="E69" s="157">
        <v>9000</v>
      </c>
      <c r="F69" s="157">
        <v>9499</v>
      </c>
      <c r="G69" s="158">
        <v>20.64</v>
      </c>
      <c r="H69" s="89">
        <f t="shared" si="13"/>
        <v>23.74</v>
      </c>
      <c r="I69" s="360">
        <f t="shared" si="32"/>
        <v>26.83</v>
      </c>
      <c r="J69" s="89">
        <f t="shared" si="14"/>
        <v>30.85</v>
      </c>
      <c r="M69" s="125" t="s">
        <v>6438</v>
      </c>
      <c r="N69" s="116" t="s">
        <v>6439</v>
      </c>
      <c r="O69" s="116" t="s">
        <v>6538</v>
      </c>
      <c r="P69" s="116">
        <v>925</v>
      </c>
      <c r="Q69" s="116">
        <v>936</v>
      </c>
      <c r="R69" s="118">
        <v>8.6999999999999993</v>
      </c>
      <c r="S69" s="118">
        <v>9.7439999999999998</v>
      </c>
      <c r="T69" s="153">
        <f t="shared" si="33"/>
        <v>0.12000000000000006</v>
      </c>
      <c r="U69" s="72">
        <f t="shared" si="34"/>
        <v>11.31</v>
      </c>
      <c r="V69" s="72">
        <f t="shared" si="35"/>
        <v>12.67</v>
      </c>
      <c r="Y69" s="227">
        <v>50</v>
      </c>
      <c r="Z69" s="227">
        <v>3</v>
      </c>
      <c r="AA69" s="255" t="s">
        <v>359</v>
      </c>
      <c r="AB69" s="255" t="s">
        <v>360</v>
      </c>
      <c r="AC69" s="255">
        <f t="shared" ref="AC69:AC80" si="39">+AD68+1</f>
        <v>350</v>
      </c>
      <c r="AD69" s="256">
        <v>499</v>
      </c>
      <c r="AE69" s="228">
        <v>6.5</v>
      </c>
      <c r="AF69" s="228">
        <v>6.76</v>
      </c>
      <c r="AG69" s="360">
        <f t="shared" si="36"/>
        <v>8.4499999999999993</v>
      </c>
      <c r="AH69" s="360">
        <f t="shared" si="22"/>
        <v>8.7899999999999991</v>
      </c>
      <c r="AI69" s="362">
        <f t="shared" si="37"/>
        <v>0.29999999999999988</v>
      </c>
      <c r="AJ69" s="362"/>
      <c r="AK69" s="192">
        <v>21310</v>
      </c>
      <c r="AL69" s="192">
        <v>600</v>
      </c>
      <c r="AM69" s="192">
        <v>899</v>
      </c>
      <c r="AN69" s="193"/>
      <c r="AO69" s="194">
        <v>10.708929000000001</v>
      </c>
      <c r="AP69" s="194">
        <v>14.046721920000001</v>
      </c>
      <c r="AQ69" s="194">
        <v>18.260738496000002</v>
      </c>
      <c r="AR69" s="166"/>
      <c r="AS69" s="194">
        <v>14.080651200000004</v>
      </c>
      <c r="AT69" s="194">
        <v>15.183352800000003</v>
      </c>
      <c r="AU69" s="194">
        <v>19.738358640000001</v>
      </c>
      <c r="AV69" s="166"/>
      <c r="AW69" s="194">
        <v>23.937107040000004</v>
      </c>
      <c r="AX69" s="194">
        <v>25.81169976</v>
      </c>
      <c r="AY69" s="194">
        <v>33.555209688000005</v>
      </c>
      <c r="AZ69" s="357"/>
      <c r="BA69" s="194">
        <f t="shared" si="38"/>
        <v>13.92</v>
      </c>
      <c r="BB69" s="194">
        <f t="shared" si="27"/>
        <v>18.260000000000002</v>
      </c>
      <c r="BC69" s="194">
        <f t="shared" si="27"/>
        <v>23.74</v>
      </c>
      <c r="BD69" s="166"/>
      <c r="BE69" s="194">
        <f t="shared" si="28"/>
        <v>18.3</v>
      </c>
      <c r="BF69" s="194">
        <f t="shared" si="8"/>
        <v>19.739999999999998</v>
      </c>
      <c r="BG69" s="194">
        <f t="shared" si="8"/>
        <v>25.66</v>
      </c>
      <c r="BH69" s="166"/>
      <c r="BI69" s="194">
        <f t="shared" si="29"/>
        <v>31.12</v>
      </c>
      <c r="BJ69" s="194">
        <f t="shared" si="9"/>
        <v>33.56</v>
      </c>
      <c r="BK69" s="194">
        <f t="shared" si="9"/>
        <v>43.62</v>
      </c>
      <c r="BL69" s="362">
        <f t="shared" si="6"/>
        <v>0.29984987294247617</v>
      </c>
    </row>
    <row r="70" spans="2:64">
      <c r="B70" s="159">
        <v>130</v>
      </c>
      <c r="C70" s="160" t="s">
        <v>6258</v>
      </c>
      <c r="D70" s="160" t="s">
        <v>6257</v>
      </c>
      <c r="E70" s="160">
        <v>9500</v>
      </c>
      <c r="F70" s="160">
        <v>10000</v>
      </c>
      <c r="G70" s="161">
        <v>21.72</v>
      </c>
      <c r="H70" s="91">
        <f t="shared" si="13"/>
        <v>24.98</v>
      </c>
      <c r="I70" s="360">
        <f t="shared" si="32"/>
        <v>28.24</v>
      </c>
      <c r="J70" s="89">
        <f t="shared" si="14"/>
        <v>32.479999999999997</v>
      </c>
      <c r="M70" s="125" t="s">
        <v>6438</v>
      </c>
      <c r="N70" s="116" t="s">
        <v>6439</v>
      </c>
      <c r="O70" s="116" t="s">
        <v>6539</v>
      </c>
      <c r="P70" s="116">
        <v>937</v>
      </c>
      <c r="Q70" s="116">
        <v>948</v>
      </c>
      <c r="R70" s="118">
        <v>8.81</v>
      </c>
      <c r="S70" s="118">
        <v>9.8672000000000022</v>
      </c>
      <c r="T70" s="153">
        <f t="shared" si="33"/>
        <v>0.12000000000000019</v>
      </c>
      <c r="U70" s="72">
        <f t="shared" si="34"/>
        <v>11.45</v>
      </c>
      <c r="V70" s="72">
        <f t="shared" si="35"/>
        <v>12.82</v>
      </c>
      <c r="Y70" s="227">
        <v>50</v>
      </c>
      <c r="Z70" s="227">
        <v>3</v>
      </c>
      <c r="AA70" s="255" t="s">
        <v>359</v>
      </c>
      <c r="AB70" s="255" t="s">
        <v>360</v>
      </c>
      <c r="AC70" s="255">
        <f t="shared" si="39"/>
        <v>500</v>
      </c>
      <c r="AD70" s="256">
        <v>649</v>
      </c>
      <c r="AE70" s="228">
        <v>7.06</v>
      </c>
      <c r="AF70" s="228">
        <v>7.34</v>
      </c>
      <c r="AG70" s="360">
        <f t="shared" si="36"/>
        <v>9.18</v>
      </c>
      <c r="AH70" s="360">
        <f t="shared" si="22"/>
        <v>9.5500000000000007</v>
      </c>
      <c r="AI70" s="362">
        <f t="shared" si="37"/>
        <v>0.3002832861189802</v>
      </c>
      <c r="AJ70" s="362"/>
      <c r="AK70" s="192">
        <v>21310</v>
      </c>
      <c r="AL70" s="192">
        <v>900</v>
      </c>
      <c r="AM70" s="192">
        <v>1199</v>
      </c>
      <c r="AN70" s="193"/>
      <c r="AO70" s="194">
        <v>12.31526835</v>
      </c>
      <c r="AP70" s="194">
        <v>16.856066303999999</v>
      </c>
      <c r="AQ70" s="194">
        <v>21.912886195199999</v>
      </c>
      <c r="AR70" s="166"/>
      <c r="AS70" s="194">
        <v>16.19274888</v>
      </c>
      <c r="AT70" s="194">
        <v>18.220023359999999</v>
      </c>
      <c r="AU70" s="194">
        <v>23.686030367999997</v>
      </c>
      <c r="AV70" s="166"/>
      <c r="AW70" s="194">
        <v>27.527673096000001</v>
      </c>
      <c r="AX70" s="194">
        <v>30.974039712</v>
      </c>
      <c r="AY70" s="194">
        <v>40.266251625599999</v>
      </c>
      <c r="AZ70" s="357"/>
      <c r="BA70" s="194">
        <f t="shared" si="38"/>
        <v>16.010000000000002</v>
      </c>
      <c r="BB70" s="194">
        <f t="shared" si="27"/>
        <v>21.91</v>
      </c>
      <c r="BC70" s="194">
        <f t="shared" si="27"/>
        <v>28.49</v>
      </c>
      <c r="BD70" s="166"/>
      <c r="BE70" s="194">
        <f t="shared" si="28"/>
        <v>21.05</v>
      </c>
      <c r="BF70" s="194">
        <f t="shared" si="8"/>
        <v>23.69</v>
      </c>
      <c r="BG70" s="194">
        <f t="shared" si="8"/>
        <v>30.79</v>
      </c>
      <c r="BH70" s="166"/>
      <c r="BI70" s="194">
        <f t="shared" si="29"/>
        <v>35.79</v>
      </c>
      <c r="BJ70" s="194">
        <f t="shared" si="9"/>
        <v>40.270000000000003</v>
      </c>
      <c r="BK70" s="194">
        <f t="shared" si="9"/>
        <v>52.35</v>
      </c>
      <c r="BL70" s="362">
        <f t="shared" si="6"/>
        <v>0.30001227297657718</v>
      </c>
    </row>
    <row r="71" spans="2:64">
      <c r="B71" s="156">
        <v>134</v>
      </c>
      <c r="C71" s="157" t="s">
        <v>6269</v>
      </c>
      <c r="D71" s="157" t="s">
        <v>6180</v>
      </c>
      <c r="E71" s="157">
        <v>16</v>
      </c>
      <c r="F71" s="157">
        <v>249</v>
      </c>
      <c r="G71" s="359">
        <v>0.96</v>
      </c>
      <c r="H71" s="296"/>
      <c r="I71" s="360">
        <f t="shared" si="32"/>
        <v>1.25</v>
      </c>
      <c r="M71" s="125" t="s">
        <v>6438</v>
      </c>
      <c r="N71" s="116" t="s">
        <v>6439</v>
      </c>
      <c r="O71" s="116" t="s">
        <v>6540</v>
      </c>
      <c r="P71" s="116">
        <v>949</v>
      </c>
      <c r="Q71" s="116">
        <v>960</v>
      </c>
      <c r="R71" s="118">
        <v>8.92</v>
      </c>
      <c r="S71" s="118">
        <v>9.9904000000000011</v>
      </c>
      <c r="T71" s="153">
        <f t="shared" si="33"/>
        <v>0.12000000000000013</v>
      </c>
      <c r="U71" s="72">
        <f t="shared" si="34"/>
        <v>11.6</v>
      </c>
      <c r="V71" s="72">
        <f t="shared" si="35"/>
        <v>12.99</v>
      </c>
      <c r="Y71" s="227">
        <v>50</v>
      </c>
      <c r="Z71" s="227">
        <v>3</v>
      </c>
      <c r="AA71" s="255" t="s">
        <v>359</v>
      </c>
      <c r="AB71" s="255" t="s">
        <v>360</v>
      </c>
      <c r="AC71" s="255">
        <f t="shared" si="39"/>
        <v>650</v>
      </c>
      <c r="AD71" s="256">
        <v>799</v>
      </c>
      <c r="AE71" s="228">
        <v>7.62</v>
      </c>
      <c r="AF71" s="228">
        <v>7.93</v>
      </c>
      <c r="AG71" s="360">
        <f t="shared" si="36"/>
        <v>9.91</v>
      </c>
      <c r="AH71" s="360">
        <f t="shared" si="22"/>
        <v>10.31</v>
      </c>
      <c r="AI71" s="362">
        <f t="shared" si="37"/>
        <v>0.3005249343832021</v>
      </c>
      <c r="AJ71" s="362"/>
      <c r="AK71" s="192">
        <v>21310</v>
      </c>
      <c r="AL71" s="192">
        <v>1200</v>
      </c>
      <c r="AM71" s="192">
        <v>1499</v>
      </c>
      <c r="AN71" s="193"/>
      <c r="AO71" s="194">
        <v>14.162558602499999</v>
      </c>
      <c r="AP71" s="194">
        <v>20.227279564799996</v>
      </c>
      <c r="AQ71" s="194">
        <v>26.295463434240002</v>
      </c>
      <c r="AR71" s="166"/>
      <c r="AS71" s="194">
        <v>18.621661212000003</v>
      </c>
      <c r="AT71" s="194">
        <v>21.864028032</v>
      </c>
      <c r="AU71" s="194">
        <v>28.4232364416</v>
      </c>
      <c r="AV71" s="166"/>
      <c r="AW71" s="194">
        <v>31.656824060399998</v>
      </c>
      <c r="AX71" s="194">
        <v>37.168847654399997</v>
      </c>
      <c r="AY71" s="194">
        <v>48.31950195072001</v>
      </c>
      <c r="AZ71" s="357"/>
      <c r="BA71" s="194">
        <f t="shared" si="38"/>
        <v>18.41</v>
      </c>
      <c r="BB71" s="194">
        <f t="shared" si="27"/>
        <v>26.3</v>
      </c>
      <c r="BC71" s="194">
        <f t="shared" si="27"/>
        <v>34.18</v>
      </c>
      <c r="BD71" s="166"/>
      <c r="BE71" s="194">
        <f t="shared" si="28"/>
        <v>24.21</v>
      </c>
      <c r="BF71" s="194">
        <f t="shared" si="8"/>
        <v>28.42</v>
      </c>
      <c r="BG71" s="194">
        <f t="shared" si="8"/>
        <v>36.950000000000003</v>
      </c>
      <c r="BH71" s="166"/>
      <c r="BI71" s="194">
        <f t="shared" si="29"/>
        <v>41.15</v>
      </c>
      <c r="BJ71" s="194">
        <f t="shared" si="9"/>
        <v>48.32</v>
      </c>
      <c r="BK71" s="194">
        <f t="shared" si="9"/>
        <v>62.82</v>
      </c>
      <c r="BL71" s="362">
        <f t="shared" si="6"/>
        <v>0.29990635991085929</v>
      </c>
    </row>
    <row r="72" spans="2:64">
      <c r="B72" s="156">
        <v>134</v>
      </c>
      <c r="C72" s="157" t="s">
        <v>6269</v>
      </c>
      <c r="D72" s="157" t="s">
        <v>6185</v>
      </c>
      <c r="E72" s="157">
        <v>250</v>
      </c>
      <c r="F72" s="157">
        <v>299</v>
      </c>
      <c r="G72" s="359">
        <v>1.05</v>
      </c>
      <c r="H72" s="296"/>
      <c r="I72" s="360">
        <f t="shared" si="32"/>
        <v>1.37</v>
      </c>
      <c r="M72" s="125" t="s">
        <v>6438</v>
      </c>
      <c r="N72" s="116" t="s">
        <v>6439</v>
      </c>
      <c r="O72" s="116" t="s">
        <v>6541</v>
      </c>
      <c r="P72" s="116">
        <v>961</v>
      </c>
      <c r="Q72" s="116">
        <v>972</v>
      </c>
      <c r="R72" s="118">
        <v>9.0299999999999994</v>
      </c>
      <c r="S72" s="118">
        <v>10.1136</v>
      </c>
      <c r="T72" s="153">
        <f t="shared" si="33"/>
        <v>0.12000000000000006</v>
      </c>
      <c r="U72" s="72">
        <f t="shared" si="34"/>
        <v>11.74</v>
      </c>
      <c r="V72" s="72">
        <f t="shared" si="35"/>
        <v>13.15</v>
      </c>
      <c r="Y72" s="227">
        <v>50</v>
      </c>
      <c r="Z72" s="227">
        <v>3</v>
      </c>
      <c r="AA72" s="255" t="s">
        <v>359</v>
      </c>
      <c r="AB72" s="255" t="s">
        <v>360</v>
      </c>
      <c r="AC72" s="255">
        <f t="shared" si="39"/>
        <v>800</v>
      </c>
      <c r="AD72" s="256">
        <v>949</v>
      </c>
      <c r="AE72" s="228">
        <v>8.18</v>
      </c>
      <c r="AF72" s="228">
        <v>8.51</v>
      </c>
      <c r="AG72" s="360">
        <f t="shared" si="36"/>
        <v>10.63</v>
      </c>
      <c r="AH72" s="360">
        <f t="shared" si="22"/>
        <v>11.06</v>
      </c>
      <c r="AI72" s="362">
        <f t="shared" si="37"/>
        <v>0.29951100244498791</v>
      </c>
      <c r="AJ72" s="362"/>
      <c r="AK72" s="192">
        <v>21310</v>
      </c>
      <c r="AL72" s="192">
        <v>1500</v>
      </c>
      <c r="AM72" s="192">
        <v>1799</v>
      </c>
      <c r="AN72" s="193"/>
      <c r="AO72" s="194">
        <v>16.286942392874995</v>
      </c>
      <c r="AP72" s="194">
        <v>24.272735477759998</v>
      </c>
      <c r="AQ72" s="194">
        <v>31.554556121088002</v>
      </c>
      <c r="AR72" s="166"/>
      <c r="AS72" s="194">
        <v>21.4149103938</v>
      </c>
      <c r="AT72" s="194">
        <v>26.2368336384</v>
      </c>
      <c r="AU72" s="194">
        <v>34.107883729919998</v>
      </c>
      <c r="AV72" s="166"/>
      <c r="AW72" s="194">
        <v>36.405347669459992</v>
      </c>
      <c r="AX72" s="194">
        <v>44.602617185280003</v>
      </c>
      <c r="AY72" s="194">
        <v>57.983402340864011</v>
      </c>
      <c r="AZ72" s="357"/>
      <c r="BA72" s="194">
        <f t="shared" si="38"/>
        <v>21.17</v>
      </c>
      <c r="BB72" s="194">
        <f t="shared" si="38"/>
        <v>31.55</v>
      </c>
      <c r="BC72" s="194">
        <f t="shared" si="38"/>
        <v>41.02</v>
      </c>
      <c r="BD72" s="166"/>
      <c r="BE72" s="194">
        <f t="shared" si="28"/>
        <v>27.84</v>
      </c>
      <c r="BF72" s="194">
        <f t="shared" si="8"/>
        <v>34.11</v>
      </c>
      <c r="BG72" s="194">
        <f t="shared" si="8"/>
        <v>44.34</v>
      </c>
      <c r="BH72" s="166"/>
      <c r="BI72" s="194">
        <f t="shared" si="29"/>
        <v>47.33</v>
      </c>
      <c r="BJ72" s="194">
        <f t="shared" si="9"/>
        <v>57.98</v>
      </c>
      <c r="BK72" s="194">
        <f t="shared" si="9"/>
        <v>75.38</v>
      </c>
      <c r="BL72" s="362">
        <f t="shared" si="6"/>
        <v>0.29981426159284419</v>
      </c>
    </row>
    <row r="73" spans="2:64">
      <c r="B73" s="156">
        <v>134</v>
      </c>
      <c r="C73" s="157" t="s">
        <v>6269</v>
      </c>
      <c r="D73" s="157" t="s">
        <v>6187</v>
      </c>
      <c r="E73" s="157">
        <v>300</v>
      </c>
      <c r="F73" s="157">
        <v>349</v>
      </c>
      <c r="G73" s="359">
        <v>1.1399999999999999</v>
      </c>
      <c r="H73" s="296"/>
      <c r="I73" s="360">
        <f t="shared" si="32"/>
        <v>1.48</v>
      </c>
      <c r="M73" s="125" t="s">
        <v>6438</v>
      </c>
      <c r="N73" s="116" t="s">
        <v>6439</v>
      </c>
      <c r="O73" s="116" t="s">
        <v>6542</v>
      </c>
      <c r="P73" s="116">
        <v>973</v>
      </c>
      <c r="Q73" s="116">
        <v>984</v>
      </c>
      <c r="R73" s="118">
        <v>9.14</v>
      </c>
      <c r="S73" s="118">
        <v>10.236800000000002</v>
      </c>
      <c r="T73" s="153">
        <f t="shared" si="33"/>
        <v>0.12000000000000019</v>
      </c>
      <c r="U73" s="72">
        <f t="shared" si="34"/>
        <v>11.88</v>
      </c>
      <c r="V73" s="72">
        <f t="shared" si="35"/>
        <v>13.31</v>
      </c>
      <c r="Y73" s="227">
        <v>50</v>
      </c>
      <c r="Z73" s="227">
        <v>3</v>
      </c>
      <c r="AA73" s="255" t="s">
        <v>359</v>
      </c>
      <c r="AB73" s="255" t="s">
        <v>360</v>
      </c>
      <c r="AC73" s="255">
        <f t="shared" si="39"/>
        <v>950</v>
      </c>
      <c r="AD73" s="256">
        <v>1099</v>
      </c>
      <c r="AE73" s="228">
        <v>8.74</v>
      </c>
      <c r="AF73" s="228">
        <v>9.09</v>
      </c>
      <c r="AG73" s="360">
        <f t="shared" si="36"/>
        <v>11.36</v>
      </c>
      <c r="AH73" s="360">
        <f t="shared" si="22"/>
        <v>11.81</v>
      </c>
      <c r="AI73" s="362">
        <f t="shared" si="37"/>
        <v>0.29977116704805484</v>
      </c>
      <c r="AJ73" s="362"/>
      <c r="AK73" s="195">
        <v>22210</v>
      </c>
      <c r="AL73" s="195">
        <v>1</v>
      </c>
      <c r="AM73" s="195">
        <v>299</v>
      </c>
      <c r="AN73" s="193"/>
      <c r="AO73" s="196">
        <v>7.2331056000000027</v>
      </c>
      <c r="AP73" s="196">
        <v>9.9320256000000011</v>
      </c>
      <c r="AQ73" s="196">
        <v>12.91163328</v>
      </c>
      <c r="AR73" s="197"/>
      <c r="AS73" s="196">
        <v>7.9528176000000013</v>
      </c>
      <c r="AT73" s="196">
        <v>11.282280462650602</v>
      </c>
      <c r="AU73" s="196">
        <v>14.666964601445782</v>
      </c>
      <c r="AV73" s="197"/>
      <c r="AW73" s="196">
        <v>13.519789919999999</v>
      </c>
      <c r="AX73" s="196">
        <v>19.179876786506021</v>
      </c>
      <c r="AY73" s="196">
        <v>24.933839822457831</v>
      </c>
      <c r="AZ73" s="363"/>
      <c r="BA73" s="364">
        <f>ROUND(AO73*1.3,2)</f>
        <v>9.4</v>
      </c>
      <c r="BB73" s="364">
        <f t="shared" si="38"/>
        <v>12.91</v>
      </c>
      <c r="BC73" s="364">
        <f t="shared" si="38"/>
        <v>16.79</v>
      </c>
      <c r="BD73" s="197"/>
      <c r="BE73" s="364">
        <f t="shared" si="28"/>
        <v>10.34</v>
      </c>
      <c r="BF73" s="364">
        <f t="shared" si="8"/>
        <v>14.67</v>
      </c>
      <c r="BG73" s="364">
        <f t="shared" si="8"/>
        <v>19.07</v>
      </c>
      <c r="BH73" s="197"/>
      <c r="BI73" s="364">
        <f t="shared" si="29"/>
        <v>17.579999999999998</v>
      </c>
      <c r="BJ73" s="364">
        <f t="shared" si="9"/>
        <v>24.93</v>
      </c>
      <c r="BK73" s="364">
        <f t="shared" si="9"/>
        <v>32.409999999999997</v>
      </c>
      <c r="BL73" s="362">
        <f t="shared" si="6"/>
        <v>0.2995800863186619</v>
      </c>
    </row>
    <row r="74" spans="2:64">
      <c r="B74" s="156">
        <v>134</v>
      </c>
      <c r="C74" s="157" t="s">
        <v>6269</v>
      </c>
      <c r="D74" s="157" t="s">
        <v>6193</v>
      </c>
      <c r="E74" s="157">
        <v>350</v>
      </c>
      <c r="F74" s="157">
        <v>399</v>
      </c>
      <c r="G74" s="359">
        <v>1.23</v>
      </c>
      <c r="H74" s="296"/>
      <c r="I74" s="360">
        <f t="shared" si="32"/>
        <v>1.6</v>
      </c>
      <c r="M74" s="125" t="s">
        <v>6438</v>
      </c>
      <c r="N74" s="116" t="s">
        <v>6439</v>
      </c>
      <c r="O74" s="116" t="s">
        <v>6543</v>
      </c>
      <c r="P74" s="116">
        <v>985</v>
      </c>
      <c r="Q74" s="116">
        <v>996</v>
      </c>
      <c r="R74" s="118">
        <v>9.25</v>
      </c>
      <c r="S74" s="118">
        <v>10.360000000000001</v>
      </c>
      <c r="T74" s="153">
        <f t="shared" si="33"/>
        <v>0.12000000000000013</v>
      </c>
      <c r="U74" s="72">
        <f t="shared" si="34"/>
        <v>12.03</v>
      </c>
      <c r="V74" s="72">
        <f t="shared" si="35"/>
        <v>13.47</v>
      </c>
      <c r="Y74" s="227">
        <v>50</v>
      </c>
      <c r="Z74" s="227">
        <v>3</v>
      </c>
      <c r="AA74" s="255" t="s">
        <v>359</v>
      </c>
      <c r="AB74" s="255" t="s">
        <v>360</v>
      </c>
      <c r="AC74" s="255">
        <f t="shared" si="39"/>
        <v>1100</v>
      </c>
      <c r="AD74" s="256">
        <v>1299</v>
      </c>
      <c r="AE74" s="228">
        <v>9.49</v>
      </c>
      <c r="AF74" s="228">
        <v>9.8699999999999992</v>
      </c>
      <c r="AG74" s="360">
        <f t="shared" si="36"/>
        <v>12.34</v>
      </c>
      <c r="AH74" s="360">
        <f t="shared" si="22"/>
        <v>12.83</v>
      </c>
      <c r="AI74" s="362">
        <f t="shared" si="37"/>
        <v>0.30031612223393039</v>
      </c>
      <c r="AJ74" s="362"/>
      <c r="AK74" s="195">
        <v>22210</v>
      </c>
      <c r="AL74" s="195">
        <v>300</v>
      </c>
      <c r="AM74" s="195">
        <v>599</v>
      </c>
      <c r="AN74" s="193"/>
      <c r="AO74" s="196">
        <v>9.9320256000000011</v>
      </c>
      <c r="AP74" s="196">
        <v>11.918430719999998</v>
      </c>
      <c r="AQ74" s="196">
        <v>15.493959936000001</v>
      </c>
      <c r="AR74" s="198"/>
      <c r="AS74" s="196">
        <v>11.947219200000003</v>
      </c>
      <c r="AT74" s="196">
        <v>12.882844800000003</v>
      </c>
      <c r="AU74" s="196">
        <v>16.747698240000005</v>
      </c>
      <c r="AV74" s="198"/>
      <c r="AW74" s="196">
        <v>20.310272640000004</v>
      </c>
      <c r="AX74" s="196">
        <v>21.900836160000001</v>
      </c>
      <c r="AY74" s="196">
        <v>28.471087008000008</v>
      </c>
      <c r="AZ74" s="363"/>
      <c r="BA74" s="364">
        <f t="shared" ref="BA74:BA78" si="40">ROUND(AO74*1.3,2)</f>
        <v>12.91</v>
      </c>
      <c r="BB74" s="364">
        <f t="shared" si="38"/>
        <v>15.49</v>
      </c>
      <c r="BC74" s="364">
        <f t="shared" si="38"/>
        <v>20.14</v>
      </c>
      <c r="BD74" s="198"/>
      <c r="BE74" s="364">
        <f t="shared" si="28"/>
        <v>15.53</v>
      </c>
      <c r="BF74" s="364">
        <f t="shared" si="8"/>
        <v>16.75</v>
      </c>
      <c r="BG74" s="364">
        <f t="shared" si="8"/>
        <v>21.77</v>
      </c>
      <c r="BH74" s="198"/>
      <c r="BI74" s="364">
        <f t="shared" si="29"/>
        <v>26.4</v>
      </c>
      <c r="BJ74" s="364">
        <f t="shared" si="9"/>
        <v>28.47</v>
      </c>
      <c r="BK74" s="364">
        <f t="shared" si="9"/>
        <v>37.01</v>
      </c>
      <c r="BL74" s="362">
        <f t="shared" si="6"/>
        <v>0.29983555418946956</v>
      </c>
    </row>
    <row r="75" spans="2:64">
      <c r="B75" s="156">
        <v>134</v>
      </c>
      <c r="C75" s="157" t="s">
        <v>6269</v>
      </c>
      <c r="D75" s="157" t="s">
        <v>6196</v>
      </c>
      <c r="E75" s="157">
        <v>400</v>
      </c>
      <c r="F75" s="157">
        <v>449</v>
      </c>
      <c r="G75" s="359">
        <v>1.32</v>
      </c>
      <c r="H75" s="296"/>
      <c r="I75" s="360">
        <f t="shared" si="32"/>
        <v>1.72</v>
      </c>
      <c r="M75" s="125" t="s">
        <v>6438</v>
      </c>
      <c r="N75" s="116" t="s">
        <v>6439</v>
      </c>
      <c r="O75" s="116" t="s">
        <v>6544</v>
      </c>
      <c r="P75" s="116">
        <v>996</v>
      </c>
      <c r="Q75" s="116">
        <v>4000</v>
      </c>
      <c r="R75" s="118">
        <v>9.85</v>
      </c>
      <c r="S75" s="118">
        <v>11.03</v>
      </c>
      <c r="T75" s="153">
        <f t="shared" si="33"/>
        <v>0.11979695431472079</v>
      </c>
      <c r="U75" s="72">
        <f t="shared" si="34"/>
        <v>12.81</v>
      </c>
      <c r="V75" s="72">
        <f>ROUND(U75*(1+T75),2)</f>
        <v>14.34</v>
      </c>
      <c r="Y75" s="227">
        <v>50</v>
      </c>
      <c r="Z75" s="227">
        <v>3</v>
      </c>
      <c r="AA75" s="255" t="s">
        <v>359</v>
      </c>
      <c r="AB75" s="255" t="s">
        <v>360</v>
      </c>
      <c r="AC75" s="255">
        <f t="shared" si="39"/>
        <v>1300</v>
      </c>
      <c r="AD75" s="256">
        <v>1499</v>
      </c>
      <c r="AE75" s="228">
        <v>10.24</v>
      </c>
      <c r="AF75" s="228">
        <v>10.65</v>
      </c>
      <c r="AG75" s="360">
        <f t="shared" si="36"/>
        <v>13.31</v>
      </c>
      <c r="AH75" s="360">
        <f t="shared" si="22"/>
        <v>13.84</v>
      </c>
      <c r="AI75" s="362">
        <f t="shared" si="37"/>
        <v>0.2998046875</v>
      </c>
      <c r="AJ75" s="362"/>
      <c r="AK75" s="195">
        <v>22210</v>
      </c>
      <c r="AL75" s="195">
        <v>600</v>
      </c>
      <c r="AM75" s="195">
        <v>899</v>
      </c>
      <c r="AN75" s="193"/>
      <c r="AO75" s="196">
        <v>10.903636800000001</v>
      </c>
      <c r="AP75" s="196">
        <v>14.302116864</v>
      </c>
      <c r="AQ75" s="196">
        <v>18.592751923200002</v>
      </c>
      <c r="AR75" s="198"/>
      <c r="AS75" s="196">
        <v>14.336663040000003</v>
      </c>
      <c r="AT75" s="196">
        <v>15.459413760000004</v>
      </c>
      <c r="AU75" s="196">
        <v>20.097237888000002</v>
      </c>
      <c r="AV75" s="198"/>
      <c r="AW75" s="196">
        <v>24.372327168000005</v>
      </c>
      <c r="AX75" s="196">
        <v>26.281003391999999</v>
      </c>
      <c r="AY75" s="196">
        <v>34.165304409600004</v>
      </c>
      <c r="AZ75" s="363"/>
      <c r="BA75" s="364">
        <f t="shared" si="40"/>
        <v>14.17</v>
      </c>
      <c r="BB75" s="364">
        <f t="shared" si="38"/>
        <v>18.59</v>
      </c>
      <c r="BC75" s="364">
        <f t="shared" si="38"/>
        <v>24.17</v>
      </c>
      <c r="BD75" s="198"/>
      <c r="BE75" s="364">
        <f t="shared" si="28"/>
        <v>18.64</v>
      </c>
      <c r="BF75" s="364">
        <f t="shared" si="8"/>
        <v>20.100000000000001</v>
      </c>
      <c r="BG75" s="364">
        <f t="shared" si="8"/>
        <v>26.13</v>
      </c>
      <c r="BH75" s="198"/>
      <c r="BI75" s="364">
        <f t="shared" si="29"/>
        <v>31.68</v>
      </c>
      <c r="BJ75" s="364">
        <f t="shared" si="9"/>
        <v>34.17</v>
      </c>
      <c r="BK75" s="364">
        <f t="shared" si="9"/>
        <v>44.41</v>
      </c>
      <c r="BL75" s="362">
        <f t="shared" ref="BL75:BL126" si="41">(BA75-AO75)/AO75</f>
        <v>0.29956639788295208</v>
      </c>
    </row>
    <row r="76" spans="2:64" ht="46.5">
      <c r="B76" s="156">
        <v>134</v>
      </c>
      <c r="C76" s="157" t="s">
        <v>6269</v>
      </c>
      <c r="D76" s="157" t="s">
        <v>6199</v>
      </c>
      <c r="E76" s="157">
        <v>450</v>
      </c>
      <c r="F76" s="157">
        <v>499</v>
      </c>
      <c r="G76" s="359">
        <v>1.41</v>
      </c>
      <c r="H76" s="296"/>
      <c r="I76" s="360">
        <f t="shared" si="32"/>
        <v>1.83</v>
      </c>
      <c r="M76" s="111" t="s">
        <v>248</v>
      </c>
      <c r="N76" s="111" t="s">
        <v>335</v>
      </c>
      <c r="O76" s="111" t="s">
        <v>6545</v>
      </c>
      <c r="P76" s="111" t="s">
        <v>310</v>
      </c>
      <c r="Q76" s="111" t="s">
        <v>311</v>
      </c>
      <c r="R76" s="150" t="s">
        <v>27</v>
      </c>
      <c r="S76" s="150"/>
      <c r="U76" s="72"/>
      <c r="Y76" s="227">
        <v>50</v>
      </c>
      <c r="Z76" s="227">
        <v>3</v>
      </c>
      <c r="AA76" s="255" t="s">
        <v>359</v>
      </c>
      <c r="AB76" s="255" t="s">
        <v>360</v>
      </c>
      <c r="AC76" s="255">
        <f t="shared" si="39"/>
        <v>1500</v>
      </c>
      <c r="AD76" s="256">
        <v>1699</v>
      </c>
      <c r="AE76" s="228">
        <v>10.99</v>
      </c>
      <c r="AF76" s="228">
        <v>11.43</v>
      </c>
      <c r="AG76" s="360">
        <f t="shared" si="36"/>
        <v>14.29</v>
      </c>
      <c r="AH76" s="360">
        <f t="shared" si="22"/>
        <v>14.86</v>
      </c>
      <c r="AI76" s="362">
        <f>(AG76-AE76)/AE76</f>
        <v>0.30027297543221099</v>
      </c>
      <c r="AJ76" s="362"/>
      <c r="AK76" s="195">
        <v>22210</v>
      </c>
      <c r="AL76" s="195">
        <v>900</v>
      </c>
      <c r="AM76" s="195">
        <v>1199</v>
      </c>
      <c r="AN76" s="193"/>
      <c r="AO76" s="196">
        <v>12.53918232</v>
      </c>
      <c r="AP76" s="196">
        <v>17.162540236799998</v>
      </c>
      <c r="AQ76" s="196">
        <v>22.311302307839998</v>
      </c>
      <c r="AR76" s="198"/>
      <c r="AS76" s="196">
        <v>16.487162496000003</v>
      </c>
      <c r="AT76" s="196">
        <v>18.551296512</v>
      </c>
      <c r="AU76" s="196">
        <v>24.116685465599996</v>
      </c>
      <c r="AV76" s="198"/>
      <c r="AW76" s="196">
        <v>28.028176243200001</v>
      </c>
      <c r="AX76" s="196">
        <v>31.537204070400001</v>
      </c>
      <c r="AY76" s="196">
        <v>40.998365291519995</v>
      </c>
      <c r="AZ76" s="363"/>
      <c r="BA76" s="364">
        <f t="shared" si="40"/>
        <v>16.3</v>
      </c>
      <c r="BB76" s="364">
        <f t="shared" si="38"/>
        <v>22.31</v>
      </c>
      <c r="BC76" s="364">
        <f t="shared" si="38"/>
        <v>29</v>
      </c>
      <c r="BD76" s="198"/>
      <c r="BE76" s="364">
        <f t="shared" si="28"/>
        <v>21.43</v>
      </c>
      <c r="BF76" s="364">
        <f t="shared" si="8"/>
        <v>24.12</v>
      </c>
      <c r="BG76" s="364">
        <f t="shared" si="8"/>
        <v>31.35</v>
      </c>
      <c r="BH76" s="198"/>
      <c r="BI76" s="364">
        <f t="shared" si="29"/>
        <v>36.44</v>
      </c>
      <c r="BJ76" s="364">
        <f t="shared" si="9"/>
        <v>41</v>
      </c>
      <c r="BK76" s="364">
        <f t="shared" si="9"/>
        <v>53.3</v>
      </c>
      <c r="BL76" s="362">
        <f t="shared" si="41"/>
        <v>0.29992527295830884</v>
      </c>
    </row>
    <row r="77" spans="2:64">
      <c r="B77" s="156">
        <v>134</v>
      </c>
      <c r="C77" s="157" t="s">
        <v>6269</v>
      </c>
      <c r="D77" s="157" t="s">
        <v>6201</v>
      </c>
      <c r="E77" s="157">
        <v>500</v>
      </c>
      <c r="F77" s="157">
        <v>549</v>
      </c>
      <c r="G77" s="359">
        <v>1.5</v>
      </c>
      <c r="H77" s="296"/>
      <c r="I77" s="360">
        <f t="shared" si="32"/>
        <v>1.95</v>
      </c>
      <c r="M77" s="125" t="s">
        <v>6449</v>
      </c>
      <c r="N77" s="116" t="s">
        <v>6546</v>
      </c>
      <c r="O77" s="116" t="s">
        <v>6547</v>
      </c>
      <c r="P77" s="116">
        <v>16</v>
      </c>
      <c r="Q77" s="116">
        <v>199</v>
      </c>
      <c r="R77" s="118">
        <v>1.41</v>
      </c>
      <c r="S77" s="126"/>
      <c r="U77" s="72">
        <f t="shared" ref="U77:U96" si="42">R77*1.3</f>
        <v>1.833</v>
      </c>
      <c r="Y77" s="227">
        <v>50</v>
      </c>
      <c r="Z77" s="227">
        <v>3</v>
      </c>
      <c r="AA77" s="255" t="s">
        <v>359</v>
      </c>
      <c r="AB77" s="255" t="s">
        <v>360</v>
      </c>
      <c r="AC77" s="255">
        <f t="shared" si="39"/>
        <v>1700</v>
      </c>
      <c r="AD77" s="256">
        <v>1899</v>
      </c>
      <c r="AE77" s="228">
        <v>11.73</v>
      </c>
      <c r="AF77" s="228">
        <v>12.2</v>
      </c>
      <c r="AG77" s="360">
        <f t="shared" si="36"/>
        <v>15.25</v>
      </c>
      <c r="AH77" s="360">
        <f t="shared" si="22"/>
        <v>15.86</v>
      </c>
      <c r="AI77" s="362">
        <f t="shared" ref="AI77:AI140" si="43">(AG77-AE77)/AE77</f>
        <v>0.30008525149190107</v>
      </c>
      <c r="AJ77" s="362"/>
      <c r="AK77" s="195">
        <v>22210</v>
      </c>
      <c r="AL77" s="195">
        <v>1200</v>
      </c>
      <c r="AM77" s="195">
        <v>1499</v>
      </c>
      <c r="AN77" s="193"/>
      <c r="AO77" s="196">
        <v>14.420059667999999</v>
      </c>
      <c r="AP77" s="196">
        <v>20.595048284159997</v>
      </c>
      <c r="AQ77" s="196">
        <v>26.773562769408002</v>
      </c>
      <c r="AR77" s="198"/>
      <c r="AS77" s="196">
        <v>18.960236870400003</v>
      </c>
      <c r="AT77" s="196">
        <v>22.261555814400001</v>
      </c>
      <c r="AU77" s="196">
        <v>28.940022558720003</v>
      </c>
      <c r="AV77" s="198"/>
      <c r="AW77" s="196">
        <v>32.23240267968</v>
      </c>
      <c r="AX77" s="196">
        <v>37.844644884479997</v>
      </c>
      <c r="AY77" s="196">
        <v>49.19803834982401</v>
      </c>
      <c r="AZ77" s="363"/>
      <c r="BA77" s="364">
        <f t="shared" si="40"/>
        <v>18.75</v>
      </c>
      <c r="BB77" s="364">
        <f t="shared" si="38"/>
        <v>26.77</v>
      </c>
      <c r="BC77" s="364">
        <f t="shared" si="38"/>
        <v>34.81</v>
      </c>
      <c r="BD77" s="198"/>
      <c r="BE77" s="364">
        <f t="shared" si="28"/>
        <v>24.65</v>
      </c>
      <c r="BF77" s="364">
        <f t="shared" si="8"/>
        <v>28.94</v>
      </c>
      <c r="BG77" s="364">
        <f t="shared" si="8"/>
        <v>37.619999999999997</v>
      </c>
      <c r="BH77" s="198"/>
      <c r="BI77" s="364">
        <f t="shared" si="29"/>
        <v>41.9</v>
      </c>
      <c r="BJ77" s="364">
        <f t="shared" si="9"/>
        <v>49.2</v>
      </c>
      <c r="BK77" s="364">
        <f t="shared" si="9"/>
        <v>63.96</v>
      </c>
      <c r="BL77" s="362">
        <f t="shared" si="41"/>
        <v>0.30027201216155203</v>
      </c>
    </row>
    <row r="78" spans="2:64">
      <c r="B78" s="156">
        <v>134</v>
      </c>
      <c r="C78" s="157" t="s">
        <v>6269</v>
      </c>
      <c r="D78" s="157" t="s">
        <v>6203</v>
      </c>
      <c r="E78" s="157">
        <v>550</v>
      </c>
      <c r="F78" s="157">
        <v>599</v>
      </c>
      <c r="G78" s="359">
        <v>1.59</v>
      </c>
      <c r="H78" s="296"/>
      <c r="I78" s="360">
        <f t="shared" si="32"/>
        <v>2.0699999999999998</v>
      </c>
      <c r="M78" s="125" t="s">
        <v>6449</v>
      </c>
      <c r="N78" s="116" t="s">
        <v>6546</v>
      </c>
      <c r="O78" s="116" t="s">
        <v>6547</v>
      </c>
      <c r="P78" s="116">
        <v>200</v>
      </c>
      <c r="Q78" s="116">
        <v>349</v>
      </c>
      <c r="R78" s="118">
        <v>2.39</v>
      </c>
      <c r="S78" s="126"/>
      <c r="U78" s="72">
        <f t="shared" si="42"/>
        <v>3.1070000000000002</v>
      </c>
      <c r="Y78" s="227">
        <v>50</v>
      </c>
      <c r="Z78" s="227">
        <v>3</v>
      </c>
      <c r="AA78" s="255" t="s">
        <v>359</v>
      </c>
      <c r="AB78" s="255" t="s">
        <v>360</v>
      </c>
      <c r="AC78" s="255">
        <f t="shared" si="39"/>
        <v>1900</v>
      </c>
      <c r="AD78" s="256">
        <v>2099</v>
      </c>
      <c r="AE78" s="228">
        <v>12.48</v>
      </c>
      <c r="AF78" s="228">
        <v>12.98</v>
      </c>
      <c r="AG78" s="360">
        <f t="shared" si="36"/>
        <v>16.22</v>
      </c>
      <c r="AH78" s="360">
        <f t="shared" si="22"/>
        <v>16.87</v>
      </c>
      <c r="AI78" s="362">
        <f t="shared" si="43"/>
        <v>0.29967948717948706</v>
      </c>
      <c r="AJ78" s="362"/>
      <c r="AK78" s="195">
        <v>22210</v>
      </c>
      <c r="AL78" s="195">
        <v>1500</v>
      </c>
      <c r="AM78" s="195">
        <v>1799</v>
      </c>
      <c r="AN78" s="193"/>
      <c r="AO78" s="196">
        <v>16.583068618199995</v>
      </c>
      <c r="AP78" s="196">
        <v>24.714057940991999</v>
      </c>
      <c r="AQ78" s="196">
        <v>32.1282753232896</v>
      </c>
      <c r="AR78" s="198"/>
      <c r="AS78" s="196">
        <v>21.804272400959999</v>
      </c>
      <c r="AT78" s="196">
        <v>26.713866977279999</v>
      </c>
      <c r="AU78" s="196">
        <v>34.728027070464002</v>
      </c>
      <c r="AV78" s="198"/>
      <c r="AW78" s="196">
        <v>37.067263081631992</v>
      </c>
      <c r="AX78" s="196">
        <v>45.413573861376001</v>
      </c>
      <c r="AY78" s="196">
        <v>59.037646019788809</v>
      </c>
      <c r="AZ78" s="363"/>
      <c r="BA78" s="364">
        <f t="shared" si="40"/>
        <v>21.56</v>
      </c>
      <c r="BB78" s="364">
        <f t="shared" si="38"/>
        <v>32.130000000000003</v>
      </c>
      <c r="BC78" s="364">
        <f t="shared" si="38"/>
        <v>41.77</v>
      </c>
      <c r="BD78" s="198"/>
      <c r="BE78" s="364">
        <f t="shared" si="28"/>
        <v>28.35</v>
      </c>
      <c r="BF78" s="364">
        <f t="shared" si="8"/>
        <v>34.729999999999997</v>
      </c>
      <c r="BG78" s="364">
        <f t="shared" si="8"/>
        <v>45.15</v>
      </c>
      <c r="BH78" s="198"/>
      <c r="BI78" s="364">
        <f t="shared" si="29"/>
        <v>48.19</v>
      </c>
      <c r="BJ78" s="364">
        <f t="shared" si="9"/>
        <v>59.04</v>
      </c>
      <c r="BK78" s="364">
        <f t="shared" si="9"/>
        <v>76.75</v>
      </c>
      <c r="BL78" s="362">
        <f t="shared" si="41"/>
        <v>0.30012125598622913</v>
      </c>
    </row>
    <row r="79" spans="2:64">
      <c r="B79" s="156">
        <v>134</v>
      </c>
      <c r="C79" s="157" t="s">
        <v>6269</v>
      </c>
      <c r="D79" s="157" t="s">
        <v>6205</v>
      </c>
      <c r="E79" s="157">
        <v>600</v>
      </c>
      <c r="F79" s="157">
        <v>649</v>
      </c>
      <c r="G79" s="359">
        <v>1.68</v>
      </c>
      <c r="H79" s="296"/>
      <c r="I79" s="360">
        <f t="shared" si="32"/>
        <v>2.1800000000000002</v>
      </c>
      <c r="M79" s="125" t="s">
        <v>6449</v>
      </c>
      <c r="N79" s="116" t="s">
        <v>6546</v>
      </c>
      <c r="O79" s="116" t="s">
        <v>6547</v>
      </c>
      <c r="P79" s="116">
        <v>350</v>
      </c>
      <c r="Q79" s="116">
        <v>499</v>
      </c>
      <c r="R79" s="118">
        <v>4.79</v>
      </c>
      <c r="S79" s="126"/>
      <c r="U79" s="72">
        <f t="shared" si="42"/>
        <v>6.2270000000000003</v>
      </c>
      <c r="Y79" s="227">
        <v>50</v>
      </c>
      <c r="Z79" s="227">
        <v>3</v>
      </c>
      <c r="AA79" s="255" t="s">
        <v>359</v>
      </c>
      <c r="AB79" s="255" t="s">
        <v>360</v>
      </c>
      <c r="AC79" s="255">
        <f t="shared" si="39"/>
        <v>2100</v>
      </c>
      <c r="AD79" s="256">
        <v>2299</v>
      </c>
      <c r="AE79" s="228">
        <v>13.23</v>
      </c>
      <c r="AF79" s="228">
        <v>13.76</v>
      </c>
      <c r="AG79" s="360">
        <f t="shared" si="36"/>
        <v>17.2</v>
      </c>
      <c r="AH79" s="360">
        <f t="shared" si="22"/>
        <v>17.89</v>
      </c>
      <c r="AI79" s="362">
        <f t="shared" si="43"/>
        <v>0.30007558578987142</v>
      </c>
      <c r="AJ79" s="362"/>
      <c r="AK79" s="314">
        <v>23209</v>
      </c>
      <c r="AL79" s="314">
        <v>1</v>
      </c>
      <c r="AM79" s="314">
        <v>299</v>
      </c>
      <c r="AN79" s="316"/>
      <c r="AO79" s="315">
        <v>8.3648159999999994</v>
      </c>
      <c r="AP79" s="315">
        <v>11.486015999999998</v>
      </c>
      <c r="AQ79" s="315">
        <v>14.931820799999997</v>
      </c>
      <c r="AR79" s="316"/>
      <c r="AS79" s="315">
        <v>9.1971359999999986</v>
      </c>
      <c r="AT79" s="315">
        <v>13.04753522891566</v>
      </c>
      <c r="AU79" s="315">
        <v>16.961795797590359</v>
      </c>
      <c r="AV79" s="317"/>
      <c r="AW79" s="315">
        <v>15.635131199999996</v>
      </c>
      <c r="AX79" s="315">
        <v>22.18080988915662</v>
      </c>
      <c r="AY79" s="315">
        <v>28.835052855903612</v>
      </c>
      <c r="AZ79" s="365"/>
      <c r="BA79" s="366">
        <f>ROUND(AO79*1.3,2)</f>
        <v>10.87</v>
      </c>
      <c r="BB79" s="366">
        <f t="shared" si="38"/>
        <v>14.93</v>
      </c>
      <c r="BC79" s="366">
        <f t="shared" si="38"/>
        <v>19.41</v>
      </c>
      <c r="BD79" s="316"/>
      <c r="BE79" s="366">
        <f t="shared" si="28"/>
        <v>11.96</v>
      </c>
      <c r="BF79" s="366">
        <f t="shared" si="8"/>
        <v>16.96</v>
      </c>
      <c r="BG79" s="366">
        <f t="shared" si="8"/>
        <v>22.05</v>
      </c>
      <c r="BH79" s="317"/>
      <c r="BI79" s="366">
        <f t="shared" si="29"/>
        <v>20.329999999999998</v>
      </c>
      <c r="BJ79" s="366">
        <f t="shared" si="9"/>
        <v>28.84</v>
      </c>
      <c r="BK79" s="366">
        <f t="shared" si="9"/>
        <v>37.49</v>
      </c>
      <c r="BL79" s="362">
        <f t="shared" si="41"/>
        <v>0.29949062836528623</v>
      </c>
    </row>
    <row r="80" spans="2:64">
      <c r="B80" s="156">
        <v>134</v>
      </c>
      <c r="C80" s="157" t="s">
        <v>6269</v>
      </c>
      <c r="D80" s="157" t="s">
        <v>6207</v>
      </c>
      <c r="E80" s="157">
        <v>650</v>
      </c>
      <c r="F80" s="157">
        <v>699</v>
      </c>
      <c r="G80" s="359">
        <v>1.77</v>
      </c>
      <c r="H80" s="296"/>
      <c r="I80" s="360">
        <f t="shared" si="32"/>
        <v>2.2999999999999998</v>
      </c>
      <c r="M80" s="125" t="s">
        <v>6449</v>
      </c>
      <c r="N80" s="116" t="s">
        <v>6546</v>
      </c>
      <c r="O80" s="116" t="s">
        <v>6547</v>
      </c>
      <c r="P80" s="116">
        <v>500</v>
      </c>
      <c r="Q80" s="116">
        <v>592</v>
      </c>
      <c r="R80" s="118">
        <v>6.41</v>
      </c>
      <c r="S80" s="126"/>
      <c r="U80" s="72">
        <f t="shared" si="42"/>
        <v>8.3330000000000002</v>
      </c>
      <c r="Y80" s="227">
        <v>50</v>
      </c>
      <c r="Z80" s="227">
        <v>3</v>
      </c>
      <c r="AA80" s="255" t="s">
        <v>359</v>
      </c>
      <c r="AB80" s="255" t="s">
        <v>360</v>
      </c>
      <c r="AC80" s="255">
        <f t="shared" si="39"/>
        <v>2300</v>
      </c>
      <c r="AD80" s="256">
        <v>2568</v>
      </c>
      <c r="AE80" s="228">
        <v>14.23</v>
      </c>
      <c r="AF80" s="228">
        <v>14.8</v>
      </c>
      <c r="AG80" s="360">
        <f t="shared" si="36"/>
        <v>18.5</v>
      </c>
      <c r="AH80" s="360">
        <f t="shared" si="22"/>
        <v>19.239999999999998</v>
      </c>
      <c r="AI80" s="362">
        <f t="shared" si="43"/>
        <v>0.30007027406886855</v>
      </c>
      <c r="AJ80" s="362"/>
      <c r="AK80" s="314">
        <v>23209</v>
      </c>
      <c r="AL80" s="314">
        <v>300</v>
      </c>
      <c r="AM80" s="314">
        <v>599</v>
      </c>
      <c r="AN80" s="316"/>
      <c r="AO80" s="315">
        <v>11.486015999999998</v>
      </c>
      <c r="AP80" s="315">
        <v>13.783219199999996</v>
      </c>
      <c r="AQ80" s="315">
        <v>17.918184959999998</v>
      </c>
      <c r="AR80" s="316"/>
      <c r="AS80" s="315">
        <v>13.816511999999999</v>
      </c>
      <c r="AT80" s="315">
        <v>14.898527999999999</v>
      </c>
      <c r="AU80" s="315">
        <v>19.368086399999999</v>
      </c>
      <c r="AV80" s="317"/>
      <c r="AW80" s="315">
        <v>23.488070400000002</v>
      </c>
      <c r="AX80" s="315">
        <v>25.327497599999997</v>
      </c>
      <c r="AY80" s="315">
        <v>32.925746879999998</v>
      </c>
      <c r="AZ80" s="365"/>
      <c r="BA80" s="366">
        <f t="shared" ref="BA80:BC95" si="44">ROUND(AO80*1.3,2)</f>
        <v>14.93</v>
      </c>
      <c r="BB80" s="366">
        <f t="shared" si="38"/>
        <v>17.920000000000002</v>
      </c>
      <c r="BC80" s="366">
        <f t="shared" si="38"/>
        <v>23.29</v>
      </c>
      <c r="BD80" s="316"/>
      <c r="BE80" s="366">
        <f t="shared" si="28"/>
        <v>17.96</v>
      </c>
      <c r="BF80" s="366">
        <f t="shared" si="8"/>
        <v>19.37</v>
      </c>
      <c r="BG80" s="366">
        <f t="shared" si="8"/>
        <v>25.18</v>
      </c>
      <c r="BH80" s="317"/>
      <c r="BI80" s="366">
        <f t="shared" si="29"/>
        <v>30.53</v>
      </c>
      <c r="BJ80" s="366">
        <f t="shared" si="9"/>
        <v>32.93</v>
      </c>
      <c r="BK80" s="366">
        <f t="shared" si="9"/>
        <v>42.8</v>
      </c>
      <c r="BL80" s="362">
        <f t="shared" si="41"/>
        <v>0.29984147680100764</v>
      </c>
    </row>
    <row r="81" spans="2:64">
      <c r="B81" s="156">
        <v>134</v>
      </c>
      <c r="C81" s="157" t="s">
        <v>6269</v>
      </c>
      <c r="D81" s="157" t="s">
        <v>6211</v>
      </c>
      <c r="E81" s="157">
        <v>700</v>
      </c>
      <c r="F81" s="157">
        <v>749</v>
      </c>
      <c r="G81" s="359">
        <v>1.86</v>
      </c>
      <c r="H81" s="296"/>
      <c r="I81" s="360">
        <f t="shared" si="32"/>
        <v>2.42</v>
      </c>
      <c r="M81" s="125" t="s">
        <v>6449</v>
      </c>
      <c r="N81" s="127" t="s">
        <v>6548</v>
      </c>
      <c r="O81" s="116" t="s">
        <v>6549</v>
      </c>
      <c r="P81" s="116">
        <v>36</v>
      </c>
      <c r="Q81" s="116">
        <v>249</v>
      </c>
      <c r="R81" s="118">
        <v>1.41</v>
      </c>
      <c r="S81" s="126"/>
      <c r="U81" s="72">
        <f t="shared" si="42"/>
        <v>1.833</v>
      </c>
      <c r="Y81" s="238">
        <v>50</v>
      </c>
      <c r="Z81" s="238">
        <v>3</v>
      </c>
      <c r="AA81" s="265" t="s">
        <v>385</v>
      </c>
      <c r="AB81" s="265" t="s">
        <v>386</v>
      </c>
      <c r="AC81" s="265">
        <v>1114</v>
      </c>
      <c r="AD81" s="266">
        <v>1499</v>
      </c>
      <c r="AE81" s="239">
        <v>12.8</v>
      </c>
      <c r="AF81" s="239">
        <v>13.31</v>
      </c>
      <c r="AG81" s="360">
        <f t="shared" si="36"/>
        <v>16.64</v>
      </c>
      <c r="AH81" s="360">
        <f t="shared" si="22"/>
        <v>17.309999999999999</v>
      </c>
      <c r="AI81" s="362">
        <f t="shared" si="43"/>
        <v>0.3</v>
      </c>
      <c r="AJ81" s="362"/>
      <c r="AK81" s="314">
        <v>23209</v>
      </c>
      <c r="AL81" s="314">
        <v>600</v>
      </c>
      <c r="AM81" s="314">
        <v>899</v>
      </c>
      <c r="AN81" s="316"/>
      <c r="AO81" s="315">
        <v>12.609648</v>
      </c>
      <c r="AP81" s="315">
        <v>16.539863039999997</v>
      </c>
      <c r="AQ81" s="315">
        <v>21.501821951999997</v>
      </c>
      <c r="AR81" s="316"/>
      <c r="AS81" s="315">
        <v>16.5798144</v>
      </c>
      <c r="AT81" s="315">
        <v>17.878233600000002</v>
      </c>
      <c r="AU81" s="315">
        <v>23.241703679999997</v>
      </c>
      <c r="AV81" s="317"/>
      <c r="AW81" s="315">
        <v>28.185684479999999</v>
      </c>
      <c r="AX81" s="315">
        <v>30.392997119999993</v>
      </c>
      <c r="AY81" s="315">
        <v>39.510896255999995</v>
      </c>
      <c r="AZ81" s="365"/>
      <c r="BA81" s="366">
        <f t="shared" si="44"/>
        <v>16.39</v>
      </c>
      <c r="BB81" s="366">
        <f t="shared" si="38"/>
        <v>21.5</v>
      </c>
      <c r="BC81" s="366">
        <f t="shared" si="38"/>
        <v>27.95</v>
      </c>
      <c r="BD81" s="316"/>
      <c r="BE81" s="366">
        <f t="shared" si="28"/>
        <v>21.55</v>
      </c>
      <c r="BF81" s="366">
        <f t="shared" si="8"/>
        <v>23.24</v>
      </c>
      <c r="BG81" s="366">
        <f t="shared" si="8"/>
        <v>30.21</v>
      </c>
      <c r="BH81" s="317"/>
      <c r="BI81" s="366">
        <f t="shared" si="29"/>
        <v>36.64</v>
      </c>
      <c r="BJ81" s="366">
        <f t="shared" si="9"/>
        <v>39.51</v>
      </c>
      <c r="BK81" s="366">
        <f t="shared" si="9"/>
        <v>51.36</v>
      </c>
      <c r="BL81" s="362">
        <f t="shared" si="41"/>
        <v>0.29979837660813374</v>
      </c>
    </row>
    <row r="82" spans="2:64">
      <c r="B82" s="156">
        <v>134</v>
      </c>
      <c r="C82" s="157" t="s">
        <v>6269</v>
      </c>
      <c r="D82" s="157" t="s">
        <v>6212</v>
      </c>
      <c r="E82" s="157">
        <v>750</v>
      </c>
      <c r="F82" s="157">
        <v>799</v>
      </c>
      <c r="G82" s="359">
        <v>1.95</v>
      </c>
      <c r="H82" s="296"/>
      <c r="I82" s="360">
        <f t="shared" si="32"/>
        <v>2.54</v>
      </c>
      <c r="M82" s="125" t="s">
        <v>6449</v>
      </c>
      <c r="N82" s="127" t="s">
        <v>6548</v>
      </c>
      <c r="O82" s="116" t="s">
        <v>6549</v>
      </c>
      <c r="P82" s="116">
        <v>250</v>
      </c>
      <c r="Q82" s="116">
        <v>449</v>
      </c>
      <c r="R82" s="118">
        <v>2.39</v>
      </c>
      <c r="S82" s="126"/>
      <c r="U82" s="72">
        <f t="shared" si="42"/>
        <v>3.1070000000000002</v>
      </c>
      <c r="Y82" s="227">
        <v>50</v>
      </c>
      <c r="Z82" s="227">
        <v>3</v>
      </c>
      <c r="AA82" s="255" t="s">
        <v>385</v>
      </c>
      <c r="AB82" s="255" t="s">
        <v>386</v>
      </c>
      <c r="AC82" s="255">
        <f>+AD81+1</f>
        <v>1500</v>
      </c>
      <c r="AD82" s="256">
        <v>1999</v>
      </c>
      <c r="AE82" s="228">
        <v>15.56</v>
      </c>
      <c r="AF82" s="228">
        <v>16.18</v>
      </c>
      <c r="AG82" s="360">
        <f t="shared" si="36"/>
        <v>20.23</v>
      </c>
      <c r="AH82" s="360">
        <f t="shared" si="22"/>
        <v>21.04</v>
      </c>
      <c r="AI82" s="362">
        <f t="shared" si="43"/>
        <v>0.30012853470437018</v>
      </c>
      <c r="AJ82" s="362"/>
      <c r="AK82" s="314">
        <v>23209</v>
      </c>
      <c r="AL82" s="314">
        <v>900</v>
      </c>
      <c r="AM82" s="314">
        <v>1199</v>
      </c>
      <c r="AN82" s="316"/>
      <c r="AO82" s="315">
        <v>14.501095199999996</v>
      </c>
      <c r="AP82" s="315">
        <v>19.847835647999993</v>
      </c>
      <c r="AQ82" s="315">
        <v>25.802186342399995</v>
      </c>
      <c r="AR82" s="316"/>
      <c r="AS82" s="315">
        <v>19.066786559999997</v>
      </c>
      <c r="AT82" s="315">
        <v>21.453880319999996</v>
      </c>
      <c r="AU82" s="315">
        <v>27.890044415999991</v>
      </c>
      <c r="AV82" s="317"/>
      <c r="AW82" s="315">
        <v>32.413537151999989</v>
      </c>
      <c r="AX82" s="315">
        <v>36.471596543999993</v>
      </c>
      <c r="AY82" s="315">
        <v>47.413075507199984</v>
      </c>
      <c r="AZ82" s="365"/>
      <c r="BA82" s="366">
        <f t="shared" si="44"/>
        <v>18.850000000000001</v>
      </c>
      <c r="BB82" s="366">
        <f t="shared" si="38"/>
        <v>25.8</v>
      </c>
      <c r="BC82" s="366">
        <f t="shared" si="38"/>
        <v>33.54</v>
      </c>
      <c r="BD82" s="316"/>
      <c r="BE82" s="366">
        <f t="shared" si="28"/>
        <v>24.79</v>
      </c>
      <c r="BF82" s="366">
        <f t="shared" si="8"/>
        <v>27.89</v>
      </c>
      <c r="BG82" s="366">
        <f t="shared" si="8"/>
        <v>36.26</v>
      </c>
      <c r="BH82" s="317"/>
      <c r="BI82" s="366">
        <f t="shared" si="29"/>
        <v>42.14</v>
      </c>
      <c r="BJ82" s="366">
        <f t="shared" si="9"/>
        <v>47.41</v>
      </c>
      <c r="BK82" s="366">
        <f t="shared" si="9"/>
        <v>61.64</v>
      </c>
      <c r="BL82" s="362">
        <f t="shared" si="41"/>
        <v>0.29990181707103103</v>
      </c>
    </row>
    <row r="83" spans="2:64">
      <c r="B83" s="156">
        <v>134</v>
      </c>
      <c r="C83" s="157" t="s">
        <v>6269</v>
      </c>
      <c r="D83" s="157" t="s">
        <v>6213</v>
      </c>
      <c r="E83" s="157">
        <v>800</v>
      </c>
      <c r="F83" s="157">
        <v>849</v>
      </c>
      <c r="G83" s="359">
        <v>2.04</v>
      </c>
      <c r="H83" s="296"/>
      <c r="I83" s="360">
        <f t="shared" si="32"/>
        <v>2.65</v>
      </c>
      <c r="M83" s="125" t="s">
        <v>6449</v>
      </c>
      <c r="N83" s="127" t="s">
        <v>6548</v>
      </c>
      <c r="O83" s="116" t="s">
        <v>6549</v>
      </c>
      <c r="P83" s="116">
        <v>450</v>
      </c>
      <c r="Q83" s="116">
        <v>749</v>
      </c>
      <c r="R83" s="118">
        <v>4.79</v>
      </c>
      <c r="S83" s="126"/>
      <c r="U83" s="72">
        <f t="shared" si="42"/>
        <v>6.2270000000000003</v>
      </c>
      <c r="Y83" s="227">
        <v>50</v>
      </c>
      <c r="Z83" s="227">
        <v>3</v>
      </c>
      <c r="AA83" s="255" t="s">
        <v>385</v>
      </c>
      <c r="AB83" s="255" t="s">
        <v>386</v>
      </c>
      <c r="AC83" s="255">
        <f>+AD82+1</f>
        <v>2000</v>
      </c>
      <c r="AD83" s="256">
        <v>2499</v>
      </c>
      <c r="AE83" s="228">
        <v>18.32</v>
      </c>
      <c r="AF83" s="228">
        <v>19.05</v>
      </c>
      <c r="AG83" s="360">
        <f t="shared" si="36"/>
        <v>23.82</v>
      </c>
      <c r="AH83" s="360">
        <f t="shared" si="22"/>
        <v>24.77</v>
      </c>
      <c r="AI83" s="362">
        <f t="shared" si="43"/>
        <v>0.30021834061135372</v>
      </c>
      <c r="AJ83" s="362"/>
      <c r="AK83" s="314">
        <v>23209</v>
      </c>
      <c r="AL83" s="314">
        <v>1200</v>
      </c>
      <c r="AM83" s="314">
        <v>1499</v>
      </c>
      <c r="AN83" s="316"/>
      <c r="AO83" s="315">
        <v>16.676259479999995</v>
      </c>
      <c r="AP83" s="315">
        <v>23.817402777599995</v>
      </c>
      <c r="AQ83" s="315">
        <v>30.962623610879994</v>
      </c>
      <c r="AR83" s="316"/>
      <c r="AS83" s="315">
        <v>21.926804543999996</v>
      </c>
      <c r="AT83" s="315">
        <v>25.744656383999995</v>
      </c>
      <c r="AU83" s="315">
        <v>33.468053299199994</v>
      </c>
      <c r="AV83" s="317"/>
      <c r="AW83" s="315">
        <v>37.275567724799991</v>
      </c>
      <c r="AX83" s="315">
        <v>43.765915852799985</v>
      </c>
      <c r="AY83" s="315">
        <v>56.895690608639995</v>
      </c>
      <c r="AZ83" s="365"/>
      <c r="BA83" s="366">
        <f t="shared" si="44"/>
        <v>21.68</v>
      </c>
      <c r="BB83" s="366">
        <f t="shared" si="38"/>
        <v>30.96</v>
      </c>
      <c r="BC83" s="366">
        <f t="shared" si="38"/>
        <v>40.25</v>
      </c>
      <c r="BD83" s="316"/>
      <c r="BE83" s="366">
        <f t="shared" si="28"/>
        <v>28.5</v>
      </c>
      <c r="BF83" s="366">
        <f t="shared" si="8"/>
        <v>33.47</v>
      </c>
      <c r="BG83" s="366">
        <f t="shared" si="8"/>
        <v>43.51</v>
      </c>
      <c r="BH83" s="317"/>
      <c r="BI83" s="366">
        <f t="shared" si="29"/>
        <v>48.46</v>
      </c>
      <c r="BJ83" s="366">
        <f t="shared" si="9"/>
        <v>56.9</v>
      </c>
      <c r="BK83" s="366">
        <f t="shared" si="9"/>
        <v>73.959999999999994</v>
      </c>
      <c r="BL83" s="362">
        <f t="shared" si="41"/>
        <v>0.30005173078537428</v>
      </c>
    </row>
    <row r="84" spans="2:64">
      <c r="B84" s="156">
        <v>134</v>
      </c>
      <c r="C84" s="157" t="s">
        <v>6269</v>
      </c>
      <c r="D84" s="157" t="s">
        <v>6216</v>
      </c>
      <c r="E84" s="157">
        <v>850</v>
      </c>
      <c r="F84" s="157">
        <v>899</v>
      </c>
      <c r="G84" s="359">
        <v>2.13</v>
      </c>
      <c r="H84" s="296"/>
      <c r="I84" s="360">
        <f t="shared" si="32"/>
        <v>2.77</v>
      </c>
      <c r="M84" s="125" t="s">
        <v>6449</v>
      </c>
      <c r="N84" s="127" t="s">
        <v>6548</v>
      </c>
      <c r="O84" s="116" t="s">
        <v>6549</v>
      </c>
      <c r="P84" s="116">
        <v>750</v>
      </c>
      <c r="Q84" s="116">
        <v>999</v>
      </c>
      <c r="R84" s="118">
        <v>6.41</v>
      </c>
      <c r="S84" s="126"/>
      <c r="U84" s="72">
        <f t="shared" si="42"/>
        <v>8.3330000000000002</v>
      </c>
      <c r="Y84" s="227">
        <v>50</v>
      </c>
      <c r="Z84" s="227">
        <v>3</v>
      </c>
      <c r="AA84" s="255" t="s">
        <v>385</v>
      </c>
      <c r="AB84" s="255" t="s">
        <v>386</v>
      </c>
      <c r="AC84" s="255">
        <f>+AD83+1</f>
        <v>2500</v>
      </c>
      <c r="AD84" s="256">
        <v>2999</v>
      </c>
      <c r="AE84" s="228">
        <v>21.08</v>
      </c>
      <c r="AF84" s="228">
        <v>21.92</v>
      </c>
      <c r="AG84" s="360">
        <f t="shared" si="36"/>
        <v>27.4</v>
      </c>
      <c r="AH84" s="360">
        <f t="shared" si="22"/>
        <v>28.5</v>
      </c>
      <c r="AI84" s="362">
        <f t="shared" si="43"/>
        <v>0.29981024667931694</v>
      </c>
      <c r="AJ84" s="362"/>
      <c r="AK84" s="314">
        <v>23209</v>
      </c>
      <c r="AL84" s="314">
        <v>1500</v>
      </c>
      <c r="AM84" s="314">
        <v>1799</v>
      </c>
      <c r="AN84" s="316"/>
      <c r="AO84" s="315">
        <v>19.177698401999994</v>
      </c>
      <c r="AP84" s="315">
        <v>28.580883333119992</v>
      </c>
      <c r="AQ84" s="315">
        <v>37.15514833305599</v>
      </c>
      <c r="AR84" s="316"/>
      <c r="AS84" s="315">
        <v>25.215825225599993</v>
      </c>
      <c r="AT84" s="315">
        <v>30.893587660799994</v>
      </c>
      <c r="AU84" s="315">
        <v>40.161663959039991</v>
      </c>
      <c r="AV84" s="317"/>
      <c r="AW84" s="315">
        <v>42.866902883519984</v>
      </c>
      <c r="AX84" s="315">
        <v>52.519099023359992</v>
      </c>
      <c r="AY84" s="315">
        <v>68.274828730367986</v>
      </c>
      <c r="AZ84" s="365"/>
      <c r="BA84" s="366">
        <f t="shared" si="44"/>
        <v>24.93</v>
      </c>
      <c r="BB84" s="366">
        <f t="shared" si="44"/>
        <v>37.159999999999997</v>
      </c>
      <c r="BC84" s="366">
        <f t="shared" si="44"/>
        <v>48.3</v>
      </c>
      <c r="BD84" s="316"/>
      <c r="BE84" s="366">
        <f t="shared" si="28"/>
        <v>32.78</v>
      </c>
      <c r="BF84" s="366">
        <f t="shared" si="8"/>
        <v>40.159999999999997</v>
      </c>
      <c r="BG84" s="366">
        <f t="shared" si="8"/>
        <v>52.21</v>
      </c>
      <c r="BH84" s="317"/>
      <c r="BI84" s="366">
        <f t="shared" si="29"/>
        <v>55.73</v>
      </c>
      <c r="BJ84" s="366">
        <f t="shared" si="9"/>
        <v>68.27</v>
      </c>
      <c r="BK84" s="366">
        <f t="shared" si="9"/>
        <v>88.76</v>
      </c>
      <c r="BL84" s="362">
        <f t="shared" si="41"/>
        <v>0.29994744298409204</v>
      </c>
    </row>
    <row r="85" spans="2:64">
      <c r="B85" s="156">
        <v>134</v>
      </c>
      <c r="C85" s="157" t="s">
        <v>6269</v>
      </c>
      <c r="D85" s="157" t="s">
        <v>6221</v>
      </c>
      <c r="E85" s="157">
        <v>900</v>
      </c>
      <c r="F85" s="157">
        <v>949</v>
      </c>
      <c r="G85" s="359">
        <v>2.2200000000000002</v>
      </c>
      <c r="H85" s="297"/>
      <c r="I85" s="360">
        <f t="shared" si="32"/>
        <v>2.89</v>
      </c>
      <c r="M85" s="125" t="s">
        <v>6449</v>
      </c>
      <c r="N85" s="127" t="s">
        <v>6548</v>
      </c>
      <c r="O85" s="116" t="s">
        <v>6549</v>
      </c>
      <c r="P85" s="116">
        <v>1000</v>
      </c>
      <c r="Q85" s="116">
        <v>1249</v>
      </c>
      <c r="R85" s="118">
        <v>9.07</v>
      </c>
      <c r="S85" s="126"/>
      <c r="U85" s="72">
        <f t="shared" si="42"/>
        <v>11.791</v>
      </c>
      <c r="Y85" s="227">
        <v>50</v>
      </c>
      <c r="Z85" s="227">
        <v>3</v>
      </c>
      <c r="AA85" s="255" t="s">
        <v>385</v>
      </c>
      <c r="AB85" s="255" t="s">
        <v>386</v>
      </c>
      <c r="AC85" s="255">
        <f>+AD84+1</f>
        <v>3000</v>
      </c>
      <c r="AD85" s="256">
        <v>3599</v>
      </c>
      <c r="AE85" s="228">
        <v>24.39</v>
      </c>
      <c r="AF85" s="228">
        <v>25.37</v>
      </c>
      <c r="AG85" s="360">
        <f t="shared" si="36"/>
        <v>31.71</v>
      </c>
      <c r="AH85" s="360">
        <f t="shared" si="22"/>
        <v>32.979999999999997</v>
      </c>
      <c r="AI85" s="362">
        <f t="shared" si="43"/>
        <v>0.30012300123001229</v>
      </c>
      <c r="AJ85" s="362"/>
      <c r="AK85" s="318">
        <v>23309</v>
      </c>
      <c r="AL85" s="318">
        <v>1</v>
      </c>
      <c r="AM85" s="318">
        <v>299</v>
      </c>
      <c r="AN85" s="316"/>
      <c r="AO85" s="319">
        <v>9.2012976000000002</v>
      </c>
      <c r="AP85" s="319">
        <v>12.634617599999999</v>
      </c>
      <c r="AQ85" s="319">
        <v>16.425002879999997</v>
      </c>
      <c r="AR85" s="316"/>
      <c r="AS85" s="319">
        <v>10.1168496</v>
      </c>
      <c r="AT85" s="319">
        <v>14.352288751807226</v>
      </c>
      <c r="AU85" s="319">
        <v>18.657975377349395</v>
      </c>
      <c r="AV85" s="317"/>
      <c r="AW85" s="319">
        <v>17.198644319999996</v>
      </c>
      <c r="AX85" s="319">
        <v>24.398890878072283</v>
      </c>
      <c r="AY85" s="319">
        <v>31.718558141493975</v>
      </c>
      <c r="AZ85" s="365"/>
      <c r="BA85" s="319">
        <f>ROUND(AO85*1.3,2)</f>
        <v>11.96</v>
      </c>
      <c r="BB85" s="319">
        <f t="shared" si="44"/>
        <v>16.43</v>
      </c>
      <c r="BC85" s="319">
        <f t="shared" si="44"/>
        <v>21.35</v>
      </c>
      <c r="BD85" s="316"/>
      <c r="BE85" s="319">
        <f t="shared" si="28"/>
        <v>13.15</v>
      </c>
      <c r="BF85" s="319">
        <f t="shared" si="8"/>
        <v>18.66</v>
      </c>
      <c r="BG85" s="319">
        <f t="shared" si="8"/>
        <v>24.26</v>
      </c>
      <c r="BH85" s="317"/>
      <c r="BI85" s="319">
        <f t="shared" si="29"/>
        <v>22.36</v>
      </c>
      <c r="BJ85" s="319">
        <f t="shared" si="9"/>
        <v>31.72</v>
      </c>
      <c r="BK85" s="319">
        <f t="shared" si="9"/>
        <v>41.23</v>
      </c>
      <c r="BL85" s="362">
        <f t="shared" si="41"/>
        <v>0.29981666933585549</v>
      </c>
    </row>
    <row r="86" spans="2:64">
      <c r="B86" s="156">
        <v>134</v>
      </c>
      <c r="C86" s="157" t="s">
        <v>6269</v>
      </c>
      <c r="D86" s="157" t="s">
        <v>6222</v>
      </c>
      <c r="E86" s="157">
        <v>950</v>
      </c>
      <c r="F86" s="157">
        <v>999</v>
      </c>
      <c r="G86" s="359">
        <v>2.31</v>
      </c>
      <c r="H86" s="296"/>
      <c r="I86" s="360">
        <f t="shared" si="32"/>
        <v>3</v>
      </c>
      <c r="M86" s="125" t="s">
        <v>6449</v>
      </c>
      <c r="N86" s="127" t="s">
        <v>6548</v>
      </c>
      <c r="O86" s="116" t="s">
        <v>6549</v>
      </c>
      <c r="P86" s="116">
        <v>1250</v>
      </c>
      <c r="Q86" s="116">
        <v>1316</v>
      </c>
      <c r="R86" s="118">
        <v>10.06</v>
      </c>
      <c r="S86" s="126"/>
      <c r="U86" s="72">
        <f t="shared" si="42"/>
        <v>13.078000000000001</v>
      </c>
      <c r="Y86" s="227">
        <v>50</v>
      </c>
      <c r="Z86" s="227">
        <v>3</v>
      </c>
      <c r="AA86" s="255" t="s">
        <v>385</v>
      </c>
      <c r="AB86" s="255" t="s">
        <v>386</v>
      </c>
      <c r="AC86" s="255">
        <f>+AD85+1</f>
        <v>3600</v>
      </c>
      <c r="AD86" s="256">
        <v>3959</v>
      </c>
      <c r="AE86" s="228">
        <v>26.38</v>
      </c>
      <c r="AF86" s="228">
        <v>27.44</v>
      </c>
      <c r="AG86" s="360">
        <f t="shared" si="36"/>
        <v>34.29</v>
      </c>
      <c r="AH86" s="360">
        <f t="shared" si="22"/>
        <v>35.659999999999997</v>
      </c>
      <c r="AI86" s="362">
        <f t="shared" si="43"/>
        <v>0.2998483699772555</v>
      </c>
      <c r="AJ86" s="362"/>
      <c r="AK86" s="318">
        <v>23309</v>
      </c>
      <c r="AL86" s="318">
        <v>300</v>
      </c>
      <c r="AM86" s="318">
        <v>599</v>
      </c>
      <c r="AN86" s="316"/>
      <c r="AO86" s="319">
        <v>12.634617599999999</v>
      </c>
      <c r="AP86" s="319">
        <v>15.161541119999997</v>
      </c>
      <c r="AQ86" s="319">
        <v>19.710003455999999</v>
      </c>
      <c r="AR86" s="316"/>
      <c r="AS86" s="319">
        <v>15.1981632</v>
      </c>
      <c r="AT86" s="319">
        <v>16.3883808</v>
      </c>
      <c r="AU86" s="319">
        <v>21.304895040000002</v>
      </c>
      <c r="AV86" s="317"/>
      <c r="AW86" s="319">
        <v>25.836877440000002</v>
      </c>
      <c r="AX86" s="319">
        <v>27.860247359999999</v>
      </c>
      <c r="AY86" s="319">
        <v>36.218321568</v>
      </c>
      <c r="AZ86" s="365"/>
      <c r="BA86" s="319">
        <f t="shared" ref="BA86:BA90" si="45">ROUND(AO86*1.3,2)</f>
        <v>16.43</v>
      </c>
      <c r="BB86" s="319">
        <f t="shared" si="44"/>
        <v>19.71</v>
      </c>
      <c r="BC86" s="319">
        <f t="shared" si="44"/>
        <v>25.62</v>
      </c>
      <c r="BD86" s="316"/>
      <c r="BE86" s="319">
        <f t="shared" si="28"/>
        <v>19.760000000000002</v>
      </c>
      <c r="BF86" s="319">
        <f t="shared" si="8"/>
        <v>21.3</v>
      </c>
      <c r="BG86" s="319">
        <f t="shared" si="8"/>
        <v>27.7</v>
      </c>
      <c r="BH86" s="317"/>
      <c r="BI86" s="319">
        <f t="shared" si="29"/>
        <v>33.590000000000003</v>
      </c>
      <c r="BJ86" s="319">
        <f t="shared" si="9"/>
        <v>36.22</v>
      </c>
      <c r="BK86" s="319">
        <f t="shared" si="9"/>
        <v>47.08</v>
      </c>
      <c r="BL86" s="362">
        <f t="shared" si="41"/>
        <v>0.3003955101894023</v>
      </c>
    </row>
    <row r="87" spans="2:64">
      <c r="B87" s="156">
        <v>134</v>
      </c>
      <c r="C87" s="157" t="s">
        <v>6269</v>
      </c>
      <c r="D87" s="157" t="s">
        <v>6224</v>
      </c>
      <c r="E87" s="157">
        <v>1000</v>
      </c>
      <c r="F87" s="157">
        <v>1499</v>
      </c>
      <c r="G87" s="359">
        <v>3.42</v>
      </c>
      <c r="H87" s="296"/>
      <c r="I87" s="360">
        <f t="shared" si="32"/>
        <v>4.45</v>
      </c>
      <c r="M87" s="125" t="s">
        <v>6449</v>
      </c>
      <c r="N87" s="127" t="s">
        <v>6550</v>
      </c>
      <c r="O87" s="116" t="s">
        <v>6551</v>
      </c>
      <c r="P87" s="116">
        <v>68</v>
      </c>
      <c r="Q87" s="116">
        <v>299</v>
      </c>
      <c r="R87" s="118">
        <v>1.41</v>
      </c>
      <c r="S87" s="126"/>
      <c r="U87" s="72">
        <f t="shared" si="42"/>
        <v>1.833</v>
      </c>
      <c r="Y87" s="223">
        <v>54</v>
      </c>
      <c r="Z87" s="223">
        <v>2</v>
      </c>
      <c r="AA87" s="223" t="s">
        <v>316</v>
      </c>
      <c r="AB87" s="223" t="s">
        <v>316</v>
      </c>
      <c r="AC87" s="223">
        <v>16</v>
      </c>
      <c r="AD87" s="223">
        <v>249</v>
      </c>
      <c r="AE87" s="224">
        <v>3.45</v>
      </c>
      <c r="AF87" s="224">
        <v>3.59</v>
      </c>
      <c r="AG87" s="360">
        <f t="shared" si="36"/>
        <v>4.49</v>
      </c>
      <c r="AH87" s="360">
        <f t="shared" si="22"/>
        <v>4.67</v>
      </c>
      <c r="AI87" s="362">
        <f t="shared" si="43"/>
        <v>0.30144927536231886</v>
      </c>
      <c r="AJ87" s="362"/>
      <c r="AK87" s="318">
        <v>23309</v>
      </c>
      <c r="AL87" s="318">
        <v>600</v>
      </c>
      <c r="AM87" s="318">
        <v>899</v>
      </c>
      <c r="AN87" s="316"/>
      <c r="AO87" s="319">
        <v>13.870612800000002</v>
      </c>
      <c r="AP87" s="319">
        <v>18.193849343999997</v>
      </c>
      <c r="AQ87" s="319">
        <v>23.6520041472</v>
      </c>
      <c r="AR87" s="316"/>
      <c r="AS87" s="319">
        <v>18.23779584</v>
      </c>
      <c r="AT87" s="319">
        <v>19.666056960000002</v>
      </c>
      <c r="AU87" s="319">
        <v>25.565874047999998</v>
      </c>
      <c r="AV87" s="317"/>
      <c r="AW87" s="319">
        <v>31.004252928000003</v>
      </c>
      <c r="AX87" s="319">
        <v>33.432296831999999</v>
      </c>
      <c r="AY87" s="319">
        <v>43.4619858816</v>
      </c>
      <c r="AZ87" s="365"/>
      <c r="BA87" s="319">
        <f t="shared" si="45"/>
        <v>18.03</v>
      </c>
      <c r="BB87" s="319">
        <f t="shared" si="44"/>
        <v>23.65</v>
      </c>
      <c r="BC87" s="319">
        <f t="shared" si="44"/>
        <v>30.75</v>
      </c>
      <c r="BD87" s="316"/>
      <c r="BE87" s="319">
        <f t="shared" si="28"/>
        <v>23.71</v>
      </c>
      <c r="BF87" s="319">
        <f t="shared" si="8"/>
        <v>25.57</v>
      </c>
      <c r="BG87" s="319">
        <f t="shared" si="8"/>
        <v>33.24</v>
      </c>
      <c r="BH87" s="317"/>
      <c r="BI87" s="319">
        <f t="shared" si="29"/>
        <v>40.31</v>
      </c>
      <c r="BJ87" s="319">
        <f t="shared" si="9"/>
        <v>43.46</v>
      </c>
      <c r="BK87" s="319">
        <f t="shared" si="9"/>
        <v>56.5</v>
      </c>
      <c r="BL87" s="362">
        <f t="shared" si="41"/>
        <v>0.29987047147621326</v>
      </c>
    </row>
    <row r="88" spans="2:64">
      <c r="B88" s="156">
        <v>134</v>
      </c>
      <c r="C88" s="157" t="s">
        <v>6269</v>
      </c>
      <c r="D88" s="157" t="s">
        <v>6227</v>
      </c>
      <c r="E88" s="157">
        <v>1500</v>
      </c>
      <c r="F88" s="157">
        <v>1999</v>
      </c>
      <c r="G88" s="359">
        <v>4.53</v>
      </c>
      <c r="H88" s="296"/>
      <c r="I88" s="360">
        <f t="shared" si="32"/>
        <v>5.89</v>
      </c>
      <c r="M88" s="125" t="s">
        <v>6449</v>
      </c>
      <c r="N88" s="127" t="s">
        <v>6550</v>
      </c>
      <c r="O88" s="116" t="s">
        <v>6551</v>
      </c>
      <c r="P88" s="116">
        <v>300</v>
      </c>
      <c r="Q88" s="116">
        <v>599</v>
      </c>
      <c r="R88" s="118">
        <v>2.39</v>
      </c>
      <c r="S88" s="126"/>
      <c r="U88" s="72">
        <f t="shared" si="42"/>
        <v>3.1070000000000002</v>
      </c>
      <c r="Y88" s="227">
        <v>54</v>
      </c>
      <c r="Z88" s="227">
        <v>2</v>
      </c>
      <c r="AA88" s="227" t="s">
        <v>316</v>
      </c>
      <c r="AB88" s="227" t="s">
        <v>316</v>
      </c>
      <c r="AC88" s="227">
        <v>250</v>
      </c>
      <c r="AD88" s="227">
        <v>299</v>
      </c>
      <c r="AE88" s="228">
        <v>3.53</v>
      </c>
      <c r="AF88" s="228">
        <v>3.67</v>
      </c>
      <c r="AG88" s="360">
        <f t="shared" si="36"/>
        <v>4.59</v>
      </c>
      <c r="AH88" s="360">
        <f t="shared" si="22"/>
        <v>4.7699999999999996</v>
      </c>
      <c r="AI88" s="362">
        <f t="shared" si="43"/>
        <v>0.3002832861189802</v>
      </c>
      <c r="AJ88" s="362"/>
      <c r="AK88" s="318">
        <v>23309</v>
      </c>
      <c r="AL88" s="318">
        <v>900</v>
      </c>
      <c r="AM88" s="318">
        <v>1199</v>
      </c>
      <c r="AN88" s="316"/>
      <c r="AO88" s="319">
        <v>15.951204719999998</v>
      </c>
      <c r="AP88" s="319">
        <v>21.832619212799994</v>
      </c>
      <c r="AQ88" s="319">
        <v>28.382404976639997</v>
      </c>
      <c r="AR88" s="316"/>
      <c r="AS88" s="319">
        <v>20.973465215999997</v>
      </c>
      <c r="AT88" s="319">
        <v>23.599268351999999</v>
      </c>
      <c r="AU88" s="319">
        <v>30.679048857599994</v>
      </c>
      <c r="AV88" s="317"/>
      <c r="AW88" s="319">
        <v>35.654890867199988</v>
      </c>
      <c r="AX88" s="319">
        <v>40.118756198399993</v>
      </c>
      <c r="AY88" s="319">
        <v>52.154383057919986</v>
      </c>
      <c r="AZ88" s="365"/>
      <c r="BA88" s="319">
        <f t="shared" si="45"/>
        <v>20.74</v>
      </c>
      <c r="BB88" s="319">
        <f t="shared" si="44"/>
        <v>28.38</v>
      </c>
      <c r="BC88" s="319">
        <f t="shared" si="44"/>
        <v>36.9</v>
      </c>
      <c r="BD88" s="316"/>
      <c r="BE88" s="319">
        <f t="shared" si="28"/>
        <v>27.27</v>
      </c>
      <c r="BF88" s="319">
        <f t="shared" si="8"/>
        <v>30.68</v>
      </c>
      <c r="BG88" s="319">
        <f t="shared" si="8"/>
        <v>39.880000000000003</v>
      </c>
      <c r="BH88" s="317"/>
      <c r="BI88" s="319">
        <f t="shared" si="29"/>
        <v>46.35</v>
      </c>
      <c r="BJ88" s="319">
        <f t="shared" si="9"/>
        <v>52.15</v>
      </c>
      <c r="BK88" s="319">
        <f t="shared" si="9"/>
        <v>67.8</v>
      </c>
      <c r="BL88" s="362">
        <f t="shared" si="41"/>
        <v>0.30021527301920309</v>
      </c>
    </row>
    <row r="89" spans="2:64">
      <c r="B89" s="156">
        <v>134</v>
      </c>
      <c r="C89" s="157" t="s">
        <v>6269</v>
      </c>
      <c r="D89" s="157" t="s">
        <v>6229</v>
      </c>
      <c r="E89" s="157">
        <v>2000</v>
      </c>
      <c r="F89" s="157">
        <v>2499</v>
      </c>
      <c r="G89" s="359">
        <v>5.64</v>
      </c>
      <c r="I89" s="360">
        <f t="shared" si="32"/>
        <v>7.33</v>
      </c>
      <c r="M89" s="125" t="s">
        <v>6449</v>
      </c>
      <c r="N89" s="127" t="s">
        <v>6550</v>
      </c>
      <c r="O89" s="116" t="s">
        <v>6551</v>
      </c>
      <c r="P89" s="116">
        <v>600</v>
      </c>
      <c r="Q89" s="116">
        <v>899</v>
      </c>
      <c r="R89" s="118">
        <v>4.79</v>
      </c>
      <c r="S89" s="126"/>
      <c r="U89" s="72">
        <f t="shared" si="42"/>
        <v>6.2270000000000003</v>
      </c>
      <c r="Y89" s="227">
        <v>54</v>
      </c>
      <c r="Z89" s="227">
        <v>2</v>
      </c>
      <c r="AA89" s="227" t="s">
        <v>316</v>
      </c>
      <c r="AB89" s="227" t="s">
        <v>316</v>
      </c>
      <c r="AC89" s="227">
        <v>300</v>
      </c>
      <c r="AD89" s="227">
        <v>349</v>
      </c>
      <c r="AE89" s="228">
        <v>3.6</v>
      </c>
      <c r="AF89" s="228">
        <v>3.75</v>
      </c>
      <c r="AG89" s="360">
        <f t="shared" si="36"/>
        <v>4.68</v>
      </c>
      <c r="AH89" s="360">
        <f t="shared" si="22"/>
        <v>4.87</v>
      </c>
      <c r="AI89" s="362">
        <f t="shared" si="43"/>
        <v>0.29999999999999988</v>
      </c>
      <c r="AJ89" s="362"/>
      <c r="AK89" s="318">
        <v>23309</v>
      </c>
      <c r="AL89" s="318">
        <v>1200</v>
      </c>
      <c r="AM89" s="318">
        <v>1499</v>
      </c>
      <c r="AN89" s="316"/>
      <c r="AO89" s="319">
        <v>18.343885427999997</v>
      </c>
      <c r="AP89" s="319">
        <v>26.199143055359997</v>
      </c>
      <c r="AQ89" s="319">
        <v>34.058885971967996</v>
      </c>
      <c r="AR89" s="316"/>
      <c r="AS89" s="319">
        <v>24.119484998399997</v>
      </c>
      <c r="AT89" s="319">
        <v>28.319122022399998</v>
      </c>
      <c r="AU89" s="319">
        <v>36.814858629119996</v>
      </c>
      <c r="AV89" s="317"/>
      <c r="AW89" s="319">
        <v>41.003124497279991</v>
      </c>
      <c r="AX89" s="319">
        <v>48.142507438079988</v>
      </c>
      <c r="AY89" s="319">
        <v>62.585259669503998</v>
      </c>
      <c r="AZ89" s="365"/>
      <c r="BA89" s="319">
        <f t="shared" si="45"/>
        <v>23.85</v>
      </c>
      <c r="BB89" s="319">
        <f t="shared" si="44"/>
        <v>34.06</v>
      </c>
      <c r="BC89" s="319">
        <f t="shared" si="44"/>
        <v>44.28</v>
      </c>
      <c r="BD89" s="316"/>
      <c r="BE89" s="319">
        <f t="shared" si="28"/>
        <v>31.36</v>
      </c>
      <c r="BF89" s="319">
        <f t="shared" si="8"/>
        <v>36.81</v>
      </c>
      <c r="BG89" s="319">
        <f t="shared" si="8"/>
        <v>47.86</v>
      </c>
      <c r="BH89" s="317"/>
      <c r="BI89" s="319">
        <f t="shared" si="29"/>
        <v>53.3</v>
      </c>
      <c r="BJ89" s="319">
        <f t="shared" si="9"/>
        <v>62.59</v>
      </c>
      <c r="BK89" s="319">
        <f t="shared" si="9"/>
        <v>81.36</v>
      </c>
      <c r="BL89" s="362">
        <f t="shared" si="41"/>
        <v>0.30016075894126032</v>
      </c>
    </row>
    <row r="90" spans="2:64">
      <c r="B90" s="156">
        <v>134</v>
      </c>
      <c r="C90" s="157" t="s">
        <v>6269</v>
      </c>
      <c r="D90" s="157" t="s">
        <v>6231</v>
      </c>
      <c r="E90" s="157">
        <v>2500</v>
      </c>
      <c r="F90" s="157">
        <v>2999</v>
      </c>
      <c r="G90" s="359">
        <v>6.75</v>
      </c>
      <c r="I90" s="360">
        <f t="shared" si="32"/>
        <v>8.7799999999999994</v>
      </c>
      <c r="M90" s="125" t="s">
        <v>6449</v>
      </c>
      <c r="N90" s="127" t="s">
        <v>6550</v>
      </c>
      <c r="O90" s="116" t="s">
        <v>6551</v>
      </c>
      <c r="P90" s="116">
        <v>900</v>
      </c>
      <c r="Q90" s="116">
        <v>1199</v>
      </c>
      <c r="R90" s="118">
        <v>6.41</v>
      </c>
      <c r="S90" s="126"/>
      <c r="U90" s="72">
        <f t="shared" si="42"/>
        <v>8.3330000000000002</v>
      </c>
      <c r="Y90" s="227">
        <v>54</v>
      </c>
      <c r="Z90" s="227">
        <v>2</v>
      </c>
      <c r="AA90" s="227" t="s">
        <v>316</v>
      </c>
      <c r="AB90" s="227" t="s">
        <v>316</v>
      </c>
      <c r="AC90" s="227">
        <v>350</v>
      </c>
      <c r="AD90" s="227">
        <v>399</v>
      </c>
      <c r="AE90" s="228">
        <v>3.68</v>
      </c>
      <c r="AF90" s="228">
        <v>3.83</v>
      </c>
      <c r="AG90" s="360">
        <f t="shared" si="36"/>
        <v>4.78</v>
      </c>
      <c r="AH90" s="360">
        <f t="shared" si="22"/>
        <v>4.97</v>
      </c>
      <c r="AI90" s="362">
        <f t="shared" si="43"/>
        <v>0.29891304347826086</v>
      </c>
      <c r="AJ90" s="362"/>
      <c r="AK90" s="318">
        <v>23309</v>
      </c>
      <c r="AL90" s="318">
        <v>1500</v>
      </c>
      <c r="AM90" s="318">
        <v>1799</v>
      </c>
      <c r="AN90" s="316"/>
      <c r="AO90" s="319">
        <v>21.095468242199996</v>
      </c>
      <c r="AP90" s="319">
        <v>31.438971666431993</v>
      </c>
      <c r="AQ90" s="319">
        <v>40.870663166361595</v>
      </c>
      <c r="AR90" s="316"/>
      <c r="AS90" s="319">
        <v>27.737407748159995</v>
      </c>
      <c r="AT90" s="319">
        <v>33.982946426879998</v>
      </c>
      <c r="AU90" s="319">
        <v>44.177830354943993</v>
      </c>
      <c r="AV90" s="317"/>
      <c r="AW90" s="319">
        <v>47.153593171871989</v>
      </c>
      <c r="AX90" s="319">
        <v>57.771008925695995</v>
      </c>
      <c r="AY90" s="319">
        <v>75.102311603404786</v>
      </c>
      <c r="AZ90" s="365"/>
      <c r="BA90" s="319">
        <f t="shared" si="45"/>
        <v>27.42</v>
      </c>
      <c r="BB90" s="319">
        <f t="shared" si="44"/>
        <v>40.869999999999997</v>
      </c>
      <c r="BC90" s="319">
        <f t="shared" si="44"/>
        <v>53.13</v>
      </c>
      <c r="BD90" s="316"/>
      <c r="BE90" s="319">
        <f t="shared" si="28"/>
        <v>36.06</v>
      </c>
      <c r="BF90" s="319">
        <f t="shared" si="8"/>
        <v>44.18</v>
      </c>
      <c r="BG90" s="319">
        <f t="shared" si="8"/>
        <v>57.43</v>
      </c>
      <c r="BH90" s="317"/>
      <c r="BI90" s="319">
        <f t="shared" si="29"/>
        <v>61.3</v>
      </c>
      <c r="BJ90" s="319">
        <f t="shared" si="9"/>
        <v>75.099999999999994</v>
      </c>
      <c r="BK90" s="319">
        <f t="shared" si="9"/>
        <v>97.63</v>
      </c>
      <c r="BL90" s="362">
        <f t="shared" si="41"/>
        <v>0.29980523234597972</v>
      </c>
    </row>
    <row r="91" spans="2:64">
      <c r="B91" s="156">
        <v>134</v>
      </c>
      <c r="C91" s="157" t="s">
        <v>6269</v>
      </c>
      <c r="D91" s="157" t="s">
        <v>6234</v>
      </c>
      <c r="E91" s="157">
        <v>3000</v>
      </c>
      <c r="F91" s="157">
        <v>3499</v>
      </c>
      <c r="G91" s="359">
        <v>7.86</v>
      </c>
      <c r="I91" s="360">
        <f t="shared" si="32"/>
        <v>10.220000000000001</v>
      </c>
      <c r="M91" s="125" t="s">
        <v>6449</v>
      </c>
      <c r="N91" s="127" t="s">
        <v>6550</v>
      </c>
      <c r="O91" s="116" t="s">
        <v>6551</v>
      </c>
      <c r="P91" s="116">
        <v>1200</v>
      </c>
      <c r="Q91" s="116">
        <v>1499</v>
      </c>
      <c r="R91" s="118">
        <v>9.07</v>
      </c>
      <c r="S91" s="126"/>
      <c r="U91" s="72">
        <f t="shared" si="42"/>
        <v>11.791</v>
      </c>
      <c r="Y91" s="227">
        <v>54</v>
      </c>
      <c r="Z91" s="227">
        <v>2</v>
      </c>
      <c r="AA91" s="227" t="s">
        <v>316</v>
      </c>
      <c r="AB91" s="227" t="s">
        <v>316</v>
      </c>
      <c r="AC91" s="227">
        <v>400</v>
      </c>
      <c r="AD91" s="227">
        <v>449</v>
      </c>
      <c r="AE91" s="228">
        <v>3.76</v>
      </c>
      <c r="AF91" s="228">
        <v>3.91</v>
      </c>
      <c r="AG91" s="360">
        <f t="shared" si="36"/>
        <v>4.8899999999999997</v>
      </c>
      <c r="AH91" s="360">
        <f t="shared" si="22"/>
        <v>5.09</v>
      </c>
      <c r="AI91" s="362">
        <f t="shared" si="43"/>
        <v>0.30053191489361702</v>
      </c>
      <c r="AJ91" s="362"/>
      <c r="AK91" s="324">
        <v>23210</v>
      </c>
      <c r="AL91" s="324">
        <v>1</v>
      </c>
      <c r="AM91" s="324">
        <v>299</v>
      </c>
      <c r="AN91" s="316"/>
      <c r="AO91" s="326">
        <v>8.7830567999999989</v>
      </c>
      <c r="AP91" s="326">
        <v>12.060316799999997</v>
      </c>
      <c r="AQ91" s="326">
        <v>15.678411839999997</v>
      </c>
      <c r="AR91" s="316"/>
      <c r="AS91" s="325">
        <v>9.6569927999999994</v>
      </c>
      <c r="AT91" s="325">
        <v>13.699911990361443</v>
      </c>
      <c r="AU91" s="325">
        <v>17.809885587469878</v>
      </c>
      <c r="AV91" s="316"/>
      <c r="AW91" s="325">
        <v>16.416887759999998</v>
      </c>
      <c r="AX91" s="325">
        <v>23.289850383614453</v>
      </c>
      <c r="AY91" s="325">
        <v>30.276805498698796</v>
      </c>
      <c r="AZ91" s="365"/>
      <c r="BA91" s="325">
        <f>ROUND(AO91*1.3,2)</f>
        <v>11.42</v>
      </c>
      <c r="BB91" s="325">
        <f t="shared" si="44"/>
        <v>15.68</v>
      </c>
      <c r="BC91" s="325">
        <f t="shared" si="44"/>
        <v>20.38</v>
      </c>
      <c r="BD91" s="316"/>
      <c r="BE91" s="325">
        <f t="shared" si="28"/>
        <v>12.55</v>
      </c>
      <c r="BF91" s="325">
        <f t="shared" si="8"/>
        <v>17.809999999999999</v>
      </c>
      <c r="BG91" s="325">
        <f t="shared" si="8"/>
        <v>23.15</v>
      </c>
      <c r="BH91" s="316"/>
      <c r="BI91" s="325">
        <f t="shared" si="29"/>
        <v>21.34</v>
      </c>
      <c r="BJ91" s="325">
        <f t="shared" si="9"/>
        <v>30.28</v>
      </c>
      <c r="BK91" s="325">
        <f t="shared" si="9"/>
        <v>39.36</v>
      </c>
      <c r="BL91" s="362">
        <f t="shared" si="41"/>
        <v>0.30023068961594346</v>
      </c>
    </row>
    <row r="92" spans="2:64">
      <c r="B92" s="156">
        <v>134</v>
      </c>
      <c r="C92" s="157" t="s">
        <v>6269</v>
      </c>
      <c r="D92" s="157" t="s">
        <v>6236</v>
      </c>
      <c r="E92" s="157">
        <v>3500</v>
      </c>
      <c r="F92" s="157">
        <v>3999</v>
      </c>
      <c r="G92" s="359">
        <v>8.9700000000000006</v>
      </c>
      <c r="I92" s="360">
        <f t="shared" si="32"/>
        <v>11.66</v>
      </c>
      <c r="M92" s="125" t="s">
        <v>6449</v>
      </c>
      <c r="N92" s="127" t="s">
        <v>6550</v>
      </c>
      <c r="O92" s="116" t="s">
        <v>6551</v>
      </c>
      <c r="P92" s="116">
        <v>1500</v>
      </c>
      <c r="Q92" s="116">
        <v>1749</v>
      </c>
      <c r="R92" s="118">
        <v>10.06</v>
      </c>
      <c r="S92" s="126"/>
      <c r="U92" s="72">
        <f t="shared" si="42"/>
        <v>13.078000000000001</v>
      </c>
      <c r="Y92" s="227">
        <v>54</v>
      </c>
      <c r="Z92" s="227">
        <v>2</v>
      </c>
      <c r="AA92" s="227" t="s">
        <v>316</v>
      </c>
      <c r="AB92" s="227" t="s">
        <v>316</v>
      </c>
      <c r="AC92" s="227">
        <v>450</v>
      </c>
      <c r="AD92" s="227">
        <v>499</v>
      </c>
      <c r="AE92" s="228">
        <v>3.84</v>
      </c>
      <c r="AF92" s="228">
        <v>3.99</v>
      </c>
      <c r="AG92" s="360">
        <f t="shared" si="36"/>
        <v>4.99</v>
      </c>
      <c r="AH92" s="360">
        <f t="shared" si="22"/>
        <v>5.19</v>
      </c>
      <c r="AI92" s="362">
        <f t="shared" si="43"/>
        <v>0.2994791666666668</v>
      </c>
      <c r="AJ92" s="362"/>
      <c r="AK92" s="324">
        <v>23210</v>
      </c>
      <c r="AL92" s="324">
        <v>300</v>
      </c>
      <c r="AM92" s="324">
        <v>599</v>
      </c>
      <c r="AN92" s="316"/>
      <c r="AO92" s="326">
        <v>12.060316799999997</v>
      </c>
      <c r="AP92" s="326">
        <v>14.472380159999997</v>
      </c>
      <c r="AQ92" s="326">
        <v>18.814094208</v>
      </c>
      <c r="AR92" s="316"/>
      <c r="AS92" s="325">
        <v>14.5073376</v>
      </c>
      <c r="AT92" s="325">
        <v>15.6434544</v>
      </c>
      <c r="AU92" s="325">
        <v>20.33649072</v>
      </c>
      <c r="AV92" s="316"/>
      <c r="AW92" s="325">
        <v>24.662473920000004</v>
      </c>
      <c r="AX92" s="325">
        <v>26.593872479999998</v>
      </c>
      <c r="AY92" s="325">
        <v>34.572034223999999</v>
      </c>
      <c r="AZ92" s="365"/>
      <c r="BA92" s="325">
        <f t="shared" ref="BA92:BC107" si="46">ROUND(AO92*1.3,2)</f>
        <v>15.68</v>
      </c>
      <c r="BB92" s="325">
        <f t="shared" si="44"/>
        <v>18.809999999999999</v>
      </c>
      <c r="BC92" s="325">
        <f t="shared" si="44"/>
        <v>24.46</v>
      </c>
      <c r="BD92" s="316"/>
      <c r="BE92" s="325">
        <f t="shared" si="28"/>
        <v>18.86</v>
      </c>
      <c r="BF92" s="325">
        <f t="shared" si="8"/>
        <v>20.34</v>
      </c>
      <c r="BG92" s="325">
        <f t="shared" si="8"/>
        <v>26.44</v>
      </c>
      <c r="BH92" s="316"/>
      <c r="BI92" s="325">
        <f t="shared" si="29"/>
        <v>32.06</v>
      </c>
      <c r="BJ92" s="325">
        <f t="shared" si="9"/>
        <v>34.57</v>
      </c>
      <c r="BK92" s="325">
        <f t="shared" si="9"/>
        <v>44.94</v>
      </c>
      <c r="BL92" s="362">
        <f t="shared" si="41"/>
        <v>0.30013168476635732</v>
      </c>
    </row>
    <row r="93" spans="2:64">
      <c r="B93" s="156">
        <v>134</v>
      </c>
      <c r="C93" s="157" t="s">
        <v>6269</v>
      </c>
      <c r="D93" s="157" t="s">
        <v>6238</v>
      </c>
      <c r="E93" s="157">
        <v>4000</v>
      </c>
      <c r="F93" s="157">
        <v>4499</v>
      </c>
      <c r="G93" s="359">
        <v>10.08</v>
      </c>
      <c r="I93" s="360">
        <f t="shared" si="32"/>
        <v>13.1</v>
      </c>
      <c r="M93" s="125" t="s">
        <v>6449</v>
      </c>
      <c r="N93" s="127" t="s">
        <v>6550</v>
      </c>
      <c r="O93" s="116" t="s">
        <v>6551</v>
      </c>
      <c r="P93" s="116">
        <v>1750</v>
      </c>
      <c r="Q93" s="116">
        <v>1892</v>
      </c>
      <c r="R93" s="118">
        <v>10.62</v>
      </c>
      <c r="S93" s="126"/>
      <c r="U93" s="72">
        <f t="shared" si="42"/>
        <v>13.805999999999999</v>
      </c>
      <c r="Y93" s="227">
        <v>54</v>
      </c>
      <c r="Z93" s="227">
        <v>2</v>
      </c>
      <c r="AA93" s="227" t="s">
        <v>316</v>
      </c>
      <c r="AB93" s="227" t="s">
        <v>316</v>
      </c>
      <c r="AC93" s="227">
        <v>500</v>
      </c>
      <c r="AD93" s="227">
        <v>549</v>
      </c>
      <c r="AE93" s="228">
        <v>3.91</v>
      </c>
      <c r="AF93" s="228">
        <v>4.07</v>
      </c>
      <c r="AG93" s="360">
        <f t="shared" si="36"/>
        <v>5.08</v>
      </c>
      <c r="AH93" s="360">
        <f t="shared" si="22"/>
        <v>5.28</v>
      </c>
      <c r="AI93" s="362">
        <f t="shared" si="43"/>
        <v>0.29923273657289001</v>
      </c>
      <c r="AJ93" s="362"/>
      <c r="AK93" s="324">
        <v>23210</v>
      </c>
      <c r="AL93" s="324">
        <v>600</v>
      </c>
      <c r="AM93" s="324">
        <v>899</v>
      </c>
      <c r="AN93" s="316"/>
      <c r="AO93" s="326">
        <v>13.2401304</v>
      </c>
      <c r="AP93" s="326">
        <v>17.366856191999997</v>
      </c>
      <c r="AQ93" s="326">
        <v>22.576913049599998</v>
      </c>
      <c r="AR93" s="316"/>
      <c r="AS93" s="325">
        <v>17.40880512</v>
      </c>
      <c r="AT93" s="325">
        <v>18.772145280000004</v>
      </c>
      <c r="AU93" s="325">
        <v>24.403788863999999</v>
      </c>
      <c r="AV93" s="316"/>
      <c r="AW93" s="325">
        <v>29.594968703999999</v>
      </c>
      <c r="AX93" s="325">
        <v>31.912646975999994</v>
      </c>
      <c r="AY93" s="325">
        <v>41.486441068799998</v>
      </c>
      <c r="AZ93" s="365"/>
      <c r="BA93" s="325">
        <f t="shared" si="46"/>
        <v>17.21</v>
      </c>
      <c r="BB93" s="325">
        <f t="shared" si="44"/>
        <v>22.58</v>
      </c>
      <c r="BC93" s="325">
        <f t="shared" si="44"/>
        <v>29.35</v>
      </c>
      <c r="BD93" s="316"/>
      <c r="BE93" s="325">
        <f t="shared" si="28"/>
        <v>22.63</v>
      </c>
      <c r="BF93" s="325">
        <f t="shared" si="8"/>
        <v>24.4</v>
      </c>
      <c r="BG93" s="325">
        <f t="shared" si="8"/>
        <v>31.72</v>
      </c>
      <c r="BH93" s="316"/>
      <c r="BI93" s="325">
        <f t="shared" si="29"/>
        <v>38.47</v>
      </c>
      <c r="BJ93" s="325">
        <f t="shared" si="9"/>
        <v>41.49</v>
      </c>
      <c r="BK93" s="325">
        <f t="shared" si="9"/>
        <v>53.93</v>
      </c>
      <c r="BL93" s="362">
        <f t="shared" si="41"/>
        <v>0.2998361405866517</v>
      </c>
    </row>
    <row r="94" spans="2:64">
      <c r="B94" s="156">
        <v>134</v>
      </c>
      <c r="C94" s="157" t="s">
        <v>6269</v>
      </c>
      <c r="D94" s="157" t="s">
        <v>6240</v>
      </c>
      <c r="E94" s="157">
        <v>4500</v>
      </c>
      <c r="F94" s="157">
        <v>4999</v>
      </c>
      <c r="G94" s="359">
        <v>11.19</v>
      </c>
      <c r="I94" s="360">
        <f t="shared" si="32"/>
        <v>14.55</v>
      </c>
      <c r="M94" s="125" t="s">
        <v>6449</v>
      </c>
      <c r="N94" s="127" t="s">
        <v>6550</v>
      </c>
      <c r="O94" s="116" t="s">
        <v>6551</v>
      </c>
      <c r="P94" s="116">
        <v>1893</v>
      </c>
      <c r="Q94" s="116">
        <v>1999</v>
      </c>
      <c r="R94" s="118">
        <v>10.84</v>
      </c>
      <c r="S94" s="126"/>
      <c r="U94" s="72">
        <f t="shared" si="42"/>
        <v>14.092000000000001</v>
      </c>
      <c r="Y94" s="227">
        <v>54</v>
      </c>
      <c r="Z94" s="227">
        <v>2</v>
      </c>
      <c r="AA94" s="227" t="s">
        <v>316</v>
      </c>
      <c r="AB94" s="227" t="s">
        <v>316</v>
      </c>
      <c r="AC94" s="227">
        <v>550</v>
      </c>
      <c r="AD94" s="227">
        <v>599</v>
      </c>
      <c r="AE94" s="228">
        <v>3.99</v>
      </c>
      <c r="AF94" s="228">
        <v>4.1500000000000004</v>
      </c>
      <c r="AG94" s="360">
        <f t="shared" si="36"/>
        <v>5.19</v>
      </c>
      <c r="AH94" s="360">
        <f t="shared" si="22"/>
        <v>5.4</v>
      </c>
      <c r="AI94" s="362">
        <f t="shared" si="43"/>
        <v>0.30075187969924816</v>
      </c>
      <c r="AJ94" s="362"/>
      <c r="AK94" s="324">
        <v>23210</v>
      </c>
      <c r="AL94" s="324">
        <v>900</v>
      </c>
      <c r="AM94" s="324">
        <v>1199</v>
      </c>
      <c r="AN94" s="316"/>
      <c r="AO94" s="326">
        <v>15.226149959999997</v>
      </c>
      <c r="AP94" s="326">
        <v>20.840227430399995</v>
      </c>
      <c r="AQ94" s="326">
        <v>27.092295659519998</v>
      </c>
      <c r="AR94" s="316"/>
      <c r="AS94" s="325">
        <v>20.020125887999999</v>
      </c>
      <c r="AT94" s="325">
        <v>22.526574335999996</v>
      </c>
      <c r="AU94" s="325">
        <v>29.284546636799991</v>
      </c>
      <c r="AV94" s="316"/>
      <c r="AW94" s="325">
        <v>34.034214009599992</v>
      </c>
      <c r="AX94" s="325">
        <v>38.295176371199993</v>
      </c>
      <c r="AY94" s="325">
        <v>49.783729282559989</v>
      </c>
      <c r="AZ94" s="365"/>
      <c r="BA94" s="325">
        <f t="shared" si="46"/>
        <v>19.79</v>
      </c>
      <c r="BB94" s="325">
        <f t="shared" si="44"/>
        <v>27.09</v>
      </c>
      <c r="BC94" s="325">
        <f t="shared" si="44"/>
        <v>35.22</v>
      </c>
      <c r="BD94" s="316"/>
      <c r="BE94" s="325">
        <f t="shared" si="28"/>
        <v>26.03</v>
      </c>
      <c r="BF94" s="325">
        <f t="shared" si="8"/>
        <v>29.28</v>
      </c>
      <c r="BG94" s="325">
        <f t="shared" si="8"/>
        <v>38.07</v>
      </c>
      <c r="BH94" s="316"/>
      <c r="BI94" s="325">
        <f t="shared" si="29"/>
        <v>44.24</v>
      </c>
      <c r="BJ94" s="325">
        <f t="shared" si="9"/>
        <v>49.78</v>
      </c>
      <c r="BK94" s="325">
        <f t="shared" si="9"/>
        <v>64.72</v>
      </c>
      <c r="BL94" s="362">
        <f t="shared" si="41"/>
        <v>0.29973762586008335</v>
      </c>
    </row>
    <row r="95" spans="2:64">
      <c r="B95" s="156">
        <v>134</v>
      </c>
      <c r="C95" s="157" t="s">
        <v>6269</v>
      </c>
      <c r="D95" s="157" t="s">
        <v>6241</v>
      </c>
      <c r="E95" s="157">
        <v>5000</v>
      </c>
      <c r="F95" s="157">
        <v>5499</v>
      </c>
      <c r="G95" s="359">
        <v>12.3</v>
      </c>
      <c r="I95" s="360">
        <f t="shared" si="32"/>
        <v>15.99</v>
      </c>
      <c r="M95" s="125" t="s">
        <v>6449</v>
      </c>
      <c r="N95" s="127" t="s">
        <v>6550</v>
      </c>
      <c r="O95" s="116" t="s">
        <v>6551</v>
      </c>
      <c r="P95" s="116">
        <v>2000</v>
      </c>
      <c r="Q95" s="116">
        <v>2249</v>
      </c>
      <c r="R95" s="118">
        <v>11.5</v>
      </c>
      <c r="S95" s="126"/>
      <c r="U95" s="72">
        <f t="shared" si="42"/>
        <v>14.950000000000001</v>
      </c>
      <c r="Y95" s="257">
        <v>54</v>
      </c>
      <c r="Z95" s="257">
        <v>2</v>
      </c>
      <c r="AA95" s="257" t="s">
        <v>316</v>
      </c>
      <c r="AB95" s="258" t="s">
        <v>341</v>
      </c>
      <c r="AC95" s="258">
        <v>16</v>
      </c>
      <c r="AD95" s="258">
        <v>249</v>
      </c>
      <c r="AE95" s="224">
        <v>3.95</v>
      </c>
      <c r="AF95" s="224">
        <v>4.1100000000000003</v>
      </c>
      <c r="AG95" s="360">
        <f t="shared" si="36"/>
        <v>5.14</v>
      </c>
      <c r="AH95" s="360">
        <f t="shared" si="22"/>
        <v>5.35</v>
      </c>
      <c r="AI95" s="362">
        <f t="shared" si="43"/>
        <v>0.30126582278481001</v>
      </c>
      <c r="AJ95" s="362"/>
      <c r="AK95" s="324">
        <v>23210</v>
      </c>
      <c r="AL95" s="324">
        <v>1200</v>
      </c>
      <c r="AM95" s="324">
        <v>1499</v>
      </c>
      <c r="AN95" s="316"/>
      <c r="AO95" s="326">
        <v>17.510072453999996</v>
      </c>
      <c r="AP95" s="326">
        <v>25.008272916479996</v>
      </c>
      <c r="AQ95" s="326">
        <v>32.510754791423999</v>
      </c>
      <c r="AR95" s="316"/>
      <c r="AS95" s="325">
        <v>23.023144771199998</v>
      </c>
      <c r="AT95" s="325">
        <v>27.031889203199995</v>
      </c>
      <c r="AU95" s="325">
        <v>35.141455964159995</v>
      </c>
      <c r="AV95" s="316"/>
      <c r="AW95" s="325">
        <v>39.139346111039991</v>
      </c>
      <c r="AX95" s="325">
        <v>45.954211645439983</v>
      </c>
      <c r="AY95" s="325">
        <v>59.740475139071997</v>
      </c>
      <c r="AZ95" s="365"/>
      <c r="BA95" s="325">
        <f t="shared" si="46"/>
        <v>22.76</v>
      </c>
      <c r="BB95" s="325">
        <f t="shared" si="44"/>
        <v>32.51</v>
      </c>
      <c r="BC95" s="325">
        <f t="shared" si="44"/>
        <v>42.26</v>
      </c>
      <c r="BD95" s="316"/>
      <c r="BE95" s="325">
        <f t="shared" si="28"/>
        <v>29.93</v>
      </c>
      <c r="BF95" s="325">
        <f t="shared" si="28"/>
        <v>35.14</v>
      </c>
      <c r="BG95" s="325">
        <f t="shared" si="28"/>
        <v>45.68</v>
      </c>
      <c r="BH95" s="316"/>
      <c r="BI95" s="325">
        <f t="shared" si="29"/>
        <v>50.88</v>
      </c>
      <c r="BJ95" s="325">
        <f t="shared" si="29"/>
        <v>59.74</v>
      </c>
      <c r="BK95" s="325">
        <f t="shared" si="29"/>
        <v>77.66</v>
      </c>
      <c r="BL95" s="362">
        <f t="shared" si="41"/>
        <v>0.29982329083970832</v>
      </c>
    </row>
    <row r="96" spans="2:64">
      <c r="B96" s="156">
        <v>134</v>
      </c>
      <c r="C96" s="157" t="s">
        <v>6269</v>
      </c>
      <c r="D96" s="157" t="s">
        <v>6242</v>
      </c>
      <c r="E96" s="157">
        <v>5500</v>
      </c>
      <c r="F96" s="157">
        <v>5999</v>
      </c>
      <c r="G96" s="359">
        <v>13.41</v>
      </c>
      <c r="I96" s="360">
        <f t="shared" si="32"/>
        <v>17.43</v>
      </c>
      <c r="M96" s="125" t="s">
        <v>6449</v>
      </c>
      <c r="N96" s="127" t="s">
        <v>6550</v>
      </c>
      <c r="O96" s="116" t="s">
        <v>6551</v>
      </c>
      <c r="P96" s="116">
        <v>2250</v>
      </c>
      <c r="Q96" s="116">
        <v>2568</v>
      </c>
      <c r="R96" s="118">
        <v>12.03</v>
      </c>
      <c r="S96" s="126"/>
      <c r="U96" s="72">
        <f t="shared" si="42"/>
        <v>15.638999999999999</v>
      </c>
      <c r="Y96" s="227">
        <v>54</v>
      </c>
      <c r="Z96" s="227">
        <v>2</v>
      </c>
      <c r="AA96" s="259" t="s">
        <v>316</v>
      </c>
      <c r="AB96" s="260" t="s">
        <v>341</v>
      </c>
      <c r="AC96" s="260">
        <v>250</v>
      </c>
      <c r="AD96" s="260">
        <v>399</v>
      </c>
      <c r="AE96" s="228">
        <v>4.16</v>
      </c>
      <c r="AF96" s="228">
        <v>4.33</v>
      </c>
      <c r="AG96" s="360">
        <f t="shared" si="36"/>
        <v>5.41</v>
      </c>
      <c r="AH96" s="360">
        <f t="shared" si="22"/>
        <v>5.63</v>
      </c>
      <c r="AI96" s="362">
        <f t="shared" si="43"/>
        <v>0.30048076923076922</v>
      </c>
      <c r="AJ96" s="362"/>
      <c r="AK96" s="324">
        <v>23210</v>
      </c>
      <c r="AL96" s="324">
        <v>1500</v>
      </c>
      <c r="AM96" s="324">
        <v>1799</v>
      </c>
      <c r="AN96" s="316"/>
      <c r="AO96" s="326">
        <v>20.136583322099995</v>
      </c>
      <c r="AP96" s="326">
        <v>30.009927499775994</v>
      </c>
      <c r="AQ96" s="326">
        <v>39.012905749708793</v>
      </c>
      <c r="AR96" s="316"/>
      <c r="AS96" s="325">
        <v>26.476616486879994</v>
      </c>
      <c r="AT96" s="325">
        <v>32.438267043839993</v>
      </c>
      <c r="AU96" s="325">
        <v>42.169747156991995</v>
      </c>
      <c r="AV96" s="316"/>
      <c r="AW96" s="325">
        <v>45.010248027695987</v>
      </c>
      <c r="AX96" s="325">
        <v>55.145053974527997</v>
      </c>
      <c r="AY96" s="325">
        <v>71.688570166886393</v>
      </c>
      <c r="AZ96" s="365"/>
      <c r="BA96" s="325">
        <f t="shared" si="46"/>
        <v>26.18</v>
      </c>
      <c r="BB96" s="325">
        <f t="shared" si="46"/>
        <v>39.01</v>
      </c>
      <c r="BC96" s="325">
        <f t="shared" si="46"/>
        <v>50.72</v>
      </c>
      <c r="BD96" s="316"/>
      <c r="BE96" s="325">
        <f t="shared" si="28"/>
        <v>34.42</v>
      </c>
      <c r="BF96" s="325">
        <f t="shared" si="28"/>
        <v>42.17</v>
      </c>
      <c r="BG96" s="325">
        <f t="shared" si="28"/>
        <v>54.82</v>
      </c>
      <c r="BH96" s="316"/>
      <c r="BI96" s="325">
        <f t="shared" si="29"/>
        <v>58.51</v>
      </c>
      <c r="BJ96" s="325">
        <f t="shared" si="29"/>
        <v>71.69</v>
      </c>
      <c r="BK96" s="325">
        <f t="shared" si="29"/>
        <v>93.2</v>
      </c>
      <c r="BL96" s="362">
        <f t="shared" si="41"/>
        <v>0.30012125598622913</v>
      </c>
    </row>
    <row r="97" spans="2:64">
      <c r="B97" s="156">
        <v>134</v>
      </c>
      <c r="C97" s="157" t="s">
        <v>6269</v>
      </c>
      <c r="D97" s="157" t="s">
        <v>6246</v>
      </c>
      <c r="E97" s="157">
        <v>6000</v>
      </c>
      <c r="F97" s="157">
        <v>6499</v>
      </c>
      <c r="G97" s="359">
        <v>14.52</v>
      </c>
      <c r="I97" s="360">
        <f t="shared" si="32"/>
        <v>18.88</v>
      </c>
      <c r="Y97" s="227">
        <v>54</v>
      </c>
      <c r="Z97" s="227">
        <v>2</v>
      </c>
      <c r="AA97" s="259" t="s">
        <v>316</v>
      </c>
      <c r="AB97" s="260" t="s">
        <v>341</v>
      </c>
      <c r="AC97" s="260">
        <v>400</v>
      </c>
      <c r="AD97" s="260">
        <v>499</v>
      </c>
      <c r="AE97" s="228">
        <v>4.3</v>
      </c>
      <c r="AF97" s="228">
        <v>4.47</v>
      </c>
      <c r="AG97" s="360">
        <f t="shared" si="36"/>
        <v>5.59</v>
      </c>
      <c r="AH97" s="360">
        <f t="shared" si="22"/>
        <v>5.81</v>
      </c>
      <c r="AI97" s="362">
        <f t="shared" si="43"/>
        <v>0.30000000000000004</v>
      </c>
      <c r="AJ97" s="362"/>
      <c r="AK97" s="320">
        <v>23310</v>
      </c>
      <c r="AL97" s="320">
        <v>1</v>
      </c>
      <c r="AM97" s="320">
        <v>299</v>
      </c>
      <c r="AN97" s="316"/>
      <c r="AO97" s="321">
        <v>9.6613624799999993</v>
      </c>
      <c r="AP97" s="321">
        <v>13.266348479999998</v>
      </c>
      <c r="AQ97" s="321">
        <v>17.246253023999998</v>
      </c>
      <c r="AR97" s="316"/>
      <c r="AS97" s="321">
        <v>10.62269208</v>
      </c>
      <c r="AT97" s="321">
        <v>15.069903189397587</v>
      </c>
      <c r="AU97" s="321">
        <v>19.590874146216869</v>
      </c>
      <c r="AV97" s="316"/>
      <c r="AW97" s="321">
        <v>18.058576536</v>
      </c>
      <c r="AX97" s="321">
        <v>25.618835421975902</v>
      </c>
      <c r="AY97" s="321">
        <v>33.304486048568677</v>
      </c>
      <c r="AZ97" s="365"/>
      <c r="BA97" s="321">
        <f>ROUND(AO97*1.3,2)</f>
        <v>12.56</v>
      </c>
      <c r="BB97" s="321">
        <f t="shared" si="46"/>
        <v>17.25</v>
      </c>
      <c r="BC97" s="321">
        <f t="shared" si="46"/>
        <v>22.42</v>
      </c>
      <c r="BD97" s="316"/>
      <c r="BE97" s="321">
        <f t="shared" si="28"/>
        <v>13.81</v>
      </c>
      <c r="BF97" s="321">
        <f t="shared" si="28"/>
        <v>19.59</v>
      </c>
      <c r="BG97" s="321">
        <f t="shared" si="28"/>
        <v>25.47</v>
      </c>
      <c r="BH97" s="316"/>
      <c r="BI97" s="321">
        <f t="shared" si="29"/>
        <v>23.48</v>
      </c>
      <c r="BJ97" s="321">
        <f t="shared" si="29"/>
        <v>33.299999999999997</v>
      </c>
      <c r="BK97" s="321">
        <f t="shared" si="29"/>
        <v>43.3</v>
      </c>
      <c r="BL97" s="362">
        <f t="shared" si="41"/>
        <v>0.30002367947589947</v>
      </c>
    </row>
    <row r="98" spans="2:64">
      <c r="B98" s="156">
        <v>134</v>
      </c>
      <c r="C98" s="157" t="s">
        <v>6269</v>
      </c>
      <c r="D98" s="157" t="s">
        <v>6247</v>
      </c>
      <c r="E98" s="157">
        <v>6500</v>
      </c>
      <c r="F98" s="157">
        <v>6999</v>
      </c>
      <c r="G98" s="359">
        <v>15.63</v>
      </c>
      <c r="I98" s="360">
        <f t="shared" si="32"/>
        <v>20.32</v>
      </c>
      <c r="Y98" s="227">
        <v>54</v>
      </c>
      <c r="Z98" s="227">
        <v>2</v>
      </c>
      <c r="AA98" s="259" t="s">
        <v>316</v>
      </c>
      <c r="AB98" s="260" t="s">
        <v>341</v>
      </c>
      <c r="AC98" s="260">
        <v>500</v>
      </c>
      <c r="AD98" s="260">
        <v>649</v>
      </c>
      <c r="AE98" s="228">
        <v>4.51</v>
      </c>
      <c r="AF98" s="228">
        <v>4.6900000000000004</v>
      </c>
      <c r="AG98" s="360">
        <f t="shared" si="36"/>
        <v>5.86</v>
      </c>
      <c r="AH98" s="360">
        <f t="shared" si="22"/>
        <v>6.09</v>
      </c>
      <c r="AI98" s="362">
        <f t="shared" si="43"/>
        <v>0.29933481152993363</v>
      </c>
      <c r="AJ98" s="362"/>
      <c r="AK98" s="320">
        <v>23310</v>
      </c>
      <c r="AL98" s="320">
        <v>300</v>
      </c>
      <c r="AM98" s="320">
        <v>599</v>
      </c>
      <c r="AN98" s="316"/>
      <c r="AO98" s="321">
        <v>13.266348479999998</v>
      </c>
      <c r="AP98" s="321">
        <v>15.919618175999998</v>
      </c>
      <c r="AQ98" s="321">
        <v>20.695503628800001</v>
      </c>
      <c r="AR98" s="316"/>
      <c r="AS98" s="321">
        <v>15.958071360000002</v>
      </c>
      <c r="AT98" s="321">
        <v>17.20779984</v>
      </c>
      <c r="AU98" s="321">
        <v>22.370139792000003</v>
      </c>
      <c r="AV98" s="317"/>
      <c r="AW98" s="321">
        <v>27.128721312000007</v>
      </c>
      <c r="AX98" s="321">
        <v>29.253259728</v>
      </c>
      <c r="AY98" s="321">
        <v>38.029237646400006</v>
      </c>
      <c r="AZ98" s="365"/>
      <c r="BA98" s="321">
        <f t="shared" ref="BA98:BA102" si="47">ROUND(AO98*1.3,2)</f>
        <v>17.25</v>
      </c>
      <c r="BB98" s="321">
        <f t="shared" si="46"/>
        <v>20.7</v>
      </c>
      <c r="BC98" s="321">
        <f t="shared" si="46"/>
        <v>26.9</v>
      </c>
      <c r="BD98" s="316"/>
      <c r="BE98" s="321">
        <f t="shared" si="28"/>
        <v>20.75</v>
      </c>
      <c r="BF98" s="321">
        <f t="shared" si="28"/>
        <v>22.37</v>
      </c>
      <c r="BG98" s="321">
        <f t="shared" si="28"/>
        <v>29.08</v>
      </c>
      <c r="BH98" s="317"/>
      <c r="BI98" s="321">
        <f t="shared" si="29"/>
        <v>35.270000000000003</v>
      </c>
      <c r="BJ98" s="321">
        <f t="shared" si="29"/>
        <v>38.03</v>
      </c>
      <c r="BK98" s="321">
        <f t="shared" si="29"/>
        <v>49.44</v>
      </c>
      <c r="BL98" s="362">
        <f t="shared" si="41"/>
        <v>0.30028244215095445</v>
      </c>
    </row>
    <row r="99" spans="2:64">
      <c r="B99" s="156">
        <v>134</v>
      </c>
      <c r="C99" s="157" t="s">
        <v>6269</v>
      </c>
      <c r="D99" s="157" t="s">
        <v>6248</v>
      </c>
      <c r="E99" s="157">
        <v>7000</v>
      </c>
      <c r="F99" s="157">
        <v>7499</v>
      </c>
      <c r="G99" s="359">
        <v>16.739999999999998</v>
      </c>
      <c r="I99" s="360">
        <f t="shared" si="32"/>
        <v>21.76</v>
      </c>
      <c r="Y99" s="227">
        <v>54</v>
      </c>
      <c r="Z99" s="227">
        <v>2</v>
      </c>
      <c r="AA99" s="259" t="s">
        <v>316</v>
      </c>
      <c r="AB99" s="260" t="s">
        <v>341</v>
      </c>
      <c r="AC99" s="260">
        <v>650</v>
      </c>
      <c r="AD99" s="260">
        <v>699</v>
      </c>
      <c r="AE99" s="228">
        <v>4.58</v>
      </c>
      <c r="AF99" s="228">
        <v>4.76</v>
      </c>
      <c r="AG99" s="360">
        <f t="shared" si="36"/>
        <v>5.95</v>
      </c>
      <c r="AH99" s="360">
        <f t="shared" si="22"/>
        <v>6.19</v>
      </c>
      <c r="AI99" s="362">
        <f t="shared" si="43"/>
        <v>0.29912663755458518</v>
      </c>
      <c r="AJ99" s="362"/>
      <c r="AK99" s="320">
        <v>23310</v>
      </c>
      <c r="AL99" s="320">
        <v>600</v>
      </c>
      <c r="AM99" s="320">
        <v>899</v>
      </c>
      <c r="AN99" s="316"/>
      <c r="AO99" s="321">
        <v>14.56414344</v>
      </c>
      <c r="AP99" s="321">
        <v>19.1035418112</v>
      </c>
      <c r="AQ99" s="321">
        <v>24.83460435456</v>
      </c>
      <c r="AR99" s="316"/>
      <c r="AS99" s="321">
        <v>19.149685632000001</v>
      </c>
      <c r="AT99" s="321">
        <v>20.649359808000007</v>
      </c>
      <c r="AU99" s="321">
        <v>26.8441677504</v>
      </c>
      <c r="AV99" s="317"/>
      <c r="AW99" s="321">
        <v>32.554465574400005</v>
      </c>
      <c r="AX99" s="321">
        <v>35.103911673599995</v>
      </c>
      <c r="AY99" s="321">
        <v>45.635085175680004</v>
      </c>
      <c r="AZ99" s="365"/>
      <c r="BA99" s="321">
        <f t="shared" si="47"/>
        <v>18.93</v>
      </c>
      <c r="BB99" s="321">
        <f t="shared" si="46"/>
        <v>24.83</v>
      </c>
      <c r="BC99" s="321">
        <f t="shared" si="46"/>
        <v>32.28</v>
      </c>
      <c r="BD99" s="316"/>
      <c r="BE99" s="321">
        <f t="shared" si="28"/>
        <v>24.89</v>
      </c>
      <c r="BF99" s="321">
        <f t="shared" si="28"/>
        <v>26.84</v>
      </c>
      <c r="BG99" s="321">
        <f t="shared" si="28"/>
        <v>34.9</v>
      </c>
      <c r="BH99" s="317"/>
      <c r="BI99" s="321">
        <f t="shared" si="29"/>
        <v>42.32</v>
      </c>
      <c r="BJ99" s="321">
        <f t="shared" si="29"/>
        <v>45.64</v>
      </c>
      <c r="BK99" s="321">
        <f t="shared" si="29"/>
        <v>59.33</v>
      </c>
      <c r="BL99" s="362">
        <f t="shared" si="41"/>
        <v>0.29976747880752808</v>
      </c>
    </row>
    <row r="100" spans="2:64">
      <c r="B100" s="156">
        <v>134</v>
      </c>
      <c r="C100" s="157" t="s">
        <v>6269</v>
      </c>
      <c r="D100" s="157" t="s">
        <v>6250</v>
      </c>
      <c r="E100" s="157">
        <v>7500</v>
      </c>
      <c r="F100" s="157">
        <v>7999</v>
      </c>
      <c r="G100" s="359">
        <v>17.850000000000001</v>
      </c>
      <c r="I100" s="360">
        <f t="shared" si="32"/>
        <v>23.21</v>
      </c>
      <c r="Y100" s="227">
        <v>54</v>
      </c>
      <c r="Z100" s="227">
        <v>2</v>
      </c>
      <c r="AA100" s="259" t="s">
        <v>316</v>
      </c>
      <c r="AB100" s="260" t="s">
        <v>341</v>
      </c>
      <c r="AC100" s="260">
        <v>700</v>
      </c>
      <c r="AD100" s="260">
        <v>999</v>
      </c>
      <c r="AE100" s="228">
        <v>5</v>
      </c>
      <c r="AF100" s="228">
        <v>5.2</v>
      </c>
      <c r="AG100" s="360">
        <f t="shared" si="36"/>
        <v>6.5</v>
      </c>
      <c r="AH100" s="360">
        <f t="shared" si="22"/>
        <v>6.76</v>
      </c>
      <c r="AI100" s="362">
        <f t="shared" si="43"/>
        <v>0.3</v>
      </c>
      <c r="AJ100" s="362"/>
      <c r="AK100" s="320">
        <v>23310</v>
      </c>
      <c r="AL100" s="320">
        <v>900</v>
      </c>
      <c r="AM100" s="320">
        <v>1199</v>
      </c>
      <c r="AN100" s="316"/>
      <c r="AO100" s="321">
        <v>16.748764955999999</v>
      </c>
      <c r="AP100" s="321">
        <v>22.924250173439997</v>
      </c>
      <c r="AQ100" s="321">
        <v>29.801525225471998</v>
      </c>
      <c r="AR100" s="316"/>
      <c r="AS100" s="321">
        <v>22.022138476800002</v>
      </c>
      <c r="AT100" s="321">
        <v>24.779231769599999</v>
      </c>
      <c r="AU100" s="321">
        <v>32.213001300479995</v>
      </c>
      <c r="AV100" s="317"/>
      <c r="AW100" s="321">
        <v>37.437635410559992</v>
      </c>
      <c r="AX100" s="321">
        <v>42.124694008319999</v>
      </c>
      <c r="AY100" s="321">
        <v>54.762102210815989</v>
      </c>
      <c r="AZ100" s="365"/>
      <c r="BA100" s="321">
        <f t="shared" si="47"/>
        <v>21.77</v>
      </c>
      <c r="BB100" s="321">
        <f t="shared" si="46"/>
        <v>29.8</v>
      </c>
      <c r="BC100" s="321">
        <f t="shared" si="46"/>
        <v>38.74</v>
      </c>
      <c r="BD100" s="316"/>
      <c r="BE100" s="321">
        <f t="shared" si="28"/>
        <v>28.63</v>
      </c>
      <c r="BF100" s="321">
        <f t="shared" si="28"/>
        <v>32.21</v>
      </c>
      <c r="BG100" s="321">
        <f t="shared" si="28"/>
        <v>41.88</v>
      </c>
      <c r="BH100" s="317"/>
      <c r="BI100" s="321">
        <f t="shared" si="29"/>
        <v>48.67</v>
      </c>
      <c r="BJ100" s="321">
        <f t="shared" si="29"/>
        <v>54.76</v>
      </c>
      <c r="BK100" s="321">
        <f t="shared" si="29"/>
        <v>71.19</v>
      </c>
      <c r="BL100" s="362">
        <f t="shared" si="41"/>
        <v>0.2997973317549732</v>
      </c>
    </row>
    <row r="101" spans="2:64">
      <c r="B101" s="156">
        <v>134</v>
      </c>
      <c r="C101" s="157" t="s">
        <v>6269</v>
      </c>
      <c r="D101" s="157" t="s">
        <v>6252</v>
      </c>
      <c r="E101" s="157">
        <v>8000</v>
      </c>
      <c r="F101" s="157">
        <v>8499</v>
      </c>
      <c r="G101" s="359">
        <v>18.96</v>
      </c>
      <c r="I101" s="360">
        <f t="shared" si="32"/>
        <v>24.65</v>
      </c>
      <c r="Y101" s="227">
        <v>54</v>
      </c>
      <c r="Z101" s="227">
        <v>2</v>
      </c>
      <c r="AA101" s="259" t="s">
        <v>316</v>
      </c>
      <c r="AB101" s="260" t="s">
        <v>341</v>
      </c>
      <c r="AC101" s="260">
        <v>1000</v>
      </c>
      <c r="AD101" s="260">
        <v>1145</v>
      </c>
      <c r="AE101" s="228">
        <v>5.2</v>
      </c>
      <c r="AF101" s="228">
        <v>5.41</v>
      </c>
      <c r="AG101" s="360">
        <f t="shared" si="36"/>
        <v>6.76</v>
      </c>
      <c r="AH101" s="360">
        <f t="shared" si="22"/>
        <v>7.03</v>
      </c>
      <c r="AI101" s="362">
        <f t="shared" si="43"/>
        <v>0.29999999999999993</v>
      </c>
      <c r="AJ101" s="362"/>
      <c r="AK101" s="320">
        <v>23310</v>
      </c>
      <c r="AL101" s="320">
        <v>1200</v>
      </c>
      <c r="AM101" s="320">
        <v>1499</v>
      </c>
      <c r="AN101" s="316"/>
      <c r="AO101" s="321">
        <v>19.261079699399996</v>
      </c>
      <c r="AP101" s="321">
        <v>27.509100208127997</v>
      </c>
      <c r="AQ101" s="321">
        <v>35.761830270566399</v>
      </c>
      <c r="AR101" s="316"/>
      <c r="AS101" s="321">
        <v>25.325459248320001</v>
      </c>
      <c r="AT101" s="321">
        <v>29.735078123519997</v>
      </c>
      <c r="AU101" s="321">
        <v>38.655601560575995</v>
      </c>
      <c r="AV101" s="317"/>
      <c r="AW101" s="321">
        <v>43.053280722143995</v>
      </c>
      <c r="AX101" s="321">
        <v>50.549632809983983</v>
      </c>
      <c r="AY101" s="321">
        <v>65.714522652979198</v>
      </c>
      <c r="AZ101" s="365"/>
      <c r="BA101" s="321">
        <f t="shared" si="47"/>
        <v>25.04</v>
      </c>
      <c r="BB101" s="321">
        <f t="shared" si="46"/>
        <v>35.76</v>
      </c>
      <c r="BC101" s="321">
        <f t="shared" si="46"/>
        <v>46.49</v>
      </c>
      <c r="BD101" s="316"/>
      <c r="BE101" s="321">
        <f t="shared" si="28"/>
        <v>32.92</v>
      </c>
      <c r="BF101" s="321">
        <f t="shared" si="28"/>
        <v>38.659999999999997</v>
      </c>
      <c r="BG101" s="321">
        <f t="shared" si="28"/>
        <v>50.25</v>
      </c>
      <c r="BH101" s="317"/>
      <c r="BI101" s="321">
        <f t="shared" si="29"/>
        <v>55.97</v>
      </c>
      <c r="BJ101" s="321">
        <f t="shared" si="29"/>
        <v>65.709999999999994</v>
      </c>
      <c r="BK101" s="321">
        <f t="shared" si="29"/>
        <v>85.43</v>
      </c>
      <c r="BL101" s="362">
        <f t="shared" si="41"/>
        <v>0.30003096351758635</v>
      </c>
    </row>
    <row r="102" spans="2:64">
      <c r="B102" s="156">
        <v>134</v>
      </c>
      <c r="C102" s="157" t="s">
        <v>6269</v>
      </c>
      <c r="D102" s="157" t="s">
        <v>6255</v>
      </c>
      <c r="E102" s="157">
        <v>8500</v>
      </c>
      <c r="F102" s="157">
        <v>8999</v>
      </c>
      <c r="G102" s="359">
        <v>20.07</v>
      </c>
      <c r="I102" s="360">
        <f t="shared" si="32"/>
        <v>26.09</v>
      </c>
      <c r="Y102" s="223">
        <v>54</v>
      </c>
      <c r="Z102" s="223">
        <v>2</v>
      </c>
      <c r="AA102" s="223" t="s">
        <v>316</v>
      </c>
      <c r="AB102" s="257" t="s">
        <v>351</v>
      </c>
      <c r="AC102" s="258">
        <v>16</v>
      </c>
      <c r="AD102" s="258">
        <v>499</v>
      </c>
      <c r="AE102" s="224">
        <v>4.45</v>
      </c>
      <c r="AF102" s="224">
        <v>4.63</v>
      </c>
      <c r="AG102" s="360">
        <f t="shared" si="36"/>
        <v>5.79</v>
      </c>
      <c r="AH102" s="360">
        <f t="shared" si="22"/>
        <v>6.02</v>
      </c>
      <c r="AI102" s="362">
        <f t="shared" si="43"/>
        <v>0.30112359550561796</v>
      </c>
      <c r="AJ102" s="362"/>
      <c r="AK102" s="320">
        <v>23310</v>
      </c>
      <c r="AL102" s="320">
        <v>1500</v>
      </c>
      <c r="AM102" s="320">
        <v>1799</v>
      </c>
      <c r="AN102" s="316"/>
      <c r="AO102" s="321">
        <v>22.150241654309998</v>
      </c>
      <c r="AP102" s="321">
        <v>33.010920249753596</v>
      </c>
      <c r="AQ102" s="321">
        <v>42.914196324679672</v>
      </c>
      <c r="AR102" s="316"/>
      <c r="AS102" s="321">
        <v>29.124278135567994</v>
      </c>
      <c r="AT102" s="321">
        <v>35.682093748223998</v>
      </c>
      <c r="AU102" s="321">
        <v>46.386721872691197</v>
      </c>
      <c r="AV102" s="317"/>
      <c r="AW102" s="321">
        <v>49.511272830465586</v>
      </c>
      <c r="AX102" s="321">
        <v>60.659559371980798</v>
      </c>
      <c r="AY102" s="321">
        <v>78.857427183575041</v>
      </c>
      <c r="AZ102" s="365"/>
      <c r="BA102" s="321">
        <f t="shared" si="47"/>
        <v>28.8</v>
      </c>
      <c r="BB102" s="321">
        <f t="shared" si="46"/>
        <v>42.91</v>
      </c>
      <c r="BC102" s="321">
        <f t="shared" si="46"/>
        <v>55.79</v>
      </c>
      <c r="BD102" s="316"/>
      <c r="BE102" s="321">
        <f t="shared" si="28"/>
        <v>37.86</v>
      </c>
      <c r="BF102" s="321">
        <f t="shared" si="28"/>
        <v>46.39</v>
      </c>
      <c r="BG102" s="321">
        <f t="shared" si="28"/>
        <v>60.3</v>
      </c>
      <c r="BH102" s="317"/>
      <c r="BI102" s="321">
        <f t="shared" si="29"/>
        <v>64.36</v>
      </c>
      <c r="BJ102" s="321">
        <f t="shared" si="29"/>
        <v>78.86</v>
      </c>
      <c r="BK102" s="321">
        <f t="shared" si="29"/>
        <v>102.51</v>
      </c>
      <c r="BL102" s="362">
        <f t="shared" si="41"/>
        <v>0.30021154845487169</v>
      </c>
    </row>
    <row r="103" spans="2:64">
      <c r="B103" s="156">
        <v>134</v>
      </c>
      <c r="C103" s="157" t="s">
        <v>6269</v>
      </c>
      <c r="D103" s="157" t="s">
        <v>6256</v>
      </c>
      <c r="E103" s="157">
        <v>9000</v>
      </c>
      <c r="F103" s="157">
        <v>9499</v>
      </c>
      <c r="G103" s="359">
        <v>21.18</v>
      </c>
      <c r="I103" s="360">
        <f t="shared" si="32"/>
        <v>27.53</v>
      </c>
      <c r="Y103" s="227">
        <v>54</v>
      </c>
      <c r="Z103" s="227">
        <v>2</v>
      </c>
      <c r="AA103" s="227" t="s">
        <v>316</v>
      </c>
      <c r="AB103" s="259" t="s">
        <v>351</v>
      </c>
      <c r="AC103" s="260">
        <v>500</v>
      </c>
      <c r="AD103" s="260">
        <v>649</v>
      </c>
      <c r="AE103" s="228">
        <v>4.66</v>
      </c>
      <c r="AF103" s="228">
        <v>4.8499999999999996</v>
      </c>
      <c r="AG103" s="360">
        <f t="shared" si="36"/>
        <v>6.06</v>
      </c>
      <c r="AH103" s="360">
        <f t="shared" si="22"/>
        <v>6.3</v>
      </c>
      <c r="AI103" s="362">
        <f t="shared" si="43"/>
        <v>0.30042918454935608</v>
      </c>
      <c r="AJ103" s="362"/>
      <c r="AK103" s="322">
        <v>23211</v>
      </c>
      <c r="AL103" s="322">
        <v>1</v>
      </c>
      <c r="AM103" s="322">
        <v>299</v>
      </c>
      <c r="AN103" s="316"/>
      <c r="AO103" s="323">
        <v>9.8704828799999991</v>
      </c>
      <c r="AP103" s="323">
        <v>13.553498879999996</v>
      </c>
      <c r="AQ103" s="323">
        <v>17.619548543999997</v>
      </c>
      <c r="AR103" s="316"/>
      <c r="AS103" s="323">
        <v>10.852620479999997</v>
      </c>
      <c r="AT103" s="323">
        <v>15.396091570120477</v>
      </c>
      <c r="AU103" s="323">
        <v>20.014919041156624</v>
      </c>
      <c r="AV103" s="317"/>
      <c r="AW103" s="323">
        <v>18.449454815999996</v>
      </c>
      <c r="AX103" s="323">
        <v>26.17335566920481</v>
      </c>
      <c r="AY103" s="323">
        <v>34.02536236996626</v>
      </c>
      <c r="AZ103" s="365"/>
      <c r="BA103" s="323">
        <f>ROUND(AO103*1.3,2)</f>
        <v>12.83</v>
      </c>
      <c r="BB103" s="323">
        <f t="shared" si="46"/>
        <v>17.62</v>
      </c>
      <c r="BC103" s="323">
        <f t="shared" si="46"/>
        <v>22.91</v>
      </c>
      <c r="BD103" s="316"/>
      <c r="BE103" s="323">
        <f t="shared" si="28"/>
        <v>14.11</v>
      </c>
      <c r="BF103" s="323">
        <f t="shared" si="28"/>
        <v>20.010000000000002</v>
      </c>
      <c r="BG103" s="323">
        <f t="shared" si="28"/>
        <v>26.02</v>
      </c>
      <c r="BH103" s="317"/>
      <c r="BI103" s="323">
        <f t="shared" si="29"/>
        <v>23.98</v>
      </c>
      <c r="BJ103" s="323">
        <f t="shared" si="29"/>
        <v>34.03</v>
      </c>
      <c r="BK103" s="323">
        <f t="shared" si="29"/>
        <v>44.23</v>
      </c>
      <c r="BL103" s="362">
        <f t="shared" si="41"/>
        <v>0.29983508972967299</v>
      </c>
    </row>
    <row r="104" spans="2:64">
      <c r="B104" s="159">
        <v>134</v>
      </c>
      <c r="C104" s="160" t="s">
        <v>6269</v>
      </c>
      <c r="D104" s="160" t="s">
        <v>6257</v>
      </c>
      <c r="E104" s="160">
        <v>9500</v>
      </c>
      <c r="F104" s="160">
        <v>10000</v>
      </c>
      <c r="G104" s="367">
        <v>22.29</v>
      </c>
      <c r="I104" s="360">
        <f t="shared" si="32"/>
        <v>28.98</v>
      </c>
      <c r="Y104" s="227">
        <v>54</v>
      </c>
      <c r="Z104" s="227">
        <v>2</v>
      </c>
      <c r="AA104" s="227" t="s">
        <v>316</v>
      </c>
      <c r="AB104" s="259" t="s">
        <v>351</v>
      </c>
      <c r="AC104" s="260">
        <v>650</v>
      </c>
      <c r="AD104" s="260">
        <v>799</v>
      </c>
      <c r="AE104" s="228">
        <v>4.87</v>
      </c>
      <c r="AF104" s="228">
        <v>5.0599999999999996</v>
      </c>
      <c r="AG104" s="360">
        <f t="shared" si="36"/>
        <v>6.33</v>
      </c>
      <c r="AH104" s="360">
        <f t="shared" si="22"/>
        <v>6.58</v>
      </c>
      <c r="AI104" s="362">
        <f t="shared" si="43"/>
        <v>0.29979466119096509</v>
      </c>
      <c r="AJ104" s="362"/>
      <c r="AK104" s="322">
        <v>23211</v>
      </c>
      <c r="AL104" s="322">
        <v>300</v>
      </c>
      <c r="AM104" s="322">
        <v>599</v>
      </c>
      <c r="AN104" s="316"/>
      <c r="AO104" s="323">
        <v>13.553498879999996</v>
      </c>
      <c r="AP104" s="323">
        <v>16.264198655999994</v>
      </c>
      <c r="AQ104" s="323">
        <v>21.143458252799995</v>
      </c>
      <c r="AR104" s="316"/>
      <c r="AS104" s="323">
        <v>16.30348416</v>
      </c>
      <c r="AT104" s="323">
        <v>17.580263039999998</v>
      </c>
      <c r="AU104" s="323">
        <v>22.854341951999999</v>
      </c>
      <c r="AV104" s="317"/>
      <c r="AW104" s="323">
        <v>27.715923071999999</v>
      </c>
      <c r="AX104" s="323">
        <v>29.886447167999997</v>
      </c>
      <c r="AY104" s="323">
        <v>38.852381318399999</v>
      </c>
      <c r="AZ104" s="365"/>
      <c r="BA104" s="323">
        <f t="shared" ref="BA104:BC119" si="48">ROUND(AO104*1.3,2)</f>
        <v>17.62</v>
      </c>
      <c r="BB104" s="323">
        <f t="shared" si="46"/>
        <v>21.14</v>
      </c>
      <c r="BC104" s="323">
        <f t="shared" si="46"/>
        <v>27.49</v>
      </c>
      <c r="BD104" s="316"/>
      <c r="BE104" s="323">
        <f t="shared" si="28"/>
        <v>21.19</v>
      </c>
      <c r="BF104" s="323">
        <f t="shared" si="28"/>
        <v>22.85</v>
      </c>
      <c r="BG104" s="323">
        <f t="shared" si="28"/>
        <v>29.71</v>
      </c>
      <c r="BH104" s="317"/>
      <c r="BI104" s="323">
        <f t="shared" si="29"/>
        <v>36.03</v>
      </c>
      <c r="BJ104" s="323">
        <f t="shared" si="29"/>
        <v>38.85</v>
      </c>
      <c r="BK104" s="323">
        <f t="shared" si="29"/>
        <v>50.51</v>
      </c>
      <c r="BL104" s="362">
        <f t="shared" si="41"/>
        <v>0.30003330918488308</v>
      </c>
    </row>
    <row r="105" spans="2:64">
      <c r="B105" s="156">
        <v>136</v>
      </c>
      <c r="C105" s="157" t="s">
        <v>6270</v>
      </c>
      <c r="D105" s="157" t="s">
        <v>6180</v>
      </c>
      <c r="E105" s="157">
        <v>16</v>
      </c>
      <c r="F105" s="157">
        <v>249</v>
      </c>
      <c r="G105" s="359">
        <v>1.36</v>
      </c>
      <c r="I105" s="360">
        <f t="shared" si="32"/>
        <v>1.77</v>
      </c>
      <c r="Y105" s="227">
        <v>54</v>
      </c>
      <c r="Z105" s="227">
        <v>2</v>
      </c>
      <c r="AA105" s="227" t="s">
        <v>316</v>
      </c>
      <c r="AB105" s="259" t="s">
        <v>351</v>
      </c>
      <c r="AC105" s="260">
        <v>800</v>
      </c>
      <c r="AD105" s="260">
        <v>1099</v>
      </c>
      <c r="AE105" s="228">
        <v>5.29</v>
      </c>
      <c r="AF105" s="228">
        <v>5.5</v>
      </c>
      <c r="AG105" s="360">
        <f t="shared" si="36"/>
        <v>6.88</v>
      </c>
      <c r="AH105" s="360">
        <f t="shared" si="22"/>
        <v>7.16</v>
      </c>
      <c r="AI105" s="362">
        <f t="shared" si="43"/>
        <v>0.30056710775047257</v>
      </c>
      <c r="AJ105" s="362"/>
      <c r="AK105" s="322">
        <v>23211</v>
      </c>
      <c r="AL105" s="322">
        <v>600</v>
      </c>
      <c r="AM105" s="322">
        <v>899</v>
      </c>
      <c r="AN105" s="316"/>
      <c r="AO105" s="323">
        <v>14.87938464</v>
      </c>
      <c r="AP105" s="323">
        <v>19.517038387199996</v>
      </c>
      <c r="AQ105" s="323">
        <v>25.372149903359993</v>
      </c>
      <c r="AR105" s="316"/>
      <c r="AS105" s="323">
        <v>19.564180992000001</v>
      </c>
      <c r="AT105" s="323">
        <v>21.096315648000001</v>
      </c>
      <c r="AU105" s="323">
        <v>27.425210342399996</v>
      </c>
      <c r="AV105" s="317"/>
      <c r="AW105" s="323">
        <v>33.2591076864</v>
      </c>
      <c r="AX105" s="323">
        <v>35.863736601599989</v>
      </c>
      <c r="AY105" s="323">
        <v>46.622857582079995</v>
      </c>
      <c r="AZ105" s="365"/>
      <c r="BA105" s="323">
        <f t="shared" si="48"/>
        <v>19.34</v>
      </c>
      <c r="BB105" s="323">
        <f t="shared" si="46"/>
        <v>25.37</v>
      </c>
      <c r="BC105" s="323">
        <f t="shared" si="46"/>
        <v>32.979999999999997</v>
      </c>
      <c r="BD105" s="316"/>
      <c r="BE105" s="323">
        <f t="shared" si="28"/>
        <v>25.43</v>
      </c>
      <c r="BF105" s="323">
        <f t="shared" si="28"/>
        <v>27.43</v>
      </c>
      <c r="BG105" s="323">
        <f t="shared" si="28"/>
        <v>35.65</v>
      </c>
      <c r="BH105" s="317"/>
      <c r="BI105" s="323">
        <f t="shared" si="29"/>
        <v>43.24</v>
      </c>
      <c r="BJ105" s="323">
        <f t="shared" si="29"/>
        <v>46.62</v>
      </c>
      <c r="BK105" s="323">
        <f t="shared" si="29"/>
        <v>60.61</v>
      </c>
      <c r="BL105" s="362">
        <f t="shared" si="41"/>
        <v>0.29978493519205107</v>
      </c>
    </row>
    <row r="106" spans="2:64">
      <c r="B106" s="156">
        <v>136</v>
      </c>
      <c r="C106" s="157" t="s">
        <v>6270</v>
      </c>
      <c r="D106" s="157" t="s">
        <v>6185</v>
      </c>
      <c r="E106" s="157">
        <v>250</v>
      </c>
      <c r="F106" s="157">
        <v>299</v>
      </c>
      <c r="G106" s="359">
        <v>1.49</v>
      </c>
      <c r="I106" s="360">
        <f t="shared" si="32"/>
        <v>1.94</v>
      </c>
      <c r="Y106" s="227">
        <v>54</v>
      </c>
      <c r="Z106" s="227">
        <v>2</v>
      </c>
      <c r="AA106" s="227" t="s">
        <v>316</v>
      </c>
      <c r="AB106" s="259" t="s">
        <v>351</v>
      </c>
      <c r="AC106" s="260">
        <v>1100</v>
      </c>
      <c r="AD106" s="260">
        <v>1299</v>
      </c>
      <c r="AE106" s="228">
        <v>5.57</v>
      </c>
      <c r="AF106" s="228">
        <v>5.79</v>
      </c>
      <c r="AG106" s="360">
        <f t="shared" si="36"/>
        <v>7.24</v>
      </c>
      <c r="AH106" s="360">
        <f t="shared" si="22"/>
        <v>7.53</v>
      </c>
      <c r="AI106" s="362">
        <f t="shared" si="43"/>
        <v>0.29982046678635543</v>
      </c>
      <c r="AJ106" s="362"/>
      <c r="AK106" s="322">
        <v>23211</v>
      </c>
      <c r="AL106" s="322">
        <v>900</v>
      </c>
      <c r="AM106" s="322">
        <v>1199</v>
      </c>
      <c r="AN106" s="316"/>
      <c r="AO106" s="323">
        <v>17.111292335999995</v>
      </c>
      <c r="AP106" s="323">
        <v>23.420446064639989</v>
      </c>
      <c r="AQ106" s="323">
        <v>30.446579884031994</v>
      </c>
      <c r="AR106" s="316"/>
      <c r="AS106" s="323">
        <v>22.498808140799994</v>
      </c>
      <c r="AT106" s="323">
        <v>25.315578777599995</v>
      </c>
      <c r="AU106" s="323">
        <v>32.910252410879991</v>
      </c>
      <c r="AV106" s="317"/>
      <c r="AW106" s="323">
        <v>38.247973839359986</v>
      </c>
      <c r="AX106" s="323">
        <v>43.036483921919988</v>
      </c>
      <c r="AY106" s="323">
        <v>55.947429098495981</v>
      </c>
      <c r="AZ106" s="365"/>
      <c r="BA106" s="323">
        <f t="shared" si="48"/>
        <v>22.24</v>
      </c>
      <c r="BB106" s="323">
        <f t="shared" si="46"/>
        <v>30.45</v>
      </c>
      <c r="BC106" s="323">
        <f t="shared" si="46"/>
        <v>39.58</v>
      </c>
      <c r="BD106" s="316"/>
      <c r="BE106" s="323">
        <f t="shared" si="28"/>
        <v>29.25</v>
      </c>
      <c r="BF106" s="323">
        <f t="shared" si="28"/>
        <v>32.909999999999997</v>
      </c>
      <c r="BG106" s="323">
        <f t="shared" si="28"/>
        <v>42.78</v>
      </c>
      <c r="BH106" s="317"/>
      <c r="BI106" s="323">
        <f t="shared" si="29"/>
        <v>49.72</v>
      </c>
      <c r="BJ106" s="323">
        <f t="shared" si="29"/>
        <v>55.95</v>
      </c>
      <c r="BK106" s="323">
        <f t="shared" si="29"/>
        <v>72.73</v>
      </c>
      <c r="BL106" s="362">
        <f t="shared" si="41"/>
        <v>0.29972649425256159</v>
      </c>
    </row>
    <row r="107" spans="2:64">
      <c r="B107" s="156">
        <v>136</v>
      </c>
      <c r="C107" s="157" t="s">
        <v>6270</v>
      </c>
      <c r="D107" s="157" t="s">
        <v>6187</v>
      </c>
      <c r="E107" s="157">
        <v>300</v>
      </c>
      <c r="F107" s="157">
        <v>349</v>
      </c>
      <c r="G107" s="359">
        <v>1.62</v>
      </c>
      <c r="I107" s="360">
        <f t="shared" si="32"/>
        <v>2.11</v>
      </c>
      <c r="Y107" s="236">
        <v>54</v>
      </c>
      <c r="Z107" s="236">
        <v>2</v>
      </c>
      <c r="AA107" s="236" t="s">
        <v>316</v>
      </c>
      <c r="AB107" s="261" t="s">
        <v>351</v>
      </c>
      <c r="AC107" s="236">
        <v>1300</v>
      </c>
      <c r="AD107" s="236">
        <v>1499</v>
      </c>
      <c r="AE107" s="237">
        <v>9.39</v>
      </c>
      <c r="AF107" s="237">
        <v>9.77</v>
      </c>
      <c r="AG107" s="360">
        <f t="shared" si="36"/>
        <v>12.21</v>
      </c>
      <c r="AH107" s="360">
        <f t="shared" si="22"/>
        <v>12.7</v>
      </c>
      <c r="AI107" s="362">
        <f t="shared" si="43"/>
        <v>0.30031948881789139</v>
      </c>
      <c r="AJ107" s="362"/>
      <c r="AK107" s="322">
        <v>23211</v>
      </c>
      <c r="AL107" s="322">
        <v>1200</v>
      </c>
      <c r="AM107" s="322">
        <v>1499</v>
      </c>
      <c r="AN107" s="316"/>
      <c r="AO107" s="323">
        <v>19.677986186399995</v>
      </c>
      <c r="AP107" s="323">
        <v>28.104535277567994</v>
      </c>
      <c r="AQ107" s="323">
        <v>36.535895860838394</v>
      </c>
      <c r="AR107" s="316"/>
      <c r="AS107" s="323">
        <v>25.873629361919996</v>
      </c>
      <c r="AT107" s="323">
        <v>30.378694533119994</v>
      </c>
      <c r="AU107" s="323">
        <v>39.492302893055992</v>
      </c>
      <c r="AV107" s="317"/>
      <c r="AW107" s="323">
        <v>43.985169915263988</v>
      </c>
      <c r="AX107" s="323">
        <v>51.643780706303978</v>
      </c>
      <c r="AY107" s="323">
        <v>67.136914918195188</v>
      </c>
      <c r="AZ107" s="365"/>
      <c r="BA107" s="323">
        <f t="shared" si="48"/>
        <v>25.58</v>
      </c>
      <c r="BB107" s="323">
        <f t="shared" si="46"/>
        <v>36.54</v>
      </c>
      <c r="BC107" s="323">
        <f t="shared" si="46"/>
        <v>47.5</v>
      </c>
      <c r="BD107" s="316"/>
      <c r="BE107" s="323">
        <f t="shared" si="28"/>
        <v>33.64</v>
      </c>
      <c r="BF107" s="323">
        <f t="shared" si="28"/>
        <v>39.49</v>
      </c>
      <c r="BG107" s="323">
        <f t="shared" si="28"/>
        <v>51.34</v>
      </c>
      <c r="BH107" s="317"/>
      <c r="BI107" s="323">
        <f t="shared" si="29"/>
        <v>57.18</v>
      </c>
      <c r="BJ107" s="323">
        <f t="shared" si="29"/>
        <v>67.14</v>
      </c>
      <c r="BK107" s="323">
        <f t="shared" si="29"/>
        <v>87.28</v>
      </c>
      <c r="BL107" s="362">
        <f t="shared" si="41"/>
        <v>0.29992976708556945</v>
      </c>
    </row>
    <row r="108" spans="2:64">
      <c r="B108" s="156">
        <v>136</v>
      </c>
      <c r="C108" s="157" t="s">
        <v>6270</v>
      </c>
      <c r="D108" s="157" t="s">
        <v>6193</v>
      </c>
      <c r="E108" s="157">
        <v>350</v>
      </c>
      <c r="F108" s="157">
        <v>399</v>
      </c>
      <c r="G108" s="359">
        <v>1.75</v>
      </c>
      <c r="I108" s="360">
        <f t="shared" si="32"/>
        <v>2.2799999999999998</v>
      </c>
      <c r="Y108" s="236">
        <v>54</v>
      </c>
      <c r="Z108" s="236">
        <v>2</v>
      </c>
      <c r="AA108" s="236" t="s">
        <v>316</v>
      </c>
      <c r="AB108" s="261" t="s">
        <v>351</v>
      </c>
      <c r="AC108" s="236">
        <v>1500</v>
      </c>
      <c r="AD108" s="236">
        <v>1699</v>
      </c>
      <c r="AE108" s="237">
        <v>10.08</v>
      </c>
      <c r="AF108" s="237">
        <v>10.48</v>
      </c>
      <c r="AG108" s="360">
        <f t="shared" si="36"/>
        <v>13.1</v>
      </c>
      <c r="AH108" s="360">
        <f t="shared" si="22"/>
        <v>13.62</v>
      </c>
      <c r="AI108" s="362">
        <f t="shared" si="43"/>
        <v>0.29960317460317454</v>
      </c>
      <c r="AJ108" s="362"/>
      <c r="AK108" s="322">
        <v>23211</v>
      </c>
      <c r="AL108" s="322">
        <v>1500</v>
      </c>
      <c r="AM108" s="322">
        <v>1799</v>
      </c>
      <c r="AN108" s="316"/>
      <c r="AO108" s="323">
        <v>22.629684114359993</v>
      </c>
      <c r="AP108" s="323">
        <v>33.725442333081588</v>
      </c>
      <c r="AQ108" s="323">
        <v>43.843075033006066</v>
      </c>
      <c r="AR108" s="316"/>
      <c r="AS108" s="323">
        <v>29.75467376620799</v>
      </c>
      <c r="AT108" s="323">
        <v>36.454433439743994</v>
      </c>
      <c r="AU108" s="323">
        <v>47.390763471667185</v>
      </c>
      <c r="AV108" s="317"/>
      <c r="AW108" s="323">
        <v>50.582945402553577</v>
      </c>
      <c r="AX108" s="323">
        <v>61.97253684756479</v>
      </c>
      <c r="AY108" s="323">
        <v>80.564297901834223</v>
      </c>
      <c r="AZ108" s="365"/>
      <c r="BA108" s="323">
        <f t="shared" si="48"/>
        <v>29.42</v>
      </c>
      <c r="BB108" s="323">
        <f t="shared" si="48"/>
        <v>43.84</v>
      </c>
      <c r="BC108" s="323">
        <f t="shared" si="48"/>
        <v>57</v>
      </c>
      <c r="BD108" s="316"/>
      <c r="BE108" s="323">
        <f t="shared" si="28"/>
        <v>38.68</v>
      </c>
      <c r="BF108" s="323">
        <f t="shared" si="28"/>
        <v>47.39</v>
      </c>
      <c r="BG108" s="323">
        <f t="shared" si="28"/>
        <v>61.61</v>
      </c>
      <c r="BH108" s="317"/>
      <c r="BI108" s="323">
        <f t="shared" si="29"/>
        <v>65.760000000000005</v>
      </c>
      <c r="BJ108" s="323">
        <f t="shared" si="29"/>
        <v>80.56</v>
      </c>
      <c r="BK108" s="323">
        <f t="shared" si="29"/>
        <v>104.73</v>
      </c>
      <c r="BL108" s="362">
        <f t="shared" si="41"/>
        <v>0.30006233632448787</v>
      </c>
    </row>
    <row r="109" spans="2:64">
      <c r="B109" s="156">
        <v>136</v>
      </c>
      <c r="C109" s="157" t="s">
        <v>6270</v>
      </c>
      <c r="D109" s="157" t="s">
        <v>6196</v>
      </c>
      <c r="E109" s="157">
        <v>400</v>
      </c>
      <c r="F109" s="157">
        <v>449</v>
      </c>
      <c r="G109" s="359">
        <v>1.88</v>
      </c>
      <c r="H109" s="296"/>
      <c r="I109" s="360">
        <f t="shared" si="32"/>
        <v>2.44</v>
      </c>
      <c r="Y109" s="236">
        <v>54</v>
      </c>
      <c r="Z109" s="236">
        <v>2</v>
      </c>
      <c r="AA109" s="236" t="s">
        <v>316</v>
      </c>
      <c r="AB109" s="261" t="s">
        <v>351</v>
      </c>
      <c r="AC109" s="236">
        <v>1700</v>
      </c>
      <c r="AD109" s="236">
        <v>1899</v>
      </c>
      <c r="AE109" s="237">
        <v>10.77</v>
      </c>
      <c r="AF109" s="237">
        <v>11.2</v>
      </c>
      <c r="AG109" s="360">
        <f t="shared" si="36"/>
        <v>14</v>
      </c>
      <c r="AH109" s="360">
        <f t="shared" si="22"/>
        <v>14.56</v>
      </c>
      <c r="AI109" s="362">
        <f t="shared" si="43"/>
        <v>0.29990714948932223</v>
      </c>
      <c r="AJ109" s="362"/>
      <c r="AK109" s="327">
        <v>23311</v>
      </c>
      <c r="AL109" s="327">
        <v>1</v>
      </c>
      <c r="AM109" s="327">
        <v>299</v>
      </c>
      <c r="AN109" s="316"/>
      <c r="AO109" s="328">
        <v>10.857531168</v>
      </c>
      <c r="AP109" s="328">
        <v>14.908848767999997</v>
      </c>
      <c r="AQ109" s="328">
        <v>19.3815033984</v>
      </c>
      <c r="AR109" s="316"/>
      <c r="AS109" s="328">
        <v>11.937882527999998</v>
      </c>
      <c r="AT109" s="328">
        <v>16.935700727132527</v>
      </c>
      <c r="AU109" s="328">
        <v>22.016410945272288</v>
      </c>
      <c r="AV109" s="317"/>
      <c r="AW109" s="328">
        <v>20.294400297599996</v>
      </c>
      <c r="AX109" s="328">
        <v>28.790691236125294</v>
      </c>
      <c r="AY109" s="328">
        <v>37.427898606962891</v>
      </c>
      <c r="AZ109" s="365"/>
      <c r="BA109" s="328">
        <f>ROUND(AO109*1.3,2)</f>
        <v>14.11</v>
      </c>
      <c r="BB109" s="328">
        <f t="shared" si="48"/>
        <v>19.38</v>
      </c>
      <c r="BC109" s="328">
        <f t="shared" si="48"/>
        <v>25.2</v>
      </c>
      <c r="BD109" s="316"/>
      <c r="BE109" s="328">
        <f t="shared" si="28"/>
        <v>15.52</v>
      </c>
      <c r="BF109" s="328">
        <f t="shared" si="28"/>
        <v>22.02</v>
      </c>
      <c r="BG109" s="328">
        <f t="shared" si="28"/>
        <v>28.62</v>
      </c>
      <c r="BH109" s="317"/>
      <c r="BI109" s="328">
        <f t="shared" si="29"/>
        <v>26.38</v>
      </c>
      <c r="BJ109" s="328">
        <f t="shared" si="29"/>
        <v>37.43</v>
      </c>
      <c r="BK109" s="328">
        <f t="shared" si="29"/>
        <v>48.66</v>
      </c>
      <c r="BL109" s="362">
        <f t="shared" si="41"/>
        <v>0.29955878382241086</v>
      </c>
    </row>
    <row r="110" spans="2:64">
      <c r="B110" s="156">
        <v>136</v>
      </c>
      <c r="C110" s="157" t="s">
        <v>6270</v>
      </c>
      <c r="D110" s="157" t="s">
        <v>6199</v>
      </c>
      <c r="E110" s="157">
        <v>450</v>
      </c>
      <c r="F110" s="157">
        <v>499</v>
      </c>
      <c r="G110" s="359">
        <v>2.0099999999999998</v>
      </c>
      <c r="H110" s="296"/>
      <c r="I110" s="360">
        <f t="shared" si="32"/>
        <v>2.61</v>
      </c>
      <c r="Y110" s="223">
        <v>54</v>
      </c>
      <c r="Z110" s="223">
        <v>2</v>
      </c>
      <c r="AA110" s="223" t="s">
        <v>359</v>
      </c>
      <c r="AB110" s="223" t="s">
        <v>360</v>
      </c>
      <c r="AC110" s="223">
        <v>16</v>
      </c>
      <c r="AD110" s="223">
        <v>349</v>
      </c>
      <c r="AE110" s="224">
        <v>5.45</v>
      </c>
      <c r="AF110" s="224">
        <v>5.67</v>
      </c>
      <c r="AG110" s="360">
        <f t="shared" si="36"/>
        <v>7.09</v>
      </c>
      <c r="AH110" s="360">
        <f t="shared" ref="AH110:AH170" si="49">ROUND(AG110*1.04,2)</f>
        <v>7.37</v>
      </c>
      <c r="AI110" s="362">
        <f t="shared" si="43"/>
        <v>0.30091743119266046</v>
      </c>
      <c r="AJ110" s="362"/>
      <c r="AK110" s="327">
        <v>23311</v>
      </c>
      <c r="AL110" s="327">
        <v>300</v>
      </c>
      <c r="AM110" s="327">
        <v>599</v>
      </c>
      <c r="AN110" s="316"/>
      <c r="AO110" s="328">
        <v>14.908848767999997</v>
      </c>
      <c r="AP110" s="328">
        <v>17.890618521599997</v>
      </c>
      <c r="AQ110" s="328">
        <v>23.257804078079996</v>
      </c>
      <c r="AR110" s="316"/>
      <c r="AS110" s="328">
        <v>17.933832576</v>
      </c>
      <c r="AT110" s="328">
        <v>19.338289344</v>
      </c>
      <c r="AU110" s="328">
        <v>25.139776147199999</v>
      </c>
      <c r="AV110" s="317"/>
      <c r="AW110" s="328">
        <v>30.487515379200001</v>
      </c>
      <c r="AX110" s="328">
        <v>32.8750918848</v>
      </c>
      <c r="AY110" s="328">
        <v>42.737619450240004</v>
      </c>
      <c r="AZ110" s="365"/>
      <c r="BA110" s="328">
        <f t="shared" ref="BA110:BA114" si="50">ROUND(AO110*1.3,2)</f>
        <v>19.38</v>
      </c>
      <c r="BB110" s="328">
        <f t="shared" si="48"/>
        <v>23.26</v>
      </c>
      <c r="BC110" s="328">
        <f t="shared" si="48"/>
        <v>30.24</v>
      </c>
      <c r="BD110" s="316"/>
      <c r="BE110" s="328">
        <f t="shared" si="28"/>
        <v>23.31</v>
      </c>
      <c r="BF110" s="328">
        <f t="shared" si="28"/>
        <v>25.14</v>
      </c>
      <c r="BG110" s="328">
        <f t="shared" si="28"/>
        <v>32.68</v>
      </c>
      <c r="BH110" s="317"/>
      <c r="BI110" s="328">
        <f t="shared" si="29"/>
        <v>39.630000000000003</v>
      </c>
      <c r="BJ110" s="328">
        <f t="shared" si="29"/>
        <v>42.74</v>
      </c>
      <c r="BK110" s="328">
        <f t="shared" si="29"/>
        <v>55.56</v>
      </c>
      <c r="BL110" s="362">
        <f t="shared" si="41"/>
        <v>0.29989916066469036</v>
      </c>
    </row>
    <row r="111" spans="2:64">
      <c r="B111" s="156">
        <v>136</v>
      </c>
      <c r="C111" s="157" t="s">
        <v>6270</v>
      </c>
      <c r="D111" s="157" t="s">
        <v>6201</v>
      </c>
      <c r="E111" s="157">
        <v>500</v>
      </c>
      <c r="F111" s="157">
        <v>549</v>
      </c>
      <c r="G111" s="359">
        <v>2.14</v>
      </c>
      <c r="H111" s="296"/>
      <c r="I111" s="360">
        <f t="shared" si="32"/>
        <v>2.78</v>
      </c>
      <c r="Y111" s="227">
        <v>54</v>
      </c>
      <c r="Z111" s="227">
        <v>2</v>
      </c>
      <c r="AA111" s="227" t="s">
        <v>359</v>
      </c>
      <c r="AB111" s="227" t="s">
        <v>360</v>
      </c>
      <c r="AC111" s="227">
        <v>350</v>
      </c>
      <c r="AD111" s="227">
        <v>499</v>
      </c>
      <c r="AE111" s="228">
        <v>5.96</v>
      </c>
      <c r="AF111" s="228">
        <v>6.2</v>
      </c>
      <c r="AG111" s="360">
        <f t="shared" si="36"/>
        <v>7.75</v>
      </c>
      <c r="AH111" s="360">
        <f t="shared" si="49"/>
        <v>8.06</v>
      </c>
      <c r="AI111" s="362">
        <f t="shared" si="43"/>
        <v>0.30033557046979864</v>
      </c>
      <c r="AJ111" s="362"/>
      <c r="AK111" s="327">
        <v>23311</v>
      </c>
      <c r="AL111" s="327">
        <v>600</v>
      </c>
      <c r="AM111" s="327">
        <v>899</v>
      </c>
      <c r="AN111" s="316"/>
      <c r="AO111" s="328">
        <v>16.367323104</v>
      </c>
      <c r="AP111" s="328">
        <v>21.468742225919996</v>
      </c>
      <c r="AQ111" s="328">
        <v>27.909364893695994</v>
      </c>
      <c r="AR111" s="316"/>
      <c r="AS111" s="328">
        <v>21.520599091200001</v>
      </c>
      <c r="AT111" s="328">
        <v>23.205947212800002</v>
      </c>
      <c r="AU111" s="328">
        <v>30.167731376639999</v>
      </c>
      <c r="AV111" s="317"/>
      <c r="AW111" s="328">
        <v>36.58501845504</v>
      </c>
      <c r="AX111" s="328">
        <v>39.450110261759988</v>
      </c>
      <c r="AY111" s="328">
        <v>51.285143340287995</v>
      </c>
      <c r="AZ111" s="365"/>
      <c r="BA111" s="328">
        <f t="shared" si="50"/>
        <v>21.28</v>
      </c>
      <c r="BB111" s="328">
        <f t="shared" si="48"/>
        <v>27.91</v>
      </c>
      <c r="BC111" s="328">
        <f t="shared" si="48"/>
        <v>36.28</v>
      </c>
      <c r="BD111" s="316"/>
      <c r="BE111" s="328">
        <f t="shared" si="28"/>
        <v>27.98</v>
      </c>
      <c r="BF111" s="328">
        <f t="shared" si="28"/>
        <v>30.17</v>
      </c>
      <c r="BG111" s="328">
        <f t="shared" si="28"/>
        <v>39.22</v>
      </c>
      <c r="BH111" s="317"/>
      <c r="BI111" s="328">
        <f t="shared" si="29"/>
        <v>47.56</v>
      </c>
      <c r="BJ111" s="328">
        <f t="shared" si="29"/>
        <v>51.29</v>
      </c>
      <c r="BK111" s="328">
        <f t="shared" si="29"/>
        <v>66.67</v>
      </c>
      <c r="BL111" s="362">
        <f t="shared" si="41"/>
        <v>0.30015151926703237</v>
      </c>
    </row>
    <row r="112" spans="2:64">
      <c r="B112" s="156">
        <v>136</v>
      </c>
      <c r="C112" s="157" t="s">
        <v>6270</v>
      </c>
      <c r="D112" s="157" t="s">
        <v>6203</v>
      </c>
      <c r="E112" s="157">
        <v>550</v>
      </c>
      <c r="F112" s="157">
        <v>599</v>
      </c>
      <c r="G112" s="359">
        <v>2.27</v>
      </c>
      <c r="H112" s="296"/>
      <c r="I112" s="360">
        <f t="shared" si="32"/>
        <v>2.95</v>
      </c>
      <c r="Y112" s="227">
        <v>54</v>
      </c>
      <c r="Z112" s="227">
        <v>2</v>
      </c>
      <c r="AA112" s="227" t="s">
        <v>359</v>
      </c>
      <c r="AB112" s="227" t="s">
        <v>360</v>
      </c>
      <c r="AC112" s="227">
        <v>500</v>
      </c>
      <c r="AD112" s="227">
        <v>649</v>
      </c>
      <c r="AE112" s="228">
        <v>6.48</v>
      </c>
      <c r="AF112" s="228">
        <v>6.74</v>
      </c>
      <c r="AG112" s="360">
        <f t="shared" si="36"/>
        <v>8.42</v>
      </c>
      <c r="AH112" s="360">
        <f t="shared" si="49"/>
        <v>8.76</v>
      </c>
      <c r="AI112" s="362">
        <f t="shared" si="43"/>
        <v>0.2993827160493826</v>
      </c>
      <c r="AJ112" s="362"/>
      <c r="AK112" s="327">
        <v>23311</v>
      </c>
      <c r="AL112" s="327">
        <v>900</v>
      </c>
      <c r="AM112" s="327">
        <v>1199</v>
      </c>
      <c r="AN112" s="316"/>
      <c r="AO112" s="328">
        <v>18.822421569599996</v>
      </c>
      <c r="AP112" s="328">
        <v>25.76249067110399</v>
      </c>
      <c r="AQ112" s="328">
        <v>33.4912378724352</v>
      </c>
      <c r="AR112" s="316"/>
      <c r="AS112" s="328">
        <v>24.748688954879995</v>
      </c>
      <c r="AT112" s="328">
        <v>27.847136655359996</v>
      </c>
      <c r="AU112" s="328">
        <v>36.201277651967992</v>
      </c>
      <c r="AV112" s="317"/>
      <c r="AW112" s="328">
        <v>42.072771223295987</v>
      </c>
      <c r="AX112" s="328">
        <v>47.34013231411199</v>
      </c>
      <c r="AY112" s="328">
        <v>61.542172008345581</v>
      </c>
      <c r="AZ112" s="365"/>
      <c r="BA112" s="328">
        <f t="shared" si="50"/>
        <v>24.47</v>
      </c>
      <c r="BB112" s="328">
        <f t="shared" si="48"/>
        <v>33.49</v>
      </c>
      <c r="BC112" s="328">
        <f t="shared" si="48"/>
        <v>43.54</v>
      </c>
      <c r="BD112" s="316"/>
      <c r="BE112" s="328">
        <f t="shared" si="28"/>
        <v>32.17</v>
      </c>
      <c r="BF112" s="328">
        <f t="shared" si="28"/>
        <v>36.200000000000003</v>
      </c>
      <c r="BG112" s="328">
        <f t="shared" si="28"/>
        <v>47.06</v>
      </c>
      <c r="BH112" s="317"/>
      <c r="BI112" s="328">
        <f t="shared" si="29"/>
        <v>54.69</v>
      </c>
      <c r="BJ112" s="328">
        <f t="shared" si="29"/>
        <v>61.54</v>
      </c>
      <c r="BK112" s="328">
        <f t="shared" si="29"/>
        <v>80</v>
      </c>
      <c r="BL112" s="362">
        <f t="shared" si="41"/>
        <v>0.30004526301341483</v>
      </c>
    </row>
    <row r="113" spans="2:64">
      <c r="B113" s="156">
        <v>136</v>
      </c>
      <c r="C113" s="157" t="s">
        <v>6270</v>
      </c>
      <c r="D113" s="157" t="s">
        <v>6205</v>
      </c>
      <c r="E113" s="157">
        <v>600</v>
      </c>
      <c r="F113" s="157">
        <v>649</v>
      </c>
      <c r="G113" s="359">
        <v>2.4</v>
      </c>
      <c r="H113" s="296"/>
      <c r="I113" s="360">
        <f t="shared" si="32"/>
        <v>3.12</v>
      </c>
      <c r="Y113" s="227">
        <v>54</v>
      </c>
      <c r="Z113" s="227">
        <v>2</v>
      </c>
      <c r="AA113" s="227" t="s">
        <v>359</v>
      </c>
      <c r="AB113" s="227" t="s">
        <v>360</v>
      </c>
      <c r="AC113" s="227">
        <v>650</v>
      </c>
      <c r="AD113" s="227">
        <v>799</v>
      </c>
      <c r="AE113" s="228">
        <v>6.99</v>
      </c>
      <c r="AF113" s="228">
        <v>7.27</v>
      </c>
      <c r="AG113" s="360">
        <f t="shared" si="36"/>
        <v>9.09</v>
      </c>
      <c r="AH113" s="360">
        <f t="shared" si="49"/>
        <v>9.4499999999999993</v>
      </c>
      <c r="AI113" s="362">
        <f t="shared" si="43"/>
        <v>0.30042918454935619</v>
      </c>
      <c r="AJ113" s="362"/>
      <c r="AK113" s="327">
        <v>23311</v>
      </c>
      <c r="AL113" s="327">
        <v>1200</v>
      </c>
      <c r="AM113" s="327">
        <v>1499</v>
      </c>
      <c r="AN113" s="316"/>
      <c r="AO113" s="328">
        <v>21.645784805039995</v>
      </c>
      <c r="AP113" s="328">
        <v>30.914988805324796</v>
      </c>
      <c r="AQ113" s="328">
        <v>40.189485446922234</v>
      </c>
      <c r="AR113" s="316"/>
      <c r="AS113" s="328">
        <v>28.460992298111996</v>
      </c>
      <c r="AT113" s="328">
        <v>33.416563986431996</v>
      </c>
      <c r="AU113" s="328">
        <v>43.441533182361596</v>
      </c>
      <c r="AV113" s="317"/>
      <c r="AW113" s="328">
        <v>48.383686906790388</v>
      </c>
      <c r="AX113" s="328">
        <v>56.808158776934384</v>
      </c>
      <c r="AY113" s="328">
        <v>73.85060641001472</v>
      </c>
      <c r="AZ113" s="365"/>
      <c r="BA113" s="328">
        <f t="shared" si="50"/>
        <v>28.14</v>
      </c>
      <c r="BB113" s="328">
        <f t="shared" si="48"/>
        <v>40.19</v>
      </c>
      <c r="BC113" s="328">
        <f t="shared" si="48"/>
        <v>52.25</v>
      </c>
      <c r="BD113" s="316"/>
      <c r="BE113" s="328">
        <f t="shared" si="28"/>
        <v>37</v>
      </c>
      <c r="BF113" s="328">
        <f t="shared" si="28"/>
        <v>43.44</v>
      </c>
      <c r="BG113" s="328">
        <f t="shared" si="28"/>
        <v>56.47</v>
      </c>
      <c r="BH113" s="317"/>
      <c r="BI113" s="328">
        <f t="shared" si="29"/>
        <v>62.9</v>
      </c>
      <c r="BJ113" s="328">
        <f t="shared" si="29"/>
        <v>73.849999999999994</v>
      </c>
      <c r="BK113" s="328">
        <f t="shared" si="29"/>
        <v>96.01</v>
      </c>
      <c r="BL113" s="362">
        <f t="shared" si="41"/>
        <v>0.30002216382784586</v>
      </c>
    </row>
    <row r="114" spans="2:64">
      <c r="B114" s="156">
        <v>136</v>
      </c>
      <c r="C114" s="157" t="s">
        <v>6270</v>
      </c>
      <c r="D114" s="157" t="s">
        <v>6207</v>
      </c>
      <c r="E114" s="157">
        <v>650</v>
      </c>
      <c r="F114" s="157">
        <v>699</v>
      </c>
      <c r="G114" s="359">
        <v>2.5299999999999998</v>
      </c>
      <c r="H114" s="296"/>
      <c r="I114" s="360">
        <f t="shared" si="32"/>
        <v>3.29</v>
      </c>
      <c r="Y114" s="227">
        <v>54</v>
      </c>
      <c r="Z114" s="227">
        <v>2</v>
      </c>
      <c r="AA114" s="227" t="s">
        <v>359</v>
      </c>
      <c r="AB114" s="227" t="s">
        <v>360</v>
      </c>
      <c r="AC114" s="227">
        <v>800</v>
      </c>
      <c r="AD114" s="227">
        <v>949</v>
      </c>
      <c r="AE114" s="228">
        <v>7.51</v>
      </c>
      <c r="AF114" s="228">
        <v>7.81</v>
      </c>
      <c r="AG114" s="360">
        <f t="shared" si="36"/>
        <v>9.76</v>
      </c>
      <c r="AH114" s="360">
        <f t="shared" si="49"/>
        <v>10.15</v>
      </c>
      <c r="AI114" s="362">
        <f t="shared" si="43"/>
        <v>0.2996005326231691</v>
      </c>
      <c r="AJ114" s="362"/>
      <c r="AK114" s="327">
        <v>23311</v>
      </c>
      <c r="AL114" s="327">
        <v>1500</v>
      </c>
      <c r="AM114" s="327">
        <v>1799</v>
      </c>
      <c r="AN114" s="316"/>
      <c r="AO114" s="328">
        <v>24.892652525795995</v>
      </c>
      <c r="AP114" s="328">
        <v>37.09798656638975</v>
      </c>
      <c r="AQ114" s="328">
        <v>48.227382536306678</v>
      </c>
      <c r="AR114" s="316"/>
      <c r="AS114" s="328">
        <v>32.730141142828792</v>
      </c>
      <c r="AT114" s="328">
        <v>40.099876783718393</v>
      </c>
      <c r="AU114" s="328">
        <v>52.129839818833908</v>
      </c>
      <c r="AV114" s="317"/>
      <c r="AW114" s="328">
        <v>55.641239942808937</v>
      </c>
      <c r="AX114" s="328">
        <v>68.169790532321272</v>
      </c>
      <c r="AY114" s="328">
        <v>88.620727692017653</v>
      </c>
      <c r="AZ114" s="365"/>
      <c r="BA114" s="328">
        <f t="shared" si="50"/>
        <v>32.36</v>
      </c>
      <c r="BB114" s="328">
        <f t="shared" si="48"/>
        <v>48.23</v>
      </c>
      <c r="BC114" s="328">
        <f t="shared" si="48"/>
        <v>62.7</v>
      </c>
      <c r="BD114" s="316"/>
      <c r="BE114" s="328">
        <f t="shared" si="28"/>
        <v>42.55</v>
      </c>
      <c r="BF114" s="328">
        <f t="shared" si="28"/>
        <v>52.13</v>
      </c>
      <c r="BG114" s="328">
        <f t="shared" si="28"/>
        <v>67.77</v>
      </c>
      <c r="BH114" s="317"/>
      <c r="BI114" s="328">
        <f t="shared" si="29"/>
        <v>72.33</v>
      </c>
      <c r="BJ114" s="328">
        <f t="shared" si="29"/>
        <v>88.62</v>
      </c>
      <c r="BK114" s="328">
        <f t="shared" si="29"/>
        <v>115.21</v>
      </c>
      <c r="BL114" s="362">
        <f t="shared" si="41"/>
        <v>0.29998199133120385</v>
      </c>
    </row>
    <row r="115" spans="2:64">
      <c r="B115" s="156">
        <v>136</v>
      </c>
      <c r="C115" s="157" t="s">
        <v>6270</v>
      </c>
      <c r="D115" s="157" t="s">
        <v>6211</v>
      </c>
      <c r="E115" s="157">
        <v>700</v>
      </c>
      <c r="F115" s="157">
        <v>749</v>
      </c>
      <c r="G115" s="359">
        <v>2.66</v>
      </c>
      <c r="H115" s="296"/>
      <c r="I115" s="360">
        <f t="shared" si="32"/>
        <v>3.46</v>
      </c>
      <c r="Y115" s="227">
        <v>54</v>
      </c>
      <c r="Z115" s="227">
        <v>2</v>
      </c>
      <c r="AA115" s="227" t="s">
        <v>359</v>
      </c>
      <c r="AB115" s="227" t="s">
        <v>360</v>
      </c>
      <c r="AC115" s="227">
        <v>950</v>
      </c>
      <c r="AD115" s="227">
        <v>1099</v>
      </c>
      <c r="AE115" s="228">
        <v>8.02</v>
      </c>
      <c r="AF115" s="228">
        <v>8.34</v>
      </c>
      <c r="AG115" s="360">
        <f t="shared" si="36"/>
        <v>10.43</v>
      </c>
      <c r="AH115" s="360">
        <f t="shared" si="49"/>
        <v>10.85</v>
      </c>
      <c r="AI115" s="362">
        <f t="shared" si="43"/>
        <v>0.30049875311720703</v>
      </c>
      <c r="AJ115" s="362"/>
      <c r="AK115" s="329">
        <v>23213</v>
      </c>
      <c r="AL115" s="329">
        <v>1</v>
      </c>
      <c r="AM115" s="329">
        <v>299</v>
      </c>
      <c r="AN115" s="316"/>
      <c r="AO115" s="330">
        <v>11.647169798399998</v>
      </c>
      <c r="AP115" s="330">
        <v>15.993128678399994</v>
      </c>
      <c r="AQ115" s="330">
        <v>20.791067281919997</v>
      </c>
      <c r="AR115" s="316"/>
      <c r="AS115" s="330">
        <v>12.806092166399996</v>
      </c>
      <c r="AT115" s="330">
        <v>18.167388052742162</v>
      </c>
      <c r="AU115" s="330">
        <v>23.617604468564814</v>
      </c>
      <c r="AV115" s="316"/>
      <c r="AW115" s="330">
        <v>21.770356682879992</v>
      </c>
      <c r="AX115" s="330">
        <v>30.884559689661675</v>
      </c>
      <c r="AY115" s="330">
        <v>40.149927596560183</v>
      </c>
      <c r="AZ115" s="365"/>
      <c r="BA115" s="330">
        <f>ROUND(AO115*1.3,2)</f>
        <v>15.14</v>
      </c>
      <c r="BB115" s="330">
        <f t="shared" si="48"/>
        <v>20.79</v>
      </c>
      <c r="BC115" s="330">
        <f t="shared" si="48"/>
        <v>27.03</v>
      </c>
      <c r="BD115" s="316"/>
      <c r="BE115" s="330">
        <f t="shared" si="28"/>
        <v>16.649999999999999</v>
      </c>
      <c r="BF115" s="330">
        <f t="shared" si="28"/>
        <v>23.62</v>
      </c>
      <c r="BG115" s="330">
        <f t="shared" si="28"/>
        <v>30.7</v>
      </c>
      <c r="BH115" s="316"/>
      <c r="BI115" s="330">
        <f t="shared" si="29"/>
        <v>28.3</v>
      </c>
      <c r="BJ115" s="330">
        <f t="shared" si="29"/>
        <v>40.15</v>
      </c>
      <c r="BK115" s="330">
        <f t="shared" si="29"/>
        <v>52.19</v>
      </c>
      <c r="BL115" s="362">
        <f t="shared" si="41"/>
        <v>0.29988660439034909</v>
      </c>
    </row>
    <row r="116" spans="2:64">
      <c r="B116" s="156">
        <v>136</v>
      </c>
      <c r="C116" s="157" t="s">
        <v>6270</v>
      </c>
      <c r="D116" s="157" t="s">
        <v>6212</v>
      </c>
      <c r="E116" s="157">
        <v>750</v>
      </c>
      <c r="F116" s="157">
        <v>799</v>
      </c>
      <c r="G116" s="359">
        <v>2.79</v>
      </c>
      <c r="H116" s="296"/>
      <c r="I116" s="360">
        <f t="shared" si="32"/>
        <v>3.63</v>
      </c>
      <c r="Y116" s="227">
        <v>54</v>
      </c>
      <c r="Z116" s="227">
        <v>2</v>
      </c>
      <c r="AA116" s="227" t="s">
        <v>359</v>
      </c>
      <c r="AB116" s="227" t="s">
        <v>360</v>
      </c>
      <c r="AC116" s="227">
        <v>1100</v>
      </c>
      <c r="AD116" s="227">
        <v>1299</v>
      </c>
      <c r="AE116" s="228">
        <v>8.7100000000000009</v>
      </c>
      <c r="AF116" s="228">
        <v>9.06</v>
      </c>
      <c r="AG116" s="360">
        <f t="shared" si="36"/>
        <v>11.32</v>
      </c>
      <c r="AH116" s="360">
        <f t="shared" si="49"/>
        <v>11.77</v>
      </c>
      <c r="AI116" s="362">
        <f t="shared" si="43"/>
        <v>0.29965556831228463</v>
      </c>
      <c r="AJ116" s="362"/>
      <c r="AK116" s="329">
        <v>23213</v>
      </c>
      <c r="AL116" s="329">
        <v>300</v>
      </c>
      <c r="AM116" s="329">
        <v>599</v>
      </c>
      <c r="AN116" s="316"/>
      <c r="AO116" s="330">
        <v>15.993128678399994</v>
      </c>
      <c r="AP116" s="330">
        <v>19.191754414079991</v>
      </c>
      <c r="AQ116" s="330">
        <v>24.949280738303994</v>
      </c>
      <c r="AR116" s="316"/>
      <c r="AS116" s="330">
        <v>19.238111308800001</v>
      </c>
      <c r="AT116" s="330">
        <v>20.744710387199998</v>
      </c>
      <c r="AU116" s="330">
        <v>26.968123503359998</v>
      </c>
      <c r="AV116" s="316"/>
      <c r="AW116" s="330">
        <v>32.704789224959995</v>
      </c>
      <c r="AX116" s="330">
        <v>35.266007658239992</v>
      </c>
      <c r="AY116" s="330">
        <v>45.845809955711999</v>
      </c>
      <c r="AZ116" s="365"/>
      <c r="BA116" s="330">
        <f t="shared" ref="BA116:BC125" si="51">ROUND(AO116*1.3,2)</f>
        <v>20.79</v>
      </c>
      <c r="BB116" s="330">
        <f t="shared" si="48"/>
        <v>24.95</v>
      </c>
      <c r="BC116" s="330">
        <f t="shared" si="48"/>
        <v>32.43</v>
      </c>
      <c r="BD116" s="316"/>
      <c r="BE116" s="330">
        <f t="shared" si="28"/>
        <v>25.01</v>
      </c>
      <c r="BF116" s="330">
        <f t="shared" si="28"/>
        <v>26.97</v>
      </c>
      <c r="BG116" s="330">
        <f t="shared" si="28"/>
        <v>35.06</v>
      </c>
      <c r="BH116" s="316"/>
      <c r="BI116" s="330">
        <f t="shared" si="29"/>
        <v>42.52</v>
      </c>
      <c r="BJ116" s="330">
        <f t="shared" si="29"/>
        <v>45.85</v>
      </c>
      <c r="BK116" s="330">
        <f t="shared" si="29"/>
        <v>59.6</v>
      </c>
      <c r="BL116" s="362">
        <f t="shared" si="41"/>
        <v>0.29993326622067168</v>
      </c>
    </row>
    <row r="117" spans="2:64">
      <c r="B117" s="156">
        <v>136</v>
      </c>
      <c r="C117" s="157" t="s">
        <v>6270</v>
      </c>
      <c r="D117" s="157" t="s">
        <v>6213</v>
      </c>
      <c r="E117" s="157">
        <v>800</v>
      </c>
      <c r="F117" s="157">
        <v>849</v>
      </c>
      <c r="G117" s="359">
        <v>2.92</v>
      </c>
      <c r="H117" s="296"/>
      <c r="I117" s="360">
        <f t="shared" si="32"/>
        <v>3.8</v>
      </c>
      <c r="Y117" s="227">
        <v>54</v>
      </c>
      <c r="Z117" s="227">
        <v>2</v>
      </c>
      <c r="AA117" s="227" t="s">
        <v>359</v>
      </c>
      <c r="AB117" s="227" t="s">
        <v>360</v>
      </c>
      <c r="AC117" s="227">
        <v>1300</v>
      </c>
      <c r="AD117" s="227">
        <v>1499</v>
      </c>
      <c r="AE117" s="228">
        <v>9.39</v>
      </c>
      <c r="AF117" s="228">
        <v>9.77</v>
      </c>
      <c r="AG117" s="360">
        <f t="shared" si="36"/>
        <v>12.21</v>
      </c>
      <c r="AH117" s="360">
        <f t="shared" si="49"/>
        <v>12.7</v>
      </c>
      <c r="AI117" s="362">
        <f t="shared" si="43"/>
        <v>0.30031948881789139</v>
      </c>
      <c r="AJ117" s="362"/>
      <c r="AK117" s="329">
        <v>23213</v>
      </c>
      <c r="AL117" s="329">
        <v>600</v>
      </c>
      <c r="AM117" s="329">
        <v>899</v>
      </c>
      <c r="AN117" s="316"/>
      <c r="AO117" s="330">
        <v>17.557673875199999</v>
      </c>
      <c r="AP117" s="330">
        <v>23.030105296895993</v>
      </c>
      <c r="AQ117" s="330">
        <v>29.939136885964789</v>
      </c>
      <c r="AR117" s="316"/>
      <c r="AS117" s="330">
        <v>23.085733570559999</v>
      </c>
      <c r="AT117" s="330">
        <v>24.893652464639999</v>
      </c>
      <c r="AU117" s="330">
        <v>32.361748204031997</v>
      </c>
      <c r="AV117" s="316"/>
      <c r="AW117" s="330">
        <v>39.245747069951996</v>
      </c>
      <c r="AX117" s="330">
        <v>42.319209189887985</v>
      </c>
      <c r="AY117" s="330">
        <v>55.014971946854388</v>
      </c>
      <c r="AZ117" s="365"/>
      <c r="BA117" s="330">
        <f t="shared" si="51"/>
        <v>22.82</v>
      </c>
      <c r="BB117" s="330">
        <f t="shared" si="48"/>
        <v>29.94</v>
      </c>
      <c r="BC117" s="330">
        <f t="shared" si="48"/>
        <v>38.92</v>
      </c>
      <c r="BD117" s="316"/>
      <c r="BE117" s="330">
        <f t="shared" si="28"/>
        <v>30.01</v>
      </c>
      <c r="BF117" s="330">
        <f t="shared" si="28"/>
        <v>32.36</v>
      </c>
      <c r="BG117" s="330">
        <f t="shared" si="28"/>
        <v>42.07</v>
      </c>
      <c r="BH117" s="316"/>
      <c r="BI117" s="330">
        <f t="shared" si="29"/>
        <v>51.02</v>
      </c>
      <c r="BJ117" s="330">
        <f t="shared" si="29"/>
        <v>55.01</v>
      </c>
      <c r="BK117" s="330">
        <f t="shared" si="29"/>
        <v>71.52</v>
      </c>
      <c r="BL117" s="362">
        <f t="shared" si="41"/>
        <v>0.29971658900858006</v>
      </c>
    </row>
    <row r="118" spans="2:64">
      <c r="B118" s="156">
        <v>136</v>
      </c>
      <c r="C118" s="157" t="s">
        <v>6270</v>
      </c>
      <c r="D118" s="157" t="s">
        <v>6216</v>
      </c>
      <c r="E118" s="157">
        <v>850</v>
      </c>
      <c r="F118" s="157">
        <v>899</v>
      </c>
      <c r="G118" s="359">
        <v>3.05</v>
      </c>
      <c r="H118" s="296"/>
      <c r="I118" s="360">
        <f t="shared" si="32"/>
        <v>3.97</v>
      </c>
      <c r="Y118" s="227">
        <v>54</v>
      </c>
      <c r="Z118" s="227">
        <v>2</v>
      </c>
      <c r="AA118" s="227" t="s">
        <v>359</v>
      </c>
      <c r="AB118" s="227" t="s">
        <v>360</v>
      </c>
      <c r="AC118" s="227">
        <v>1500</v>
      </c>
      <c r="AD118" s="227">
        <v>1699</v>
      </c>
      <c r="AE118" s="228">
        <v>10.08</v>
      </c>
      <c r="AF118" s="228">
        <v>10.48</v>
      </c>
      <c r="AG118" s="360">
        <f t="shared" si="36"/>
        <v>13.1</v>
      </c>
      <c r="AH118" s="360">
        <f t="shared" si="49"/>
        <v>13.62</v>
      </c>
      <c r="AI118" s="362">
        <f t="shared" si="43"/>
        <v>0.29960317460317454</v>
      </c>
      <c r="AJ118" s="362"/>
      <c r="AK118" s="329">
        <v>23213</v>
      </c>
      <c r="AL118" s="329">
        <v>900</v>
      </c>
      <c r="AM118" s="329">
        <v>1199</v>
      </c>
      <c r="AN118" s="316"/>
      <c r="AO118" s="330">
        <v>20.191324956479992</v>
      </c>
      <c r="AP118" s="330">
        <v>27.636126356275184</v>
      </c>
      <c r="AQ118" s="330">
        <v>35.92696426315775</v>
      </c>
      <c r="AR118" s="316"/>
      <c r="AS118" s="330">
        <v>26.548593606143992</v>
      </c>
      <c r="AT118" s="330">
        <v>29.872382957567993</v>
      </c>
      <c r="AU118" s="330">
        <v>38.834097844838389</v>
      </c>
      <c r="AV118" s="316"/>
      <c r="AW118" s="330">
        <v>45.132609130444784</v>
      </c>
      <c r="AX118" s="330">
        <v>50.783051027865582</v>
      </c>
      <c r="AY118" s="330">
        <v>66.017966336225257</v>
      </c>
      <c r="AZ118" s="365"/>
      <c r="BA118" s="330">
        <f t="shared" si="51"/>
        <v>26.25</v>
      </c>
      <c r="BB118" s="330">
        <f t="shared" si="48"/>
        <v>35.93</v>
      </c>
      <c r="BC118" s="330">
        <f t="shared" si="48"/>
        <v>46.71</v>
      </c>
      <c r="BD118" s="316"/>
      <c r="BE118" s="330">
        <f t="shared" si="28"/>
        <v>34.51</v>
      </c>
      <c r="BF118" s="330">
        <f t="shared" si="28"/>
        <v>38.83</v>
      </c>
      <c r="BG118" s="330">
        <f t="shared" si="28"/>
        <v>50.48</v>
      </c>
      <c r="BH118" s="316"/>
      <c r="BI118" s="330">
        <f t="shared" si="29"/>
        <v>58.67</v>
      </c>
      <c r="BJ118" s="330">
        <f t="shared" si="29"/>
        <v>66.02</v>
      </c>
      <c r="BK118" s="330">
        <f t="shared" si="29"/>
        <v>85.82</v>
      </c>
      <c r="BL118" s="362">
        <f t="shared" si="41"/>
        <v>0.30006327254792658</v>
      </c>
    </row>
    <row r="119" spans="2:64">
      <c r="B119" s="156">
        <v>136</v>
      </c>
      <c r="C119" s="157" t="s">
        <v>6270</v>
      </c>
      <c r="D119" s="157" t="s">
        <v>6221</v>
      </c>
      <c r="E119" s="157">
        <v>900</v>
      </c>
      <c r="F119" s="157">
        <v>949</v>
      </c>
      <c r="G119" s="359">
        <v>3.18</v>
      </c>
      <c r="H119" s="296"/>
      <c r="I119" s="360">
        <f t="shared" si="32"/>
        <v>4.13</v>
      </c>
      <c r="Y119" s="227">
        <v>54</v>
      </c>
      <c r="Z119" s="227">
        <v>2</v>
      </c>
      <c r="AA119" s="227" t="s">
        <v>359</v>
      </c>
      <c r="AB119" s="227" t="s">
        <v>360</v>
      </c>
      <c r="AC119" s="227">
        <v>1700</v>
      </c>
      <c r="AD119" s="227">
        <v>1899</v>
      </c>
      <c r="AE119" s="228">
        <v>10.77</v>
      </c>
      <c r="AF119" s="228">
        <v>11.2</v>
      </c>
      <c r="AG119" s="360">
        <f t="shared" si="36"/>
        <v>14</v>
      </c>
      <c r="AH119" s="360">
        <f t="shared" si="49"/>
        <v>14.56</v>
      </c>
      <c r="AI119" s="362">
        <f>(AG119-AE119)/AE119</f>
        <v>0.29990714948932223</v>
      </c>
      <c r="AJ119" s="362"/>
      <c r="AK119" s="329">
        <v>23213</v>
      </c>
      <c r="AL119" s="329">
        <v>1200</v>
      </c>
      <c r="AM119" s="329">
        <v>1499</v>
      </c>
      <c r="AN119" s="316"/>
      <c r="AO119" s="330">
        <v>23.220023699951991</v>
      </c>
      <c r="AP119" s="330">
        <v>33.163351627530233</v>
      </c>
      <c r="AQ119" s="330">
        <v>43.112357115789301</v>
      </c>
      <c r="AR119" s="316"/>
      <c r="AS119" s="330">
        <v>30.530882647065592</v>
      </c>
      <c r="AT119" s="330">
        <v>35.846859549081593</v>
      </c>
      <c r="AU119" s="330">
        <v>46.600917413806066</v>
      </c>
      <c r="AV119" s="316"/>
      <c r="AW119" s="330">
        <v>51.902500500011506</v>
      </c>
      <c r="AX119" s="330">
        <v>60.939661233438692</v>
      </c>
      <c r="AY119" s="330">
        <v>79.221559603470311</v>
      </c>
      <c r="AZ119" s="365"/>
      <c r="BA119" s="330">
        <f t="shared" si="51"/>
        <v>30.19</v>
      </c>
      <c r="BB119" s="330">
        <f t="shared" si="48"/>
        <v>43.11</v>
      </c>
      <c r="BC119" s="330">
        <f t="shared" si="48"/>
        <v>56.05</v>
      </c>
      <c r="BD119" s="316"/>
      <c r="BE119" s="330">
        <f t="shared" si="28"/>
        <v>39.69</v>
      </c>
      <c r="BF119" s="330">
        <f t="shared" si="28"/>
        <v>46.6</v>
      </c>
      <c r="BG119" s="330">
        <f t="shared" si="28"/>
        <v>60.58</v>
      </c>
      <c r="BH119" s="316"/>
      <c r="BI119" s="330">
        <f t="shared" si="29"/>
        <v>67.47</v>
      </c>
      <c r="BJ119" s="330">
        <f t="shared" si="29"/>
        <v>79.22</v>
      </c>
      <c r="BK119" s="330">
        <f t="shared" si="29"/>
        <v>102.99</v>
      </c>
      <c r="BL119" s="362">
        <f t="shared" si="41"/>
        <v>0.30017093824337576</v>
      </c>
    </row>
    <row r="120" spans="2:64">
      <c r="B120" s="156">
        <v>136</v>
      </c>
      <c r="C120" s="157" t="s">
        <v>6270</v>
      </c>
      <c r="D120" s="157" t="s">
        <v>6222</v>
      </c>
      <c r="E120" s="157">
        <v>950</v>
      </c>
      <c r="F120" s="157">
        <v>999</v>
      </c>
      <c r="G120" s="359">
        <v>3.31</v>
      </c>
      <c r="H120" s="296"/>
      <c r="I120" s="360">
        <f t="shared" si="32"/>
        <v>4.3</v>
      </c>
      <c r="Y120" s="227">
        <v>54</v>
      </c>
      <c r="Z120" s="227">
        <v>2</v>
      </c>
      <c r="AA120" s="227" t="s">
        <v>359</v>
      </c>
      <c r="AB120" s="227" t="s">
        <v>360</v>
      </c>
      <c r="AC120" s="227">
        <v>1900</v>
      </c>
      <c r="AD120" s="227">
        <v>2099</v>
      </c>
      <c r="AE120" s="228">
        <v>11.45</v>
      </c>
      <c r="AF120" s="228">
        <v>11.91</v>
      </c>
      <c r="AG120" s="360">
        <f t="shared" si="36"/>
        <v>14.89</v>
      </c>
      <c r="AH120" s="360">
        <f t="shared" si="49"/>
        <v>15.49</v>
      </c>
      <c r="AI120" s="362">
        <f t="shared" si="43"/>
        <v>0.30043668122270756</v>
      </c>
      <c r="AJ120" s="362"/>
      <c r="AK120" s="329">
        <v>23213</v>
      </c>
      <c r="AL120" s="329">
        <v>1500</v>
      </c>
      <c r="AM120" s="329">
        <v>1799</v>
      </c>
      <c r="AN120" s="316"/>
      <c r="AO120" s="330">
        <v>26.703027254944789</v>
      </c>
      <c r="AP120" s="330">
        <v>39.796021953036274</v>
      </c>
      <c r="AQ120" s="330">
        <v>51.734828538947156</v>
      </c>
      <c r="AR120" s="316"/>
      <c r="AS120" s="330">
        <v>35.110515044125428</v>
      </c>
      <c r="AT120" s="330">
        <v>43.016231458897913</v>
      </c>
      <c r="AU120" s="330">
        <v>55.921100896567275</v>
      </c>
      <c r="AV120" s="316"/>
      <c r="AW120" s="330">
        <v>59.687875575013216</v>
      </c>
      <c r="AX120" s="330">
        <v>73.12759348012645</v>
      </c>
      <c r="AY120" s="330">
        <v>95.065871524164379</v>
      </c>
      <c r="AZ120" s="365"/>
      <c r="BA120" s="330">
        <f t="shared" si="51"/>
        <v>34.71</v>
      </c>
      <c r="BB120" s="330">
        <f t="shared" si="51"/>
        <v>51.73</v>
      </c>
      <c r="BC120" s="330">
        <f t="shared" si="51"/>
        <v>67.260000000000005</v>
      </c>
      <c r="BD120" s="316"/>
      <c r="BE120" s="330">
        <f t="shared" ref="BE120:BG125" si="52">ROUND(AS120*1.3,2)</f>
        <v>45.64</v>
      </c>
      <c r="BF120" s="330">
        <f t="shared" si="52"/>
        <v>55.92</v>
      </c>
      <c r="BG120" s="330">
        <f t="shared" si="52"/>
        <v>72.7</v>
      </c>
      <c r="BH120" s="316"/>
      <c r="BI120" s="330">
        <f t="shared" ref="BI120:BK125" si="53">ROUND(AW120*1.3,2)</f>
        <v>77.59</v>
      </c>
      <c r="BJ120" s="330">
        <f t="shared" si="53"/>
        <v>95.07</v>
      </c>
      <c r="BK120" s="330">
        <f t="shared" si="53"/>
        <v>123.59</v>
      </c>
      <c r="BL120" s="362">
        <f t="shared" si="41"/>
        <v>0.29985262227422188</v>
      </c>
    </row>
    <row r="121" spans="2:64">
      <c r="B121" s="156">
        <v>136</v>
      </c>
      <c r="C121" s="157" t="s">
        <v>6270</v>
      </c>
      <c r="D121" s="157" t="s">
        <v>6224</v>
      </c>
      <c r="E121" s="157">
        <v>1000</v>
      </c>
      <c r="F121" s="157">
        <v>1499</v>
      </c>
      <c r="G121" s="359">
        <v>5.36</v>
      </c>
      <c r="H121" s="296"/>
      <c r="I121" s="360">
        <f t="shared" si="32"/>
        <v>6.97</v>
      </c>
      <c r="Y121" s="227">
        <v>54</v>
      </c>
      <c r="Z121" s="227">
        <v>2</v>
      </c>
      <c r="AA121" s="227" t="s">
        <v>359</v>
      </c>
      <c r="AB121" s="227" t="s">
        <v>360</v>
      </c>
      <c r="AC121" s="227">
        <v>2100</v>
      </c>
      <c r="AD121" s="227">
        <v>2299</v>
      </c>
      <c r="AE121" s="228">
        <v>12.14</v>
      </c>
      <c r="AF121" s="228">
        <v>12.62</v>
      </c>
      <c r="AG121" s="360">
        <f t="shared" si="36"/>
        <v>15.78</v>
      </c>
      <c r="AH121" s="360">
        <f t="shared" si="49"/>
        <v>16.41</v>
      </c>
      <c r="AI121" s="362">
        <f t="shared" si="43"/>
        <v>0.29983525535420086</v>
      </c>
      <c r="AJ121" s="362"/>
      <c r="AK121" s="346">
        <v>21508</v>
      </c>
      <c r="AL121" s="346">
        <v>1</v>
      </c>
      <c r="AM121" s="346">
        <v>299</v>
      </c>
      <c r="AN121" s="316"/>
      <c r="AO121" s="347">
        <v>6.27</v>
      </c>
      <c r="AP121" s="347">
        <v>8.61</v>
      </c>
      <c r="AQ121" s="347">
        <v>11.2</v>
      </c>
      <c r="AR121" s="348"/>
      <c r="AS121" s="347">
        <v>6.9</v>
      </c>
      <c r="AT121" s="347">
        <v>9.7899999999999991</v>
      </c>
      <c r="AU121" s="347">
        <v>12.72</v>
      </c>
      <c r="AV121" s="348"/>
      <c r="AW121" s="347">
        <v>11.73</v>
      </c>
      <c r="AX121" s="347">
        <v>16.64</v>
      </c>
      <c r="AY121" s="347">
        <v>21.63</v>
      </c>
      <c r="AZ121" s="365"/>
      <c r="BA121" s="347">
        <f>ROUND(AO121*1.3,2)</f>
        <v>8.15</v>
      </c>
      <c r="BB121" s="347">
        <f t="shared" si="51"/>
        <v>11.19</v>
      </c>
      <c r="BC121" s="347">
        <f t="shared" si="51"/>
        <v>14.56</v>
      </c>
      <c r="BD121" s="348"/>
      <c r="BE121" s="347">
        <f t="shared" si="52"/>
        <v>8.9700000000000006</v>
      </c>
      <c r="BF121" s="347">
        <f t="shared" si="52"/>
        <v>12.73</v>
      </c>
      <c r="BG121" s="347">
        <f t="shared" si="52"/>
        <v>16.54</v>
      </c>
      <c r="BH121" s="348"/>
      <c r="BI121" s="347">
        <f t="shared" si="53"/>
        <v>15.25</v>
      </c>
      <c r="BJ121" s="347">
        <f t="shared" si="53"/>
        <v>21.63</v>
      </c>
      <c r="BK121" s="347">
        <f t="shared" si="53"/>
        <v>28.12</v>
      </c>
      <c r="BL121" s="362">
        <f t="shared" si="41"/>
        <v>0.2998405103668263</v>
      </c>
    </row>
    <row r="122" spans="2:64">
      <c r="B122" s="156">
        <v>136</v>
      </c>
      <c r="C122" s="157" t="s">
        <v>6270</v>
      </c>
      <c r="D122" s="157" t="s">
        <v>6227</v>
      </c>
      <c r="E122" s="157">
        <v>1500</v>
      </c>
      <c r="F122" s="157">
        <v>1999</v>
      </c>
      <c r="G122" s="359">
        <v>7.41</v>
      </c>
      <c r="H122" s="297"/>
      <c r="I122" s="360">
        <f t="shared" si="32"/>
        <v>9.6300000000000008</v>
      </c>
      <c r="Y122" s="227">
        <v>54</v>
      </c>
      <c r="Z122" s="227">
        <v>2</v>
      </c>
      <c r="AA122" s="227" t="s">
        <v>359</v>
      </c>
      <c r="AB122" s="227" t="s">
        <v>360</v>
      </c>
      <c r="AC122" s="227">
        <v>2300</v>
      </c>
      <c r="AD122" s="227">
        <v>2568</v>
      </c>
      <c r="AE122" s="228">
        <v>13.06</v>
      </c>
      <c r="AF122" s="228">
        <v>13.58</v>
      </c>
      <c r="AG122" s="360">
        <f t="shared" si="36"/>
        <v>16.98</v>
      </c>
      <c r="AH122" s="360">
        <f t="shared" si="49"/>
        <v>17.66</v>
      </c>
      <c r="AI122" s="362">
        <f t="shared" si="43"/>
        <v>0.3001531393568147</v>
      </c>
      <c r="AJ122" s="362"/>
      <c r="AK122" s="346">
        <v>21508</v>
      </c>
      <c r="AL122" s="346">
        <v>300</v>
      </c>
      <c r="AM122" s="346">
        <v>599</v>
      </c>
      <c r="AN122" s="316"/>
      <c r="AO122" s="347">
        <v>8.61</v>
      </c>
      <c r="AP122" s="347">
        <v>10.34</v>
      </c>
      <c r="AQ122" s="347">
        <v>13.44</v>
      </c>
      <c r="AR122" s="348"/>
      <c r="AS122" s="347">
        <v>10.36</v>
      </c>
      <c r="AT122" s="347">
        <v>11.17</v>
      </c>
      <c r="AU122" s="347">
        <v>14.53</v>
      </c>
      <c r="AV122" s="348"/>
      <c r="AW122" s="347">
        <v>17.62</v>
      </c>
      <c r="AX122" s="347">
        <v>19</v>
      </c>
      <c r="AY122" s="347">
        <v>24.69</v>
      </c>
      <c r="AZ122" s="365"/>
      <c r="BA122" s="347">
        <f>ROUND(AO122*1.3,2)</f>
        <v>11.19</v>
      </c>
      <c r="BB122" s="347">
        <f t="shared" si="51"/>
        <v>13.44</v>
      </c>
      <c r="BC122" s="347">
        <f t="shared" si="51"/>
        <v>17.47</v>
      </c>
      <c r="BD122" s="348"/>
      <c r="BE122" s="347">
        <f t="shared" si="52"/>
        <v>13.47</v>
      </c>
      <c r="BF122" s="347">
        <f t="shared" si="52"/>
        <v>14.52</v>
      </c>
      <c r="BG122" s="347">
        <f t="shared" si="52"/>
        <v>18.89</v>
      </c>
      <c r="BH122" s="348"/>
      <c r="BI122" s="347">
        <f t="shared" si="53"/>
        <v>22.91</v>
      </c>
      <c r="BJ122" s="347">
        <f t="shared" si="53"/>
        <v>24.7</v>
      </c>
      <c r="BK122" s="347">
        <f t="shared" si="53"/>
        <v>32.1</v>
      </c>
      <c r="BL122" s="362">
        <f t="shared" si="41"/>
        <v>0.29965156794425091</v>
      </c>
    </row>
    <row r="123" spans="2:64">
      <c r="B123" s="156">
        <v>136</v>
      </c>
      <c r="C123" s="157" t="s">
        <v>6270</v>
      </c>
      <c r="D123" s="157" t="s">
        <v>6229</v>
      </c>
      <c r="E123" s="157">
        <v>2000</v>
      </c>
      <c r="F123" s="157">
        <v>2499</v>
      </c>
      <c r="G123" s="359">
        <v>9.4600000000000009</v>
      </c>
      <c r="H123" s="296"/>
      <c r="I123" s="360">
        <f t="shared" si="32"/>
        <v>12.3</v>
      </c>
      <c r="Y123" s="223">
        <v>54</v>
      </c>
      <c r="Z123" s="223">
        <v>2</v>
      </c>
      <c r="AA123" s="223" t="s">
        <v>385</v>
      </c>
      <c r="AB123" s="223" t="s">
        <v>386</v>
      </c>
      <c r="AC123" s="223">
        <v>1114</v>
      </c>
      <c r="AD123" s="223">
        <v>1499</v>
      </c>
      <c r="AE123" s="224">
        <v>11.74</v>
      </c>
      <c r="AF123" s="224">
        <v>12.21</v>
      </c>
      <c r="AG123" s="360">
        <f t="shared" si="36"/>
        <v>15.26</v>
      </c>
      <c r="AH123" s="360">
        <f t="shared" si="49"/>
        <v>15.87</v>
      </c>
      <c r="AI123" s="362">
        <f t="shared" si="43"/>
        <v>0.29982964224872227</v>
      </c>
      <c r="AJ123" s="362"/>
      <c r="AK123" s="346">
        <v>21508</v>
      </c>
      <c r="AL123" s="346">
        <v>600</v>
      </c>
      <c r="AM123" s="346">
        <v>899</v>
      </c>
      <c r="AN123" s="316"/>
      <c r="AO123" s="347">
        <v>9.4600000000000009</v>
      </c>
      <c r="AP123" s="347">
        <v>12.4</v>
      </c>
      <c r="AQ123" s="347">
        <v>16.13</v>
      </c>
      <c r="AR123" s="348"/>
      <c r="AS123" s="347">
        <v>12.43</v>
      </c>
      <c r="AT123" s="347">
        <v>13.41</v>
      </c>
      <c r="AU123" s="347">
        <v>17.43</v>
      </c>
      <c r="AV123" s="348"/>
      <c r="AW123" s="347">
        <v>21.14</v>
      </c>
      <c r="AX123" s="347">
        <v>22.79</v>
      </c>
      <c r="AY123" s="347">
        <v>29.63</v>
      </c>
      <c r="AZ123" s="365"/>
      <c r="BA123" s="347">
        <f t="shared" ref="BA123:BA126" si="54">ROUND(AO123*1.3,2)</f>
        <v>12.3</v>
      </c>
      <c r="BB123" s="347">
        <f t="shared" si="51"/>
        <v>16.12</v>
      </c>
      <c r="BC123" s="347">
        <f t="shared" si="51"/>
        <v>20.97</v>
      </c>
      <c r="BD123" s="348"/>
      <c r="BE123" s="347">
        <f t="shared" si="52"/>
        <v>16.16</v>
      </c>
      <c r="BF123" s="347">
        <f t="shared" si="52"/>
        <v>17.43</v>
      </c>
      <c r="BG123" s="347">
        <f t="shared" si="52"/>
        <v>22.66</v>
      </c>
      <c r="BH123" s="348"/>
      <c r="BI123" s="347">
        <f t="shared" si="53"/>
        <v>27.48</v>
      </c>
      <c r="BJ123" s="347">
        <f t="shared" si="53"/>
        <v>29.63</v>
      </c>
      <c r="BK123" s="347">
        <f t="shared" si="53"/>
        <v>38.520000000000003</v>
      </c>
      <c r="BL123" s="362">
        <f t="shared" si="41"/>
        <v>0.30021141649048622</v>
      </c>
    </row>
    <row r="124" spans="2:64">
      <c r="B124" s="156">
        <v>136</v>
      </c>
      <c r="C124" s="157" t="s">
        <v>6270</v>
      </c>
      <c r="D124" s="157" t="s">
        <v>6231</v>
      </c>
      <c r="E124" s="157">
        <v>2500</v>
      </c>
      <c r="F124" s="157">
        <v>2999</v>
      </c>
      <c r="G124" s="359">
        <v>11.51</v>
      </c>
      <c r="H124" s="296"/>
      <c r="I124" s="360">
        <f t="shared" si="32"/>
        <v>14.96</v>
      </c>
      <c r="Y124" s="227">
        <v>54</v>
      </c>
      <c r="Z124" s="227">
        <v>2</v>
      </c>
      <c r="AA124" s="227" t="s">
        <v>385</v>
      </c>
      <c r="AB124" s="227" t="s">
        <v>386</v>
      </c>
      <c r="AC124" s="227">
        <v>1500</v>
      </c>
      <c r="AD124" s="227">
        <v>1999</v>
      </c>
      <c r="AE124" s="228">
        <v>14.27</v>
      </c>
      <c r="AF124" s="228">
        <v>14.85</v>
      </c>
      <c r="AG124" s="360">
        <f t="shared" si="36"/>
        <v>18.55</v>
      </c>
      <c r="AH124" s="360">
        <f t="shared" si="49"/>
        <v>19.29</v>
      </c>
      <c r="AI124" s="362">
        <f t="shared" si="43"/>
        <v>0.29992992291520681</v>
      </c>
      <c r="AJ124" s="362"/>
      <c r="AK124" s="346">
        <v>21508</v>
      </c>
      <c r="AL124" s="346">
        <v>900</v>
      </c>
      <c r="AM124" s="346">
        <v>1199</v>
      </c>
      <c r="AN124" s="316"/>
      <c r="AO124" s="347">
        <v>10.88</v>
      </c>
      <c r="AP124" s="347">
        <v>14.89</v>
      </c>
      <c r="AQ124" s="347">
        <v>19.350000000000001</v>
      </c>
      <c r="AR124" s="348"/>
      <c r="AS124" s="347">
        <v>14.3</v>
      </c>
      <c r="AT124" s="347">
        <v>16.09</v>
      </c>
      <c r="AU124" s="347">
        <v>20.92</v>
      </c>
      <c r="AV124" s="348"/>
      <c r="AW124" s="347">
        <v>24.31</v>
      </c>
      <c r="AX124" s="347">
        <v>27.35</v>
      </c>
      <c r="AY124" s="347">
        <v>35.56</v>
      </c>
      <c r="AZ124" s="365"/>
      <c r="BA124" s="347">
        <f t="shared" si="54"/>
        <v>14.14</v>
      </c>
      <c r="BB124" s="347">
        <f t="shared" si="51"/>
        <v>19.36</v>
      </c>
      <c r="BC124" s="347">
        <f t="shared" si="51"/>
        <v>25.16</v>
      </c>
      <c r="BD124" s="348"/>
      <c r="BE124" s="347">
        <f t="shared" si="52"/>
        <v>18.59</v>
      </c>
      <c r="BF124" s="347">
        <f t="shared" si="52"/>
        <v>20.92</v>
      </c>
      <c r="BG124" s="347">
        <f t="shared" si="52"/>
        <v>27.2</v>
      </c>
      <c r="BH124" s="348"/>
      <c r="BI124" s="347">
        <f t="shared" si="53"/>
        <v>31.6</v>
      </c>
      <c r="BJ124" s="347">
        <f t="shared" si="53"/>
        <v>35.56</v>
      </c>
      <c r="BK124" s="347">
        <f t="shared" si="53"/>
        <v>46.23</v>
      </c>
      <c r="BL124" s="362">
        <f t="shared" si="41"/>
        <v>0.29963235294117641</v>
      </c>
    </row>
    <row r="125" spans="2:64">
      <c r="B125" s="156">
        <v>136</v>
      </c>
      <c r="C125" s="157" t="s">
        <v>6270</v>
      </c>
      <c r="D125" s="157" t="s">
        <v>6234</v>
      </c>
      <c r="E125" s="157">
        <v>3000</v>
      </c>
      <c r="F125" s="157">
        <v>3499</v>
      </c>
      <c r="G125" s="359">
        <v>13.56</v>
      </c>
      <c r="H125" s="296"/>
      <c r="I125" s="360">
        <f t="shared" si="32"/>
        <v>17.63</v>
      </c>
      <c r="Y125" s="227">
        <v>54</v>
      </c>
      <c r="Z125" s="227">
        <v>2</v>
      </c>
      <c r="AA125" s="227" t="s">
        <v>385</v>
      </c>
      <c r="AB125" s="227" t="s">
        <v>386</v>
      </c>
      <c r="AC125" s="227">
        <v>2000</v>
      </c>
      <c r="AD125" s="227">
        <v>2499</v>
      </c>
      <c r="AE125" s="228">
        <v>16.809999999999999</v>
      </c>
      <c r="AF125" s="228">
        <v>17.48</v>
      </c>
      <c r="AG125" s="360">
        <f t="shared" si="36"/>
        <v>21.85</v>
      </c>
      <c r="AH125" s="360">
        <f t="shared" si="49"/>
        <v>22.72</v>
      </c>
      <c r="AI125" s="362">
        <f t="shared" si="43"/>
        <v>0.29982153480071405</v>
      </c>
      <c r="AJ125" s="362"/>
      <c r="AK125" s="346">
        <v>21508</v>
      </c>
      <c r="AL125" s="346">
        <v>1200</v>
      </c>
      <c r="AM125" s="346">
        <v>1499</v>
      </c>
      <c r="AN125" s="316"/>
      <c r="AO125" s="347">
        <v>12.51</v>
      </c>
      <c r="AP125" s="347">
        <v>17.86</v>
      </c>
      <c r="AQ125" s="347">
        <v>23.22</v>
      </c>
      <c r="AR125" s="348"/>
      <c r="AS125" s="347">
        <v>16.45</v>
      </c>
      <c r="AT125" s="347">
        <v>19.309999999999999</v>
      </c>
      <c r="AU125" s="347">
        <v>25.1</v>
      </c>
      <c r="AV125" s="348"/>
      <c r="AW125" s="347">
        <v>27.96</v>
      </c>
      <c r="AX125" s="347">
        <v>32.82</v>
      </c>
      <c r="AY125" s="347">
        <v>42.67</v>
      </c>
      <c r="AZ125" s="365"/>
      <c r="BA125" s="347">
        <f t="shared" si="54"/>
        <v>16.260000000000002</v>
      </c>
      <c r="BB125" s="347">
        <f t="shared" si="51"/>
        <v>23.22</v>
      </c>
      <c r="BC125" s="347">
        <f t="shared" si="51"/>
        <v>30.19</v>
      </c>
      <c r="BD125" s="348"/>
      <c r="BE125" s="347">
        <f t="shared" si="52"/>
        <v>21.39</v>
      </c>
      <c r="BF125" s="347">
        <f t="shared" si="52"/>
        <v>25.1</v>
      </c>
      <c r="BG125" s="347">
        <f t="shared" si="52"/>
        <v>32.630000000000003</v>
      </c>
      <c r="BH125" s="348"/>
      <c r="BI125" s="347">
        <f t="shared" si="53"/>
        <v>36.35</v>
      </c>
      <c r="BJ125" s="347">
        <f t="shared" si="53"/>
        <v>42.67</v>
      </c>
      <c r="BK125" s="347">
        <f t="shared" si="53"/>
        <v>55.47</v>
      </c>
      <c r="BL125" s="362">
        <f t="shared" si="41"/>
        <v>0.29976019184652292</v>
      </c>
    </row>
    <row r="126" spans="2:64">
      <c r="B126" s="156">
        <v>136</v>
      </c>
      <c r="C126" s="157" t="s">
        <v>6270</v>
      </c>
      <c r="D126" s="157" t="s">
        <v>6236</v>
      </c>
      <c r="E126" s="157">
        <v>3500</v>
      </c>
      <c r="F126" s="157">
        <v>3999</v>
      </c>
      <c r="G126" s="359">
        <v>15.61</v>
      </c>
      <c r="H126" s="296"/>
      <c r="I126" s="360">
        <f t="shared" si="32"/>
        <v>20.29</v>
      </c>
      <c r="Y126" s="227">
        <v>54</v>
      </c>
      <c r="Z126" s="227">
        <v>2</v>
      </c>
      <c r="AA126" s="227" t="s">
        <v>385</v>
      </c>
      <c r="AB126" s="227" t="s">
        <v>386</v>
      </c>
      <c r="AC126" s="227">
        <v>2500</v>
      </c>
      <c r="AD126" s="227">
        <v>2999</v>
      </c>
      <c r="AE126" s="228">
        <v>19.34</v>
      </c>
      <c r="AF126" s="228">
        <v>20.11</v>
      </c>
      <c r="AG126" s="360">
        <f t="shared" si="36"/>
        <v>25.14</v>
      </c>
      <c r="AH126" s="360">
        <f t="shared" si="49"/>
        <v>26.15</v>
      </c>
      <c r="AI126" s="362">
        <f t="shared" si="43"/>
        <v>0.29989658738366087</v>
      </c>
      <c r="AJ126" s="362"/>
      <c r="AK126" s="346">
        <v>21508</v>
      </c>
      <c r="AL126" s="346">
        <v>1500</v>
      </c>
      <c r="AM126" s="346">
        <v>1799</v>
      </c>
      <c r="AN126" s="316"/>
      <c r="AO126" s="347">
        <v>14.38</v>
      </c>
      <c r="AP126" s="347">
        <v>21.44</v>
      </c>
      <c r="AQ126" s="347">
        <v>27.87</v>
      </c>
      <c r="AR126" s="348"/>
      <c r="AS126" s="347">
        <v>18.91</v>
      </c>
      <c r="AT126" s="347">
        <v>23.17</v>
      </c>
      <c r="AU126" s="347">
        <v>30.12</v>
      </c>
      <c r="AV126" s="348"/>
      <c r="AW126" s="347">
        <v>32.15</v>
      </c>
      <c r="AX126" s="347">
        <v>39.39</v>
      </c>
      <c r="AY126" s="347">
        <v>51.21</v>
      </c>
      <c r="AZ126" s="365"/>
      <c r="BA126" s="347">
        <f t="shared" si="54"/>
        <v>18.690000000000001</v>
      </c>
      <c r="BB126" s="347">
        <f t="shared" ref="BB126" si="55">ROUND(AP126*1.3,2)</f>
        <v>27.87</v>
      </c>
      <c r="BC126" s="347">
        <f t="shared" ref="BC126" si="56">ROUND(AQ126*1.3,2)</f>
        <v>36.229999999999997</v>
      </c>
      <c r="BD126" s="348"/>
      <c r="BE126" s="347">
        <f t="shared" ref="BE126" si="57">ROUND(AS126*1.3,2)</f>
        <v>24.58</v>
      </c>
      <c r="BF126" s="347">
        <f t="shared" ref="BF126" si="58">ROUND(AT126*1.3,2)</f>
        <v>30.12</v>
      </c>
      <c r="BG126" s="347">
        <f t="shared" ref="BG126" si="59">ROUND(AU126*1.3,2)</f>
        <v>39.159999999999997</v>
      </c>
      <c r="BH126" s="348"/>
      <c r="BI126" s="347">
        <f t="shared" ref="BI126" si="60">ROUND(AW126*1.3,2)</f>
        <v>41.8</v>
      </c>
      <c r="BJ126" s="347">
        <f t="shared" ref="BJ126" si="61">ROUND(AX126*1.3,2)</f>
        <v>51.21</v>
      </c>
      <c r="BK126" s="347">
        <f t="shared" ref="BK126" si="62">ROUND(AY126*1.3,2)</f>
        <v>66.569999999999993</v>
      </c>
      <c r="BL126" s="362">
        <f t="shared" si="41"/>
        <v>0.29972183588317108</v>
      </c>
    </row>
    <row r="127" spans="2:64">
      <c r="B127" s="156">
        <v>136</v>
      </c>
      <c r="C127" s="157" t="s">
        <v>6270</v>
      </c>
      <c r="D127" s="157" t="s">
        <v>6238</v>
      </c>
      <c r="E127" s="157">
        <v>4000</v>
      </c>
      <c r="F127" s="157">
        <v>4499</v>
      </c>
      <c r="G127" s="359">
        <v>17.66</v>
      </c>
      <c r="H127" s="296"/>
      <c r="I127" s="360">
        <f t="shared" si="32"/>
        <v>22.96</v>
      </c>
      <c r="Y127" s="227">
        <v>54</v>
      </c>
      <c r="Z127" s="227">
        <v>2</v>
      </c>
      <c r="AA127" s="227" t="s">
        <v>385</v>
      </c>
      <c r="AB127" s="227" t="s">
        <v>386</v>
      </c>
      <c r="AC127" s="227">
        <v>3000</v>
      </c>
      <c r="AD127" s="227">
        <v>3599</v>
      </c>
      <c r="AE127" s="228">
        <v>22.38</v>
      </c>
      <c r="AF127" s="228">
        <v>23.28</v>
      </c>
      <c r="AG127" s="360">
        <f t="shared" si="36"/>
        <v>29.09</v>
      </c>
      <c r="AH127" s="360">
        <f t="shared" si="49"/>
        <v>30.25</v>
      </c>
      <c r="AI127" s="362">
        <f t="shared" si="43"/>
        <v>0.29982126899016986</v>
      </c>
      <c r="AJ127" s="362"/>
    </row>
    <row r="128" spans="2:64">
      <c r="B128" s="156">
        <v>136</v>
      </c>
      <c r="C128" s="157" t="s">
        <v>6270</v>
      </c>
      <c r="D128" s="157" t="s">
        <v>6240</v>
      </c>
      <c r="E128" s="157">
        <v>4500</v>
      </c>
      <c r="F128" s="157">
        <v>4999</v>
      </c>
      <c r="G128" s="359">
        <v>19.71</v>
      </c>
      <c r="H128" s="296"/>
      <c r="I128" s="360">
        <f t="shared" si="32"/>
        <v>25.62</v>
      </c>
      <c r="Y128" s="227">
        <v>54</v>
      </c>
      <c r="Z128" s="227">
        <v>2</v>
      </c>
      <c r="AA128" s="227" t="s">
        <v>385</v>
      </c>
      <c r="AB128" s="227" t="s">
        <v>386</v>
      </c>
      <c r="AC128" s="227">
        <v>3600</v>
      </c>
      <c r="AD128" s="227">
        <v>3959</v>
      </c>
      <c r="AE128" s="228">
        <v>24.2</v>
      </c>
      <c r="AF128" s="228">
        <v>25.17</v>
      </c>
      <c r="AG128" s="360">
        <f t="shared" si="36"/>
        <v>31.46</v>
      </c>
      <c r="AH128" s="360">
        <f t="shared" si="49"/>
        <v>32.72</v>
      </c>
      <c r="AI128" s="362">
        <f t="shared" si="43"/>
        <v>0.3000000000000001</v>
      </c>
      <c r="AJ128" s="362"/>
    </row>
    <row r="129" spans="2:36">
      <c r="B129" s="156">
        <v>136</v>
      </c>
      <c r="C129" s="157" t="s">
        <v>6270</v>
      </c>
      <c r="D129" s="157" t="s">
        <v>6241</v>
      </c>
      <c r="E129" s="157">
        <v>5000</v>
      </c>
      <c r="F129" s="157">
        <v>5499</v>
      </c>
      <c r="G129" s="359">
        <v>21.76</v>
      </c>
      <c r="H129" s="296"/>
      <c r="I129" s="360">
        <f t="shared" si="32"/>
        <v>28.29</v>
      </c>
      <c r="Y129" s="223">
        <v>56</v>
      </c>
      <c r="Z129" s="223">
        <v>4</v>
      </c>
      <c r="AA129" s="223" t="s">
        <v>316</v>
      </c>
      <c r="AB129" s="223" t="s">
        <v>316</v>
      </c>
      <c r="AC129" s="223">
        <v>16</v>
      </c>
      <c r="AD129" s="223">
        <v>249</v>
      </c>
      <c r="AE129" s="224">
        <v>4.2300000000000004</v>
      </c>
      <c r="AF129" s="224">
        <v>4.4000000000000004</v>
      </c>
      <c r="AG129" s="360">
        <f t="shared" si="36"/>
        <v>5.5</v>
      </c>
      <c r="AH129" s="360">
        <f t="shared" si="49"/>
        <v>5.72</v>
      </c>
      <c r="AI129" s="362">
        <f t="shared" si="43"/>
        <v>0.30023640661938522</v>
      </c>
      <c r="AJ129" s="362"/>
    </row>
    <row r="130" spans="2:36">
      <c r="B130" s="156">
        <v>136</v>
      </c>
      <c r="C130" s="157" t="s">
        <v>6270</v>
      </c>
      <c r="D130" s="157" t="s">
        <v>6242</v>
      </c>
      <c r="E130" s="157">
        <v>5500</v>
      </c>
      <c r="F130" s="157">
        <v>5999</v>
      </c>
      <c r="G130" s="359">
        <v>23.81</v>
      </c>
      <c r="H130" s="296"/>
      <c r="I130" s="360">
        <f t="shared" si="32"/>
        <v>30.95</v>
      </c>
      <c r="Y130" s="227">
        <v>56</v>
      </c>
      <c r="Z130" s="227">
        <v>4</v>
      </c>
      <c r="AA130" s="227" t="s">
        <v>316</v>
      </c>
      <c r="AB130" s="227" t="s">
        <v>316</v>
      </c>
      <c r="AC130" s="227">
        <v>250</v>
      </c>
      <c r="AD130" s="227">
        <v>299</v>
      </c>
      <c r="AE130" s="228">
        <v>4.33</v>
      </c>
      <c r="AF130" s="228">
        <v>4.5</v>
      </c>
      <c r="AG130" s="360">
        <f t="shared" si="36"/>
        <v>5.63</v>
      </c>
      <c r="AH130" s="360">
        <f t="shared" si="49"/>
        <v>5.86</v>
      </c>
      <c r="AI130" s="362">
        <f t="shared" si="43"/>
        <v>0.30023094688221702</v>
      </c>
      <c r="AJ130" s="362"/>
    </row>
    <row r="131" spans="2:36">
      <c r="B131" s="156">
        <v>136</v>
      </c>
      <c r="C131" s="157" t="s">
        <v>6270</v>
      </c>
      <c r="D131" s="157" t="s">
        <v>6246</v>
      </c>
      <c r="E131" s="157">
        <v>6000</v>
      </c>
      <c r="F131" s="157">
        <v>6499</v>
      </c>
      <c r="G131" s="359">
        <v>25.86</v>
      </c>
      <c r="H131" s="296"/>
      <c r="I131" s="360">
        <f t="shared" si="32"/>
        <v>33.619999999999997</v>
      </c>
      <c r="Y131" s="227">
        <v>56</v>
      </c>
      <c r="Z131" s="227">
        <v>4</v>
      </c>
      <c r="AA131" s="227" t="s">
        <v>316</v>
      </c>
      <c r="AB131" s="227" t="s">
        <v>316</v>
      </c>
      <c r="AC131" s="227">
        <v>300</v>
      </c>
      <c r="AD131" s="227">
        <v>349</v>
      </c>
      <c r="AE131" s="228">
        <v>4.42</v>
      </c>
      <c r="AF131" s="228">
        <v>4.5999999999999996</v>
      </c>
      <c r="AG131" s="360">
        <f t="shared" si="36"/>
        <v>5.75</v>
      </c>
      <c r="AH131" s="360">
        <f t="shared" si="49"/>
        <v>5.98</v>
      </c>
      <c r="AI131" s="362">
        <f t="shared" si="43"/>
        <v>0.30090497737556565</v>
      </c>
      <c r="AJ131" s="362"/>
    </row>
    <row r="132" spans="2:36">
      <c r="B132" s="156">
        <v>136</v>
      </c>
      <c r="C132" s="157" t="s">
        <v>6270</v>
      </c>
      <c r="D132" s="157" t="s">
        <v>6247</v>
      </c>
      <c r="E132" s="157">
        <v>6500</v>
      </c>
      <c r="F132" s="157">
        <v>6999</v>
      </c>
      <c r="G132" s="359">
        <v>27.91</v>
      </c>
      <c r="H132" s="296"/>
      <c r="I132" s="360">
        <f t="shared" ref="I132:I195" si="63">ROUND(G132*1.3,2)</f>
        <v>36.28</v>
      </c>
      <c r="Y132" s="227">
        <v>56</v>
      </c>
      <c r="Z132" s="227">
        <v>4</v>
      </c>
      <c r="AA132" s="227" t="s">
        <v>316</v>
      </c>
      <c r="AB132" s="227" t="s">
        <v>316</v>
      </c>
      <c r="AC132" s="227">
        <v>350</v>
      </c>
      <c r="AD132" s="227">
        <v>399</v>
      </c>
      <c r="AE132" s="228">
        <v>4.51</v>
      </c>
      <c r="AF132" s="228">
        <v>4.6900000000000004</v>
      </c>
      <c r="AG132" s="360">
        <f t="shared" ref="AG132:AG170" si="64">ROUND(AE132*1.3,2)</f>
        <v>5.86</v>
      </c>
      <c r="AH132" s="360">
        <f t="shared" si="49"/>
        <v>6.09</v>
      </c>
      <c r="AI132" s="362">
        <f t="shared" si="43"/>
        <v>0.29933481152993363</v>
      </c>
      <c r="AJ132" s="362"/>
    </row>
    <row r="133" spans="2:36">
      <c r="B133" s="156">
        <v>136</v>
      </c>
      <c r="C133" s="157" t="s">
        <v>6270</v>
      </c>
      <c r="D133" s="157" t="s">
        <v>6248</v>
      </c>
      <c r="E133" s="157">
        <v>7000</v>
      </c>
      <c r="F133" s="157">
        <v>7499</v>
      </c>
      <c r="G133" s="359">
        <v>29.96</v>
      </c>
      <c r="H133" s="296"/>
      <c r="I133" s="360">
        <f t="shared" si="63"/>
        <v>38.950000000000003</v>
      </c>
      <c r="Y133" s="227">
        <v>56</v>
      </c>
      <c r="Z133" s="227">
        <v>4</v>
      </c>
      <c r="AA133" s="227" t="s">
        <v>316</v>
      </c>
      <c r="AB133" s="227" t="s">
        <v>316</v>
      </c>
      <c r="AC133" s="227">
        <v>400</v>
      </c>
      <c r="AD133" s="227">
        <v>449</v>
      </c>
      <c r="AE133" s="228">
        <v>4.6100000000000003</v>
      </c>
      <c r="AF133" s="228">
        <v>4.79</v>
      </c>
      <c r="AG133" s="360">
        <f t="shared" si="64"/>
        <v>5.99</v>
      </c>
      <c r="AH133" s="360">
        <f t="shared" si="49"/>
        <v>6.23</v>
      </c>
      <c r="AI133" s="362">
        <f t="shared" si="43"/>
        <v>0.29934924078091102</v>
      </c>
      <c r="AJ133" s="362"/>
    </row>
    <row r="134" spans="2:36">
      <c r="B134" s="156">
        <v>136</v>
      </c>
      <c r="C134" s="157" t="s">
        <v>6270</v>
      </c>
      <c r="D134" s="157" t="s">
        <v>6250</v>
      </c>
      <c r="E134" s="157">
        <v>7500</v>
      </c>
      <c r="F134" s="157">
        <v>7999</v>
      </c>
      <c r="G134" s="359">
        <v>32.01</v>
      </c>
      <c r="H134" s="296"/>
      <c r="I134" s="360">
        <f t="shared" si="63"/>
        <v>41.61</v>
      </c>
      <c r="Y134" s="227">
        <v>56</v>
      </c>
      <c r="Z134" s="227">
        <v>4</v>
      </c>
      <c r="AA134" s="227" t="s">
        <v>316</v>
      </c>
      <c r="AB134" s="227" t="s">
        <v>316</v>
      </c>
      <c r="AC134" s="227">
        <v>450</v>
      </c>
      <c r="AD134" s="227">
        <v>499</v>
      </c>
      <c r="AE134" s="228">
        <v>4.7</v>
      </c>
      <c r="AF134" s="228">
        <v>4.8899999999999997</v>
      </c>
      <c r="AG134" s="360">
        <f t="shared" si="64"/>
        <v>6.11</v>
      </c>
      <c r="AH134" s="360">
        <f t="shared" si="49"/>
        <v>6.35</v>
      </c>
      <c r="AI134" s="362">
        <f t="shared" si="43"/>
        <v>0.30000000000000004</v>
      </c>
      <c r="AJ134" s="362"/>
    </row>
    <row r="135" spans="2:36">
      <c r="B135" s="156">
        <v>136</v>
      </c>
      <c r="C135" s="157" t="s">
        <v>6270</v>
      </c>
      <c r="D135" s="157" t="s">
        <v>6252</v>
      </c>
      <c r="E135" s="157">
        <v>8000</v>
      </c>
      <c r="F135" s="157">
        <v>8499</v>
      </c>
      <c r="G135" s="359">
        <v>34.06</v>
      </c>
      <c r="H135" s="296"/>
      <c r="I135" s="360">
        <f t="shared" si="63"/>
        <v>44.28</v>
      </c>
      <c r="Y135" s="227">
        <v>56</v>
      </c>
      <c r="Z135" s="227">
        <v>4</v>
      </c>
      <c r="AA135" s="227" t="s">
        <v>316</v>
      </c>
      <c r="AB135" s="227" t="s">
        <v>316</v>
      </c>
      <c r="AC135" s="227">
        <v>500</v>
      </c>
      <c r="AD135" s="227">
        <v>549</v>
      </c>
      <c r="AE135" s="228">
        <v>4.8</v>
      </c>
      <c r="AF135" s="228">
        <v>4.99</v>
      </c>
      <c r="AG135" s="360">
        <f t="shared" si="64"/>
        <v>6.24</v>
      </c>
      <c r="AH135" s="360">
        <f t="shared" si="49"/>
        <v>6.49</v>
      </c>
      <c r="AI135" s="362">
        <f t="shared" si="43"/>
        <v>0.3000000000000001</v>
      </c>
      <c r="AJ135" s="362"/>
    </row>
    <row r="136" spans="2:36">
      <c r="B136" s="156">
        <v>136</v>
      </c>
      <c r="C136" s="157" t="s">
        <v>6270</v>
      </c>
      <c r="D136" s="157" t="s">
        <v>6255</v>
      </c>
      <c r="E136" s="157">
        <v>8500</v>
      </c>
      <c r="F136" s="157">
        <v>8999</v>
      </c>
      <c r="G136" s="359">
        <v>36.11</v>
      </c>
      <c r="H136" s="296"/>
      <c r="I136" s="360">
        <f t="shared" si="63"/>
        <v>46.94</v>
      </c>
      <c r="Y136" s="227">
        <v>56</v>
      </c>
      <c r="Z136" s="227">
        <v>4</v>
      </c>
      <c r="AA136" s="227" t="s">
        <v>316</v>
      </c>
      <c r="AB136" s="227" t="s">
        <v>316</v>
      </c>
      <c r="AC136" s="227">
        <v>550</v>
      </c>
      <c r="AD136" s="227">
        <v>599</v>
      </c>
      <c r="AE136" s="228">
        <v>4.8899999999999997</v>
      </c>
      <c r="AF136" s="228">
        <v>5.09</v>
      </c>
      <c r="AG136" s="360">
        <f t="shared" si="64"/>
        <v>6.36</v>
      </c>
      <c r="AH136" s="360">
        <f t="shared" si="49"/>
        <v>6.61</v>
      </c>
      <c r="AI136" s="362">
        <f t="shared" si="43"/>
        <v>0.30061349693251549</v>
      </c>
      <c r="AJ136" s="362"/>
    </row>
    <row r="137" spans="2:36">
      <c r="B137" s="156">
        <v>136</v>
      </c>
      <c r="C137" s="157" t="s">
        <v>6270</v>
      </c>
      <c r="D137" s="157" t="s">
        <v>6256</v>
      </c>
      <c r="E137" s="157">
        <v>9000</v>
      </c>
      <c r="F137" s="157">
        <v>9499</v>
      </c>
      <c r="G137" s="359">
        <v>38.159999999999997</v>
      </c>
      <c r="H137" s="296"/>
      <c r="I137" s="360">
        <f t="shared" si="63"/>
        <v>49.61</v>
      </c>
      <c r="Y137" s="223">
        <v>56</v>
      </c>
      <c r="Z137" s="223">
        <v>4</v>
      </c>
      <c r="AA137" s="223" t="s">
        <v>316</v>
      </c>
      <c r="AB137" s="223" t="s">
        <v>341</v>
      </c>
      <c r="AC137" s="223">
        <v>16</v>
      </c>
      <c r="AD137" s="223">
        <v>249</v>
      </c>
      <c r="AE137" s="224">
        <v>4.84</v>
      </c>
      <c r="AF137" s="224">
        <v>5.04</v>
      </c>
      <c r="AG137" s="360">
        <f t="shared" si="64"/>
        <v>6.29</v>
      </c>
      <c r="AH137" s="360">
        <f t="shared" si="49"/>
        <v>6.54</v>
      </c>
      <c r="AI137" s="362">
        <f t="shared" si="43"/>
        <v>0.29958677685950419</v>
      </c>
      <c r="AJ137" s="362"/>
    </row>
    <row r="138" spans="2:36">
      <c r="B138" s="159">
        <v>136</v>
      </c>
      <c r="C138" s="160" t="s">
        <v>6270</v>
      </c>
      <c r="D138" s="160" t="s">
        <v>6257</v>
      </c>
      <c r="E138" s="160">
        <v>9500</v>
      </c>
      <c r="F138" s="160">
        <v>10000</v>
      </c>
      <c r="G138" s="367">
        <v>40.21</v>
      </c>
      <c r="H138" s="296"/>
      <c r="I138" s="360">
        <f t="shared" si="63"/>
        <v>52.27</v>
      </c>
      <c r="Y138" s="227">
        <v>56</v>
      </c>
      <c r="Z138" s="227">
        <v>4</v>
      </c>
      <c r="AA138" s="227" t="s">
        <v>316</v>
      </c>
      <c r="AB138" s="227" t="s">
        <v>341</v>
      </c>
      <c r="AC138" s="227">
        <v>250</v>
      </c>
      <c r="AD138" s="227">
        <v>399</v>
      </c>
      <c r="AE138" s="228">
        <v>5.0999999999999996</v>
      </c>
      <c r="AF138" s="228">
        <v>5.3</v>
      </c>
      <c r="AG138" s="360">
        <f t="shared" si="64"/>
        <v>6.63</v>
      </c>
      <c r="AH138" s="360">
        <f t="shared" si="49"/>
        <v>6.9</v>
      </c>
      <c r="AI138" s="362">
        <f t="shared" si="43"/>
        <v>0.30000000000000004</v>
      </c>
      <c r="AJ138" s="362"/>
    </row>
    <row r="139" spans="2:36">
      <c r="B139" s="156">
        <v>152</v>
      </c>
      <c r="C139" s="157" t="s">
        <v>6271</v>
      </c>
      <c r="D139" s="157" t="s">
        <v>6180</v>
      </c>
      <c r="E139" s="157">
        <v>16</v>
      </c>
      <c r="F139" s="157">
        <v>249</v>
      </c>
      <c r="G139" s="359">
        <v>1.41</v>
      </c>
      <c r="H139" s="297"/>
      <c r="I139" s="360">
        <f t="shared" si="63"/>
        <v>1.83</v>
      </c>
      <c r="Y139" s="227">
        <v>56</v>
      </c>
      <c r="Z139" s="227">
        <v>4</v>
      </c>
      <c r="AA139" s="227" t="s">
        <v>316</v>
      </c>
      <c r="AB139" s="227" t="s">
        <v>341</v>
      </c>
      <c r="AC139" s="227">
        <v>400</v>
      </c>
      <c r="AD139" s="227">
        <v>499</v>
      </c>
      <c r="AE139" s="228">
        <v>5.27</v>
      </c>
      <c r="AF139" s="228">
        <v>5.48</v>
      </c>
      <c r="AG139" s="360">
        <f t="shared" si="64"/>
        <v>6.85</v>
      </c>
      <c r="AH139" s="360">
        <f t="shared" si="49"/>
        <v>7.12</v>
      </c>
      <c r="AI139" s="362">
        <f>(AG139-AE139)/AE139</f>
        <v>0.29981024667931694</v>
      </c>
      <c r="AJ139" s="362"/>
    </row>
    <row r="140" spans="2:36">
      <c r="B140" s="156">
        <v>152</v>
      </c>
      <c r="C140" s="157" t="s">
        <v>6271</v>
      </c>
      <c r="D140" s="157" t="s">
        <v>6185</v>
      </c>
      <c r="E140" s="157">
        <v>250</v>
      </c>
      <c r="F140" s="157">
        <v>299</v>
      </c>
      <c r="G140" s="359">
        <v>1.55</v>
      </c>
      <c r="H140" s="296"/>
      <c r="I140" s="360">
        <f t="shared" si="63"/>
        <v>2.02</v>
      </c>
      <c r="Y140" s="227">
        <v>56</v>
      </c>
      <c r="Z140" s="227">
        <v>4</v>
      </c>
      <c r="AA140" s="227" t="s">
        <v>316</v>
      </c>
      <c r="AB140" s="227" t="s">
        <v>341</v>
      </c>
      <c r="AC140" s="227">
        <v>500</v>
      </c>
      <c r="AD140" s="227">
        <v>649</v>
      </c>
      <c r="AE140" s="228">
        <v>5.53</v>
      </c>
      <c r="AF140" s="228">
        <v>5.75</v>
      </c>
      <c r="AG140" s="360">
        <f t="shared" si="64"/>
        <v>7.19</v>
      </c>
      <c r="AH140" s="360">
        <f t="shared" si="49"/>
        <v>7.48</v>
      </c>
      <c r="AI140" s="362">
        <f t="shared" si="43"/>
        <v>0.30018083182640148</v>
      </c>
      <c r="AJ140" s="362"/>
    </row>
    <row r="141" spans="2:36">
      <c r="B141" s="156">
        <v>152</v>
      </c>
      <c r="C141" s="157" t="s">
        <v>6271</v>
      </c>
      <c r="D141" s="157" t="s">
        <v>6187</v>
      </c>
      <c r="E141" s="157">
        <v>300</v>
      </c>
      <c r="F141" s="157">
        <v>349</v>
      </c>
      <c r="G141" s="359">
        <v>1.69</v>
      </c>
      <c r="H141" s="296"/>
      <c r="I141" s="360">
        <f t="shared" si="63"/>
        <v>2.2000000000000002</v>
      </c>
      <c r="Y141" s="227">
        <v>56</v>
      </c>
      <c r="Z141" s="227">
        <v>4</v>
      </c>
      <c r="AA141" s="227" t="s">
        <v>316</v>
      </c>
      <c r="AB141" s="227" t="s">
        <v>341</v>
      </c>
      <c r="AC141" s="227">
        <v>650</v>
      </c>
      <c r="AD141" s="227">
        <v>699</v>
      </c>
      <c r="AE141" s="228">
        <v>5.61</v>
      </c>
      <c r="AF141" s="228">
        <v>5.84</v>
      </c>
      <c r="AG141" s="360">
        <f t="shared" si="64"/>
        <v>7.29</v>
      </c>
      <c r="AH141" s="360">
        <f t="shared" si="49"/>
        <v>7.58</v>
      </c>
      <c r="AI141" s="362">
        <f t="shared" ref="AI141:AI148" si="65">(AG141-AE141)/AE141</f>
        <v>0.29946524064171115</v>
      </c>
      <c r="AJ141" s="362"/>
    </row>
    <row r="142" spans="2:36">
      <c r="B142" s="156">
        <v>152</v>
      </c>
      <c r="C142" s="157" t="s">
        <v>6271</v>
      </c>
      <c r="D142" s="157" t="s">
        <v>6193</v>
      </c>
      <c r="E142" s="157">
        <v>350</v>
      </c>
      <c r="F142" s="157">
        <v>399</v>
      </c>
      <c r="G142" s="359">
        <v>1.83</v>
      </c>
      <c r="H142" s="296"/>
      <c r="I142" s="360">
        <f t="shared" si="63"/>
        <v>2.38</v>
      </c>
      <c r="Y142" s="227">
        <v>56</v>
      </c>
      <c r="Z142" s="227">
        <v>4</v>
      </c>
      <c r="AA142" s="227" t="s">
        <v>316</v>
      </c>
      <c r="AB142" s="227" t="s">
        <v>341</v>
      </c>
      <c r="AC142" s="227">
        <v>700</v>
      </c>
      <c r="AD142" s="227">
        <v>999</v>
      </c>
      <c r="AE142" s="228">
        <v>6.13</v>
      </c>
      <c r="AF142" s="228">
        <v>6.37</v>
      </c>
      <c r="AG142" s="360">
        <f t="shared" si="64"/>
        <v>7.97</v>
      </c>
      <c r="AH142" s="360">
        <f t="shared" si="49"/>
        <v>8.2899999999999991</v>
      </c>
      <c r="AI142" s="362">
        <f t="shared" si="65"/>
        <v>0.300163132137031</v>
      </c>
      <c r="AJ142" s="362"/>
    </row>
    <row r="143" spans="2:36">
      <c r="B143" s="156">
        <v>152</v>
      </c>
      <c r="C143" s="157" t="s">
        <v>6271</v>
      </c>
      <c r="D143" s="157" t="s">
        <v>6196</v>
      </c>
      <c r="E143" s="157">
        <v>400</v>
      </c>
      <c r="F143" s="157">
        <v>449</v>
      </c>
      <c r="G143" s="359">
        <v>1.97</v>
      </c>
      <c r="H143" s="296"/>
      <c r="I143" s="360">
        <f t="shared" si="63"/>
        <v>2.56</v>
      </c>
      <c r="Y143" s="227">
        <v>56</v>
      </c>
      <c r="Z143" s="227">
        <v>4</v>
      </c>
      <c r="AA143" s="227" t="s">
        <v>316</v>
      </c>
      <c r="AB143" s="227" t="s">
        <v>341</v>
      </c>
      <c r="AC143" s="227">
        <v>1000</v>
      </c>
      <c r="AD143" s="227">
        <v>1145</v>
      </c>
      <c r="AE143" s="228">
        <v>6.38</v>
      </c>
      <c r="AF143" s="228">
        <v>6.63</v>
      </c>
      <c r="AG143" s="360">
        <f t="shared" si="64"/>
        <v>8.2899999999999991</v>
      </c>
      <c r="AH143" s="360">
        <f t="shared" si="49"/>
        <v>8.6199999999999992</v>
      </c>
      <c r="AI143" s="362">
        <f t="shared" si="65"/>
        <v>0.29937304075235099</v>
      </c>
      <c r="AJ143" s="362"/>
    </row>
    <row r="144" spans="2:36">
      <c r="B144" s="156">
        <v>152</v>
      </c>
      <c r="C144" s="157" t="s">
        <v>6271</v>
      </c>
      <c r="D144" s="157" t="s">
        <v>6199</v>
      </c>
      <c r="E144" s="157">
        <v>450</v>
      </c>
      <c r="F144" s="157">
        <v>499</v>
      </c>
      <c r="G144" s="359">
        <v>2.11</v>
      </c>
      <c r="H144" s="296"/>
      <c r="I144" s="360">
        <f t="shared" si="63"/>
        <v>2.74</v>
      </c>
      <c r="Y144" s="257">
        <v>56</v>
      </c>
      <c r="Z144" s="257">
        <v>4</v>
      </c>
      <c r="AA144" s="257" t="s">
        <v>316</v>
      </c>
      <c r="AB144" s="258" t="s">
        <v>351</v>
      </c>
      <c r="AC144" s="258">
        <v>16</v>
      </c>
      <c r="AD144" s="258">
        <v>499</v>
      </c>
      <c r="AE144" s="224">
        <v>5.46</v>
      </c>
      <c r="AF144" s="224">
        <v>5.68</v>
      </c>
      <c r="AG144" s="360">
        <f t="shared" si="64"/>
        <v>7.1</v>
      </c>
      <c r="AH144" s="360">
        <f t="shared" si="49"/>
        <v>7.38</v>
      </c>
      <c r="AI144" s="362">
        <f t="shared" si="65"/>
        <v>0.3003663003663003</v>
      </c>
      <c r="AJ144" s="362"/>
    </row>
    <row r="145" spans="2:36">
      <c r="B145" s="156">
        <v>152</v>
      </c>
      <c r="C145" s="157" t="s">
        <v>6271</v>
      </c>
      <c r="D145" s="157" t="s">
        <v>6201</v>
      </c>
      <c r="E145" s="157">
        <v>500</v>
      </c>
      <c r="F145" s="157">
        <v>549</v>
      </c>
      <c r="G145" s="359">
        <v>2.25</v>
      </c>
      <c r="H145" s="296"/>
      <c r="I145" s="360">
        <f t="shared" si="63"/>
        <v>2.93</v>
      </c>
      <c r="Y145" s="227">
        <v>56</v>
      </c>
      <c r="Z145" s="227">
        <v>4</v>
      </c>
      <c r="AA145" s="259" t="s">
        <v>316</v>
      </c>
      <c r="AB145" s="260" t="s">
        <v>351</v>
      </c>
      <c r="AC145" s="260">
        <v>500</v>
      </c>
      <c r="AD145" s="260">
        <v>649</v>
      </c>
      <c r="AE145" s="228">
        <v>5.71</v>
      </c>
      <c r="AF145" s="228">
        <v>5.94</v>
      </c>
      <c r="AG145" s="360">
        <f t="shared" si="64"/>
        <v>7.42</v>
      </c>
      <c r="AH145" s="360">
        <f t="shared" si="49"/>
        <v>7.72</v>
      </c>
      <c r="AI145" s="362">
        <f t="shared" si="65"/>
        <v>0.29947460595446584</v>
      </c>
      <c r="AJ145" s="362"/>
    </row>
    <row r="146" spans="2:36">
      <c r="B146" s="156">
        <v>152</v>
      </c>
      <c r="C146" s="157" t="s">
        <v>6271</v>
      </c>
      <c r="D146" s="157" t="s">
        <v>6203</v>
      </c>
      <c r="E146" s="157">
        <v>550</v>
      </c>
      <c r="F146" s="157">
        <v>599</v>
      </c>
      <c r="G146" s="359">
        <v>2.39</v>
      </c>
      <c r="H146" s="296"/>
      <c r="I146" s="360">
        <f t="shared" si="63"/>
        <v>3.11</v>
      </c>
      <c r="Y146" s="227">
        <v>56</v>
      </c>
      <c r="Z146" s="227">
        <v>4</v>
      </c>
      <c r="AA146" s="259" t="s">
        <v>316</v>
      </c>
      <c r="AB146" s="260" t="s">
        <v>351</v>
      </c>
      <c r="AC146" s="260">
        <v>650</v>
      </c>
      <c r="AD146" s="260">
        <v>799</v>
      </c>
      <c r="AE146" s="228">
        <v>5.97</v>
      </c>
      <c r="AF146" s="228">
        <v>6.21</v>
      </c>
      <c r="AG146" s="360">
        <f t="shared" si="64"/>
        <v>7.76</v>
      </c>
      <c r="AH146" s="360">
        <f t="shared" si="49"/>
        <v>8.07</v>
      </c>
      <c r="AI146" s="362">
        <f t="shared" si="65"/>
        <v>0.29983249581239535</v>
      </c>
      <c r="AJ146" s="362"/>
    </row>
    <row r="147" spans="2:36">
      <c r="B147" s="156">
        <v>152</v>
      </c>
      <c r="C147" s="157" t="s">
        <v>6271</v>
      </c>
      <c r="D147" s="157" t="s">
        <v>6205</v>
      </c>
      <c r="E147" s="157">
        <v>600</v>
      </c>
      <c r="F147" s="157">
        <v>649</v>
      </c>
      <c r="G147" s="359">
        <v>2.5299999999999998</v>
      </c>
      <c r="H147" s="296"/>
      <c r="I147" s="360">
        <f t="shared" si="63"/>
        <v>3.29</v>
      </c>
      <c r="Y147" s="227">
        <v>56</v>
      </c>
      <c r="Z147" s="227">
        <v>4</v>
      </c>
      <c r="AA147" s="259" t="s">
        <v>316</v>
      </c>
      <c r="AB147" s="260" t="s">
        <v>351</v>
      </c>
      <c r="AC147" s="260">
        <v>800</v>
      </c>
      <c r="AD147" s="260">
        <v>1099</v>
      </c>
      <c r="AE147" s="228">
        <v>6.49</v>
      </c>
      <c r="AF147" s="228">
        <v>6.74</v>
      </c>
      <c r="AG147" s="360">
        <f t="shared" si="64"/>
        <v>8.44</v>
      </c>
      <c r="AH147" s="360">
        <f t="shared" si="49"/>
        <v>8.7799999999999994</v>
      </c>
      <c r="AI147" s="362">
        <f t="shared" si="65"/>
        <v>0.30046224961479184</v>
      </c>
      <c r="AJ147" s="362"/>
    </row>
    <row r="148" spans="2:36">
      <c r="B148" s="156">
        <v>152</v>
      </c>
      <c r="C148" s="157" t="s">
        <v>6271</v>
      </c>
      <c r="D148" s="157" t="s">
        <v>6207</v>
      </c>
      <c r="E148" s="157">
        <v>650</v>
      </c>
      <c r="F148" s="157">
        <v>699</v>
      </c>
      <c r="G148" s="359">
        <v>2.67</v>
      </c>
      <c r="H148" s="296"/>
      <c r="I148" s="360">
        <f t="shared" si="63"/>
        <v>3.47</v>
      </c>
      <c r="Y148" s="227">
        <v>56</v>
      </c>
      <c r="Z148" s="227">
        <v>4</v>
      </c>
      <c r="AA148" s="259" t="s">
        <v>316</v>
      </c>
      <c r="AB148" s="260" t="s">
        <v>351</v>
      </c>
      <c r="AC148" s="260">
        <v>1100</v>
      </c>
      <c r="AD148" s="260">
        <v>1299</v>
      </c>
      <c r="AE148" s="228">
        <v>6.83</v>
      </c>
      <c r="AF148" s="228">
        <v>7.1</v>
      </c>
      <c r="AG148" s="360">
        <f t="shared" si="64"/>
        <v>8.8800000000000008</v>
      </c>
      <c r="AH148" s="360">
        <f t="shared" si="49"/>
        <v>9.24</v>
      </c>
      <c r="AI148" s="362">
        <f t="shared" si="65"/>
        <v>0.30014641288433391</v>
      </c>
      <c r="AJ148" s="362"/>
    </row>
    <row r="149" spans="2:36">
      <c r="B149" s="156">
        <v>152</v>
      </c>
      <c r="C149" s="157" t="s">
        <v>6271</v>
      </c>
      <c r="D149" s="157" t="s">
        <v>6211</v>
      </c>
      <c r="E149" s="157">
        <v>700</v>
      </c>
      <c r="F149" s="157">
        <v>749</v>
      </c>
      <c r="G149" s="359">
        <v>2.81</v>
      </c>
      <c r="H149" s="296"/>
      <c r="I149" s="360">
        <f t="shared" si="63"/>
        <v>3.65</v>
      </c>
      <c r="Y149" s="236">
        <v>56</v>
      </c>
      <c r="Z149" s="236">
        <v>4</v>
      </c>
      <c r="AA149" s="261" t="s">
        <v>316</v>
      </c>
      <c r="AB149" s="262" t="s">
        <v>351</v>
      </c>
      <c r="AC149" s="236">
        <v>1300</v>
      </c>
      <c r="AD149" s="236">
        <v>1499</v>
      </c>
      <c r="AE149" s="237">
        <v>11.52</v>
      </c>
      <c r="AF149" s="237">
        <v>11.98</v>
      </c>
      <c r="AG149" s="360">
        <f t="shared" si="64"/>
        <v>14.98</v>
      </c>
      <c r="AH149" s="360">
        <f t="shared" si="49"/>
        <v>15.58</v>
      </c>
    </row>
    <row r="150" spans="2:36">
      <c r="B150" s="156">
        <v>152</v>
      </c>
      <c r="C150" s="157" t="s">
        <v>6271</v>
      </c>
      <c r="D150" s="157" t="s">
        <v>6212</v>
      </c>
      <c r="E150" s="157">
        <v>750</v>
      </c>
      <c r="F150" s="157">
        <v>799</v>
      </c>
      <c r="G150" s="359">
        <v>2.95</v>
      </c>
      <c r="H150" s="296"/>
      <c r="I150" s="360">
        <f t="shared" si="63"/>
        <v>3.84</v>
      </c>
      <c r="Y150" s="236">
        <v>56</v>
      </c>
      <c r="Z150" s="236">
        <v>4</v>
      </c>
      <c r="AA150" s="261" t="s">
        <v>316</v>
      </c>
      <c r="AB150" s="262" t="s">
        <v>351</v>
      </c>
      <c r="AC150" s="236">
        <v>1500</v>
      </c>
      <c r="AD150" s="236">
        <v>1699</v>
      </c>
      <c r="AE150" s="237">
        <v>12.36</v>
      </c>
      <c r="AF150" s="237">
        <v>12.85</v>
      </c>
      <c r="AG150" s="360">
        <f t="shared" si="64"/>
        <v>16.07</v>
      </c>
      <c r="AH150" s="360">
        <f t="shared" si="49"/>
        <v>16.71</v>
      </c>
    </row>
    <row r="151" spans="2:36">
      <c r="B151" s="156">
        <v>152</v>
      </c>
      <c r="C151" s="157" t="s">
        <v>6271</v>
      </c>
      <c r="D151" s="157" t="s">
        <v>6213</v>
      </c>
      <c r="E151" s="157">
        <v>800</v>
      </c>
      <c r="F151" s="157">
        <v>849</v>
      </c>
      <c r="G151" s="359">
        <v>3.09</v>
      </c>
      <c r="H151" s="296"/>
      <c r="I151" s="360">
        <f t="shared" si="63"/>
        <v>4.0199999999999996</v>
      </c>
      <c r="Y151" s="236">
        <v>56</v>
      </c>
      <c r="Z151" s="236">
        <v>4</v>
      </c>
      <c r="AA151" s="261" t="s">
        <v>316</v>
      </c>
      <c r="AB151" s="262" t="s">
        <v>351</v>
      </c>
      <c r="AC151" s="236">
        <v>1700</v>
      </c>
      <c r="AD151" s="236">
        <v>1899</v>
      </c>
      <c r="AE151" s="237">
        <v>13.2</v>
      </c>
      <c r="AF151" s="237">
        <v>13.73</v>
      </c>
      <c r="AG151" s="360">
        <f t="shared" si="64"/>
        <v>17.16</v>
      </c>
      <c r="AH151" s="360">
        <f t="shared" si="49"/>
        <v>17.850000000000001</v>
      </c>
    </row>
    <row r="152" spans="2:36">
      <c r="B152" s="156">
        <v>152</v>
      </c>
      <c r="C152" s="157" t="s">
        <v>6271</v>
      </c>
      <c r="D152" s="157" t="s">
        <v>6216</v>
      </c>
      <c r="E152" s="157">
        <v>850</v>
      </c>
      <c r="F152" s="157">
        <v>899</v>
      </c>
      <c r="G152" s="359">
        <v>3.23</v>
      </c>
      <c r="H152" s="296"/>
      <c r="I152" s="360">
        <f t="shared" si="63"/>
        <v>4.2</v>
      </c>
      <c r="Y152" s="238">
        <v>56</v>
      </c>
      <c r="Z152" s="238">
        <v>4</v>
      </c>
      <c r="AA152" s="238" t="s">
        <v>359</v>
      </c>
      <c r="AB152" s="238" t="s">
        <v>360</v>
      </c>
      <c r="AC152" s="238">
        <v>16</v>
      </c>
      <c r="AD152" s="238">
        <v>349</v>
      </c>
      <c r="AE152" s="239">
        <v>6.68</v>
      </c>
      <c r="AF152" s="239">
        <v>6.95</v>
      </c>
      <c r="AG152" s="360">
        <f t="shared" si="64"/>
        <v>8.68</v>
      </c>
      <c r="AH152" s="360">
        <f t="shared" si="49"/>
        <v>9.0299999999999994</v>
      </c>
    </row>
    <row r="153" spans="2:36">
      <c r="B153" s="156">
        <v>152</v>
      </c>
      <c r="C153" s="157" t="s">
        <v>6271</v>
      </c>
      <c r="D153" s="157" t="s">
        <v>6221</v>
      </c>
      <c r="E153" s="157">
        <v>900</v>
      </c>
      <c r="F153" s="157">
        <v>949</v>
      </c>
      <c r="G153" s="359">
        <v>3.37</v>
      </c>
      <c r="H153" s="296"/>
      <c r="I153" s="360">
        <f t="shared" si="63"/>
        <v>4.38</v>
      </c>
      <c r="Y153" s="227">
        <v>56</v>
      </c>
      <c r="Z153" s="227">
        <v>4</v>
      </c>
      <c r="AA153" s="227" t="s">
        <v>359</v>
      </c>
      <c r="AB153" s="227" t="s">
        <v>360</v>
      </c>
      <c r="AC153" s="227">
        <v>350</v>
      </c>
      <c r="AD153" s="227">
        <v>499</v>
      </c>
      <c r="AE153" s="228">
        <v>7.31</v>
      </c>
      <c r="AF153" s="228">
        <v>7.61</v>
      </c>
      <c r="AG153" s="360">
        <f t="shared" si="64"/>
        <v>9.5</v>
      </c>
      <c r="AH153" s="360">
        <f t="shared" si="49"/>
        <v>9.8800000000000008</v>
      </c>
    </row>
    <row r="154" spans="2:36">
      <c r="B154" s="156">
        <v>152</v>
      </c>
      <c r="C154" s="157" t="s">
        <v>6271</v>
      </c>
      <c r="D154" s="157" t="s">
        <v>6222</v>
      </c>
      <c r="E154" s="157">
        <v>950</v>
      </c>
      <c r="F154" s="157">
        <v>999</v>
      </c>
      <c r="G154" s="359">
        <v>3.51</v>
      </c>
      <c r="H154" s="296"/>
      <c r="I154" s="360">
        <f t="shared" si="63"/>
        <v>4.5599999999999996</v>
      </c>
      <c r="Y154" s="227">
        <v>56</v>
      </c>
      <c r="Z154" s="227">
        <v>4</v>
      </c>
      <c r="AA154" s="227" t="s">
        <v>359</v>
      </c>
      <c r="AB154" s="227" t="s">
        <v>360</v>
      </c>
      <c r="AC154" s="227">
        <v>500</v>
      </c>
      <c r="AD154" s="227">
        <v>649</v>
      </c>
      <c r="AE154" s="228">
        <v>7.94</v>
      </c>
      <c r="AF154" s="228">
        <v>8.26</v>
      </c>
      <c r="AG154" s="360">
        <f t="shared" si="64"/>
        <v>10.32</v>
      </c>
      <c r="AH154" s="360">
        <f t="shared" si="49"/>
        <v>10.73</v>
      </c>
    </row>
    <row r="155" spans="2:36">
      <c r="B155" s="156">
        <v>152</v>
      </c>
      <c r="C155" s="157" t="s">
        <v>6271</v>
      </c>
      <c r="D155" s="157" t="s">
        <v>6224</v>
      </c>
      <c r="E155" s="157">
        <v>1000</v>
      </c>
      <c r="F155" s="157">
        <v>1499</v>
      </c>
      <c r="G155" s="359">
        <v>5.17</v>
      </c>
      <c r="H155" s="296"/>
      <c r="I155" s="360">
        <f t="shared" si="63"/>
        <v>6.72</v>
      </c>
      <c r="Y155" s="227">
        <v>56</v>
      </c>
      <c r="Z155" s="227">
        <v>4</v>
      </c>
      <c r="AA155" s="227" t="s">
        <v>359</v>
      </c>
      <c r="AB155" s="227" t="s">
        <v>360</v>
      </c>
      <c r="AC155" s="227">
        <v>650</v>
      </c>
      <c r="AD155" s="227">
        <v>799</v>
      </c>
      <c r="AE155" s="228">
        <v>8.58</v>
      </c>
      <c r="AF155" s="228">
        <v>8.92</v>
      </c>
      <c r="AG155" s="360">
        <f t="shared" si="64"/>
        <v>11.15</v>
      </c>
      <c r="AH155" s="360">
        <f t="shared" si="49"/>
        <v>11.6</v>
      </c>
    </row>
    <row r="156" spans="2:36">
      <c r="B156" s="156">
        <v>152</v>
      </c>
      <c r="C156" s="157" t="s">
        <v>6271</v>
      </c>
      <c r="D156" s="157" t="s">
        <v>6227</v>
      </c>
      <c r="E156" s="157">
        <v>1500</v>
      </c>
      <c r="F156" s="157">
        <v>1999</v>
      </c>
      <c r="G156" s="359">
        <v>6.83</v>
      </c>
      <c r="H156" s="297"/>
      <c r="I156" s="360">
        <f t="shared" si="63"/>
        <v>8.8800000000000008</v>
      </c>
      <c r="Y156" s="227">
        <v>56</v>
      </c>
      <c r="Z156" s="227">
        <v>4</v>
      </c>
      <c r="AA156" s="227" t="s">
        <v>359</v>
      </c>
      <c r="AB156" s="227" t="s">
        <v>360</v>
      </c>
      <c r="AC156" s="227">
        <v>800</v>
      </c>
      <c r="AD156" s="227">
        <v>949</v>
      </c>
      <c r="AE156" s="228">
        <v>9.2100000000000009</v>
      </c>
      <c r="AF156" s="228">
        <v>9.57</v>
      </c>
      <c r="AG156" s="360">
        <f t="shared" si="64"/>
        <v>11.97</v>
      </c>
      <c r="AH156" s="360">
        <f t="shared" si="49"/>
        <v>12.45</v>
      </c>
    </row>
    <row r="157" spans="2:36">
      <c r="B157" s="156">
        <v>152</v>
      </c>
      <c r="C157" s="157" t="s">
        <v>6271</v>
      </c>
      <c r="D157" s="157" t="s">
        <v>6229</v>
      </c>
      <c r="E157" s="157">
        <v>2000</v>
      </c>
      <c r="F157" s="157">
        <v>2499</v>
      </c>
      <c r="G157" s="359">
        <v>8.49</v>
      </c>
      <c r="H157" s="296"/>
      <c r="I157" s="360">
        <f t="shared" si="63"/>
        <v>11.04</v>
      </c>
      <c r="Y157" s="227">
        <v>56</v>
      </c>
      <c r="Z157" s="227">
        <v>4</v>
      </c>
      <c r="AA157" s="227" t="s">
        <v>359</v>
      </c>
      <c r="AB157" s="227" t="s">
        <v>360</v>
      </c>
      <c r="AC157" s="227">
        <v>950</v>
      </c>
      <c r="AD157" s="227">
        <v>1099</v>
      </c>
      <c r="AE157" s="228">
        <v>9.84</v>
      </c>
      <c r="AF157" s="228">
        <v>10.23</v>
      </c>
      <c r="AG157" s="360">
        <f t="shared" si="64"/>
        <v>12.79</v>
      </c>
      <c r="AH157" s="360">
        <f t="shared" si="49"/>
        <v>13.3</v>
      </c>
    </row>
    <row r="158" spans="2:36">
      <c r="B158" s="156">
        <v>152</v>
      </c>
      <c r="C158" s="157" t="s">
        <v>6271</v>
      </c>
      <c r="D158" s="157" t="s">
        <v>6231</v>
      </c>
      <c r="E158" s="157">
        <v>2500</v>
      </c>
      <c r="F158" s="157">
        <v>2999</v>
      </c>
      <c r="G158" s="359">
        <v>10.15</v>
      </c>
      <c r="H158" s="296"/>
      <c r="I158" s="360">
        <f t="shared" si="63"/>
        <v>13.2</v>
      </c>
      <c r="Y158" s="227">
        <v>56</v>
      </c>
      <c r="Z158" s="227">
        <v>4</v>
      </c>
      <c r="AA158" s="227" t="s">
        <v>359</v>
      </c>
      <c r="AB158" s="227" t="s">
        <v>360</v>
      </c>
      <c r="AC158" s="227">
        <v>1100</v>
      </c>
      <c r="AD158" s="227">
        <v>1299</v>
      </c>
      <c r="AE158" s="228">
        <v>10.68</v>
      </c>
      <c r="AF158" s="228">
        <v>11.1</v>
      </c>
      <c r="AG158" s="360">
        <f t="shared" si="64"/>
        <v>13.88</v>
      </c>
      <c r="AH158" s="360">
        <f t="shared" si="49"/>
        <v>14.44</v>
      </c>
    </row>
    <row r="159" spans="2:36">
      <c r="B159" s="156">
        <v>152</v>
      </c>
      <c r="C159" s="157" t="s">
        <v>6271</v>
      </c>
      <c r="D159" s="157" t="s">
        <v>6234</v>
      </c>
      <c r="E159" s="157">
        <v>3000</v>
      </c>
      <c r="F159" s="157">
        <v>3499</v>
      </c>
      <c r="G159" s="359">
        <v>11.81</v>
      </c>
      <c r="H159" s="296"/>
      <c r="I159" s="360">
        <f t="shared" si="63"/>
        <v>15.35</v>
      </c>
      <c r="Y159" s="227">
        <v>56</v>
      </c>
      <c r="Z159" s="227">
        <v>4</v>
      </c>
      <c r="AA159" s="227" t="s">
        <v>359</v>
      </c>
      <c r="AB159" s="227" t="s">
        <v>360</v>
      </c>
      <c r="AC159" s="227">
        <v>1300</v>
      </c>
      <c r="AD159" s="227">
        <v>1499</v>
      </c>
      <c r="AE159" s="228">
        <v>11.52</v>
      </c>
      <c r="AF159" s="228">
        <v>11.98</v>
      </c>
      <c r="AG159" s="360">
        <f t="shared" si="64"/>
        <v>14.98</v>
      </c>
      <c r="AH159" s="360">
        <f t="shared" si="49"/>
        <v>15.58</v>
      </c>
    </row>
    <row r="160" spans="2:36">
      <c r="B160" s="156">
        <v>152</v>
      </c>
      <c r="C160" s="157" t="s">
        <v>6271</v>
      </c>
      <c r="D160" s="157" t="s">
        <v>6236</v>
      </c>
      <c r="E160" s="157">
        <v>3500</v>
      </c>
      <c r="F160" s="157">
        <v>3999</v>
      </c>
      <c r="G160" s="359">
        <v>13.47</v>
      </c>
      <c r="H160" s="296"/>
      <c r="I160" s="360">
        <f t="shared" si="63"/>
        <v>17.510000000000002</v>
      </c>
      <c r="Y160" s="227">
        <v>56</v>
      </c>
      <c r="Z160" s="227">
        <v>4</v>
      </c>
      <c r="AA160" s="227" t="s">
        <v>359</v>
      </c>
      <c r="AB160" s="227" t="s">
        <v>360</v>
      </c>
      <c r="AC160" s="227">
        <v>1500</v>
      </c>
      <c r="AD160" s="227">
        <v>1699</v>
      </c>
      <c r="AE160" s="228">
        <v>12.36</v>
      </c>
      <c r="AF160" s="228">
        <v>12.85</v>
      </c>
      <c r="AG160" s="360">
        <f t="shared" si="64"/>
        <v>16.07</v>
      </c>
      <c r="AH160" s="360">
        <f t="shared" si="49"/>
        <v>16.71</v>
      </c>
    </row>
    <row r="161" spans="2:34">
      <c r="B161" s="156">
        <v>152</v>
      </c>
      <c r="C161" s="157" t="s">
        <v>6271</v>
      </c>
      <c r="D161" s="157" t="s">
        <v>6238</v>
      </c>
      <c r="E161" s="157">
        <v>4000</v>
      </c>
      <c r="F161" s="157">
        <v>4499</v>
      </c>
      <c r="G161" s="359">
        <v>15.13</v>
      </c>
      <c r="H161" s="296"/>
      <c r="I161" s="360">
        <f t="shared" si="63"/>
        <v>19.670000000000002</v>
      </c>
      <c r="Y161" s="227">
        <v>56</v>
      </c>
      <c r="Z161" s="227">
        <v>4</v>
      </c>
      <c r="AA161" s="227" t="s">
        <v>359</v>
      </c>
      <c r="AB161" s="227" t="s">
        <v>360</v>
      </c>
      <c r="AC161" s="227">
        <v>1700</v>
      </c>
      <c r="AD161" s="227">
        <v>1899</v>
      </c>
      <c r="AE161" s="228">
        <v>13.2</v>
      </c>
      <c r="AF161" s="228">
        <v>13.73</v>
      </c>
      <c r="AG161" s="360">
        <f t="shared" si="64"/>
        <v>17.16</v>
      </c>
      <c r="AH161" s="360">
        <f t="shared" si="49"/>
        <v>17.850000000000001</v>
      </c>
    </row>
    <row r="162" spans="2:34">
      <c r="B162" s="156">
        <v>152</v>
      </c>
      <c r="C162" s="157" t="s">
        <v>6271</v>
      </c>
      <c r="D162" s="157" t="s">
        <v>6240</v>
      </c>
      <c r="E162" s="157">
        <v>4500</v>
      </c>
      <c r="F162" s="157">
        <v>4999</v>
      </c>
      <c r="G162" s="359">
        <v>16.79</v>
      </c>
      <c r="H162" s="296"/>
      <c r="I162" s="360">
        <f t="shared" si="63"/>
        <v>21.83</v>
      </c>
      <c r="Y162" s="227">
        <v>56</v>
      </c>
      <c r="Z162" s="227">
        <v>4</v>
      </c>
      <c r="AA162" s="227" t="s">
        <v>359</v>
      </c>
      <c r="AB162" s="227" t="s">
        <v>360</v>
      </c>
      <c r="AC162" s="227">
        <v>1900</v>
      </c>
      <c r="AD162" s="227">
        <v>2099</v>
      </c>
      <c r="AE162" s="228">
        <v>14.04</v>
      </c>
      <c r="AF162" s="228">
        <v>14.6</v>
      </c>
      <c r="AG162" s="360">
        <f t="shared" si="64"/>
        <v>18.25</v>
      </c>
      <c r="AH162" s="360">
        <f t="shared" si="49"/>
        <v>18.98</v>
      </c>
    </row>
    <row r="163" spans="2:34">
      <c r="B163" s="156">
        <v>152</v>
      </c>
      <c r="C163" s="157" t="s">
        <v>6271</v>
      </c>
      <c r="D163" s="157" t="s">
        <v>6241</v>
      </c>
      <c r="E163" s="157">
        <v>5000</v>
      </c>
      <c r="F163" s="157">
        <v>5499</v>
      </c>
      <c r="G163" s="359">
        <v>18.45</v>
      </c>
      <c r="H163" s="296"/>
      <c r="I163" s="360">
        <f t="shared" si="63"/>
        <v>23.99</v>
      </c>
      <c r="Y163" s="227">
        <v>56</v>
      </c>
      <c r="Z163" s="227">
        <v>4</v>
      </c>
      <c r="AA163" s="227" t="s">
        <v>359</v>
      </c>
      <c r="AB163" s="227" t="s">
        <v>360</v>
      </c>
      <c r="AC163" s="227">
        <v>2100</v>
      </c>
      <c r="AD163" s="227">
        <v>2299</v>
      </c>
      <c r="AE163" s="228">
        <v>14.88</v>
      </c>
      <c r="AF163" s="228">
        <v>15.48</v>
      </c>
      <c r="AG163" s="360">
        <f t="shared" si="64"/>
        <v>19.34</v>
      </c>
      <c r="AH163" s="360">
        <f t="shared" si="49"/>
        <v>20.11</v>
      </c>
    </row>
    <row r="164" spans="2:34">
      <c r="B164" s="156">
        <v>152</v>
      </c>
      <c r="C164" s="157" t="s">
        <v>6271</v>
      </c>
      <c r="D164" s="157" t="s">
        <v>6242</v>
      </c>
      <c r="E164" s="157">
        <v>5500</v>
      </c>
      <c r="F164" s="157">
        <v>5999</v>
      </c>
      <c r="G164" s="359">
        <v>20.11</v>
      </c>
      <c r="H164" s="296"/>
      <c r="I164" s="360">
        <f t="shared" si="63"/>
        <v>26.14</v>
      </c>
      <c r="Y164" s="227">
        <v>56</v>
      </c>
      <c r="Z164" s="227">
        <v>4</v>
      </c>
      <c r="AA164" s="227" t="s">
        <v>359</v>
      </c>
      <c r="AB164" s="227" t="s">
        <v>360</v>
      </c>
      <c r="AC164" s="227">
        <v>2300</v>
      </c>
      <c r="AD164" s="227">
        <v>2568</v>
      </c>
      <c r="AE164" s="228">
        <v>16.010000000000002</v>
      </c>
      <c r="AF164" s="228">
        <v>16.649999999999999</v>
      </c>
      <c r="AG164" s="360">
        <f t="shared" si="64"/>
        <v>20.81</v>
      </c>
      <c r="AH164" s="360">
        <f t="shared" si="49"/>
        <v>21.64</v>
      </c>
    </row>
    <row r="165" spans="2:34">
      <c r="B165" s="156">
        <v>152</v>
      </c>
      <c r="C165" s="157" t="s">
        <v>6271</v>
      </c>
      <c r="D165" s="157" t="s">
        <v>6246</v>
      </c>
      <c r="E165" s="157">
        <v>6000</v>
      </c>
      <c r="F165" s="157">
        <v>6499</v>
      </c>
      <c r="G165" s="359">
        <v>21.77</v>
      </c>
      <c r="H165" s="296"/>
      <c r="I165" s="360">
        <f t="shared" si="63"/>
        <v>28.3</v>
      </c>
      <c r="Y165" s="238">
        <v>56</v>
      </c>
      <c r="Z165" s="238">
        <v>4</v>
      </c>
      <c r="AA165" s="238" t="s">
        <v>385</v>
      </c>
      <c r="AB165" s="238" t="s">
        <v>386</v>
      </c>
      <c r="AC165" s="238">
        <v>1114</v>
      </c>
      <c r="AD165" s="238">
        <v>1499</v>
      </c>
      <c r="AE165" s="239">
        <v>14.4</v>
      </c>
      <c r="AF165" s="239">
        <v>14.97</v>
      </c>
      <c r="AG165" s="360">
        <f t="shared" si="64"/>
        <v>18.72</v>
      </c>
      <c r="AH165" s="360">
        <f t="shared" si="49"/>
        <v>19.47</v>
      </c>
    </row>
    <row r="166" spans="2:34">
      <c r="B166" s="156">
        <v>152</v>
      </c>
      <c r="C166" s="157" t="s">
        <v>6271</v>
      </c>
      <c r="D166" s="157" t="s">
        <v>6247</v>
      </c>
      <c r="E166" s="157">
        <v>6500</v>
      </c>
      <c r="F166" s="157">
        <v>6999</v>
      </c>
      <c r="G166" s="359">
        <v>23.43</v>
      </c>
      <c r="H166" s="296"/>
      <c r="I166" s="360">
        <f t="shared" si="63"/>
        <v>30.46</v>
      </c>
      <c r="Y166" s="227">
        <v>56</v>
      </c>
      <c r="Z166" s="227">
        <v>4</v>
      </c>
      <c r="AA166" s="227" t="s">
        <v>385</v>
      </c>
      <c r="AB166" s="227" t="s">
        <v>386</v>
      </c>
      <c r="AC166" s="227">
        <v>1500</v>
      </c>
      <c r="AD166" s="227">
        <v>1999</v>
      </c>
      <c r="AE166" s="228">
        <v>17.5</v>
      </c>
      <c r="AF166" s="228">
        <v>18.2</v>
      </c>
      <c r="AG166" s="360">
        <f t="shared" si="64"/>
        <v>22.75</v>
      </c>
      <c r="AH166" s="360">
        <f t="shared" si="49"/>
        <v>23.66</v>
      </c>
    </row>
    <row r="167" spans="2:34">
      <c r="B167" s="156">
        <v>152</v>
      </c>
      <c r="C167" s="157" t="s">
        <v>6271</v>
      </c>
      <c r="D167" s="157" t="s">
        <v>6248</v>
      </c>
      <c r="E167" s="157">
        <v>7000</v>
      </c>
      <c r="F167" s="157">
        <v>7499</v>
      </c>
      <c r="G167" s="359">
        <v>25.09</v>
      </c>
      <c r="H167" s="296"/>
      <c r="I167" s="360">
        <f t="shared" si="63"/>
        <v>32.619999999999997</v>
      </c>
      <c r="Y167" s="227">
        <v>56</v>
      </c>
      <c r="Z167" s="227">
        <v>4</v>
      </c>
      <c r="AA167" s="227" t="s">
        <v>385</v>
      </c>
      <c r="AB167" s="227" t="s">
        <v>386</v>
      </c>
      <c r="AC167" s="227">
        <v>2000</v>
      </c>
      <c r="AD167" s="227">
        <v>2499</v>
      </c>
      <c r="AE167" s="228">
        <v>20.61</v>
      </c>
      <c r="AF167" s="228">
        <v>21.44</v>
      </c>
      <c r="AG167" s="360">
        <f t="shared" si="64"/>
        <v>26.79</v>
      </c>
      <c r="AH167" s="360">
        <f t="shared" si="49"/>
        <v>27.86</v>
      </c>
    </row>
    <row r="168" spans="2:34">
      <c r="B168" s="156">
        <v>152</v>
      </c>
      <c r="C168" s="157" t="s">
        <v>6271</v>
      </c>
      <c r="D168" s="157" t="s">
        <v>6250</v>
      </c>
      <c r="E168" s="157">
        <v>7500</v>
      </c>
      <c r="F168" s="157">
        <v>7999</v>
      </c>
      <c r="G168" s="359">
        <v>26.75</v>
      </c>
      <c r="H168" s="296"/>
      <c r="I168" s="360">
        <f t="shared" si="63"/>
        <v>34.78</v>
      </c>
      <c r="Y168" s="227">
        <v>56</v>
      </c>
      <c r="Z168" s="227">
        <v>4</v>
      </c>
      <c r="AA168" s="227" t="s">
        <v>385</v>
      </c>
      <c r="AB168" s="227" t="s">
        <v>386</v>
      </c>
      <c r="AC168" s="227">
        <v>2500</v>
      </c>
      <c r="AD168" s="227">
        <v>2999</v>
      </c>
      <c r="AE168" s="228">
        <v>23.72</v>
      </c>
      <c r="AF168" s="228">
        <v>24.67</v>
      </c>
      <c r="AG168" s="360">
        <f t="shared" si="64"/>
        <v>30.84</v>
      </c>
      <c r="AH168" s="360">
        <f t="shared" si="49"/>
        <v>32.07</v>
      </c>
    </row>
    <row r="169" spans="2:34">
      <c r="B169" s="156">
        <v>152</v>
      </c>
      <c r="C169" s="157" t="s">
        <v>6271</v>
      </c>
      <c r="D169" s="157" t="s">
        <v>6252</v>
      </c>
      <c r="E169" s="157">
        <v>8000</v>
      </c>
      <c r="F169" s="157">
        <v>8499</v>
      </c>
      <c r="G169" s="359">
        <v>28.41</v>
      </c>
      <c r="H169" s="296"/>
      <c r="I169" s="360">
        <f t="shared" si="63"/>
        <v>36.93</v>
      </c>
      <c r="Y169" s="227">
        <v>56</v>
      </c>
      <c r="Z169" s="227">
        <v>4</v>
      </c>
      <c r="AA169" s="227" t="s">
        <v>385</v>
      </c>
      <c r="AB169" s="227" t="s">
        <v>386</v>
      </c>
      <c r="AC169" s="227">
        <v>3000</v>
      </c>
      <c r="AD169" s="227">
        <v>3599</v>
      </c>
      <c r="AE169" s="228">
        <v>27.44</v>
      </c>
      <c r="AF169" s="228">
        <v>28.54</v>
      </c>
      <c r="AG169" s="360">
        <f t="shared" si="64"/>
        <v>35.67</v>
      </c>
      <c r="AH169" s="360">
        <f t="shared" si="49"/>
        <v>37.1</v>
      </c>
    </row>
    <row r="170" spans="2:34">
      <c r="B170" s="156">
        <v>152</v>
      </c>
      <c r="C170" s="157" t="s">
        <v>6271</v>
      </c>
      <c r="D170" s="157" t="s">
        <v>6255</v>
      </c>
      <c r="E170" s="157">
        <v>8500</v>
      </c>
      <c r="F170" s="157">
        <v>8999</v>
      </c>
      <c r="G170" s="359">
        <v>30.07</v>
      </c>
      <c r="H170" s="296"/>
      <c r="I170" s="360">
        <f t="shared" si="63"/>
        <v>39.090000000000003</v>
      </c>
      <c r="Y170" s="227">
        <v>56</v>
      </c>
      <c r="Z170" s="227">
        <v>4</v>
      </c>
      <c r="AA170" s="227" t="s">
        <v>385</v>
      </c>
      <c r="AB170" s="227" t="s">
        <v>386</v>
      </c>
      <c r="AC170" s="227">
        <v>3600</v>
      </c>
      <c r="AD170" s="227">
        <v>3959</v>
      </c>
      <c r="AE170" s="228">
        <v>29.68</v>
      </c>
      <c r="AF170" s="228">
        <v>30.87</v>
      </c>
      <c r="AG170" s="360">
        <f t="shared" si="64"/>
        <v>38.58</v>
      </c>
      <c r="AH170" s="360">
        <f t="shared" si="49"/>
        <v>40.119999999999997</v>
      </c>
    </row>
    <row r="171" spans="2:34">
      <c r="B171" s="156">
        <v>152</v>
      </c>
      <c r="C171" s="157" t="s">
        <v>6271</v>
      </c>
      <c r="D171" s="157" t="s">
        <v>6256</v>
      </c>
      <c r="E171" s="157">
        <v>9000</v>
      </c>
      <c r="F171" s="157">
        <v>9499</v>
      </c>
      <c r="G171" s="359">
        <v>31.73</v>
      </c>
      <c r="H171" s="296"/>
      <c r="I171" s="360">
        <f t="shared" si="63"/>
        <v>41.25</v>
      </c>
    </row>
    <row r="172" spans="2:34">
      <c r="B172" s="159">
        <v>152</v>
      </c>
      <c r="C172" s="160" t="s">
        <v>6271</v>
      </c>
      <c r="D172" s="160" t="s">
        <v>6257</v>
      </c>
      <c r="E172" s="160">
        <v>9500</v>
      </c>
      <c r="F172" s="160">
        <v>10000</v>
      </c>
      <c r="G172" s="367">
        <v>33.39</v>
      </c>
      <c r="H172" s="296"/>
      <c r="I172" s="360">
        <f t="shared" si="63"/>
        <v>43.41</v>
      </c>
    </row>
    <row r="173" spans="2:34">
      <c r="B173" s="156">
        <v>176</v>
      </c>
      <c r="C173" s="157" t="s">
        <v>6283</v>
      </c>
      <c r="D173" s="157" t="s">
        <v>6180</v>
      </c>
      <c r="E173" s="157">
        <v>16</v>
      </c>
      <c r="F173" s="157">
        <v>249</v>
      </c>
      <c r="G173" s="359">
        <v>1.63</v>
      </c>
      <c r="H173" s="296"/>
      <c r="I173" s="360">
        <f t="shared" si="63"/>
        <v>2.12</v>
      </c>
    </row>
    <row r="174" spans="2:34">
      <c r="B174" s="156">
        <v>176</v>
      </c>
      <c r="C174" s="157" t="s">
        <v>6283</v>
      </c>
      <c r="D174" s="157" t="s">
        <v>6185</v>
      </c>
      <c r="E174" s="157">
        <v>250</v>
      </c>
      <c r="F174" s="157">
        <v>299</v>
      </c>
      <c r="G174" s="359">
        <v>1.79</v>
      </c>
      <c r="H174" s="296"/>
      <c r="I174" s="360">
        <f t="shared" si="63"/>
        <v>2.33</v>
      </c>
    </row>
    <row r="175" spans="2:34">
      <c r="B175" s="156">
        <v>176</v>
      </c>
      <c r="C175" s="157" t="s">
        <v>6283</v>
      </c>
      <c r="D175" s="157" t="s">
        <v>6187</v>
      </c>
      <c r="E175" s="157">
        <v>300</v>
      </c>
      <c r="F175" s="157">
        <v>349</v>
      </c>
      <c r="G175" s="359">
        <v>1.95</v>
      </c>
      <c r="H175" s="296"/>
      <c r="I175" s="360">
        <f t="shared" si="63"/>
        <v>2.54</v>
      </c>
    </row>
    <row r="176" spans="2:34">
      <c r="B176" s="156">
        <v>176</v>
      </c>
      <c r="C176" s="157" t="s">
        <v>6283</v>
      </c>
      <c r="D176" s="157" t="s">
        <v>6193</v>
      </c>
      <c r="E176" s="157">
        <v>350</v>
      </c>
      <c r="F176" s="157">
        <v>399</v>
      </c>
      <c r="G176" s="359">
        <v>2.11</v>
      </c>
      <c r="H176" s="296"/>
      <c r="I176" s="360">
        <f t="shared" si="63"/>
        <v>2.74</v>
      </c>
    </row>
    <row r="177" spans="2:9">
      <c r="B177" s="156">
        <v>176</v>
      </c>
      <c r="C177" s="157" t="s">
        <v>6283</v>
      </c>
      <c r="D177" s="157" t="s">
        <v>6196</v>
      </c>
      <c r="E177" s="157">
        <v>400</v>
      </c>
      <c r="F177" s="157">
        <v>449</v>
      </c>
      <c r="G177" s="359">
        <v>2.27</v>
      </c>
      <c r="H177" s="296"/>
      <c r="I177" s="360">
        <f t="shared" si="63"/>
        <v>2.95</v>
      </c>
    </row>
    <row r="178" spans="2:9">
      <c r="B178" s="156">
        <v>176</v>
      </c>
      <c r="C178" s="157" t="s">
        <v>6283</v>
      </c>
      <c r="D178" s="157" t="s">
        <v>6199</v>
      </c>
      <c r="E178" s="157">
        <v>450</v>
      </c>
      <c r="F178" s="157">
        <v>499</v>
      </c>
      <c r="G178" s="359">
        <v>2.4300000000000002</v>
      </c>
      <c r="H178" s="296"/>
      <c r="I178" s="360">
        <f t="shared" si="63"/>
        <v>3.16</v>
      </c>
    </row>
    <row r="179" spans="2:9">
      <c r="B179" s="156">
        <v>176</v>
      </c>
      <c r="C179" s="157" t="s">
        <v>6283</v>
      </c>
      <c r="D179" s="157" t="s">
        <v>6201</v>
      </c>
      <c r="E179" s="157">
        <v>500</v>
      </c>
      <c r="F179" s="157">
        <v>549</v>
      </c>
      <c r="G179" s="359">
        <v>2.59</v>
      </c>
      <c r="H179" s="296"/>
      <c r="I179" s="360">
        <f t="shared" si="63"/>
        <v>3.37</v>
      </c>
    </row>
    <row r="180" spans="2:9">
      <c r="B180" s="156">
        <v>176</v>
      </c>
      <c r="C180" s="157" t="s">
        <v>6283</v>
      </c>
      <c r="D180" s="157" t="s">
        <v>6203</v>
      </c>
      <c r="E180" s="157">
        <v>550</v>
      </c>
      <c r="F180" s="157">
        <v>599</v>
      </c>
      <c r="G180" s="359">
        <v>2.75</v>
      </c>
      <c r="H180" s="296"/>
      <c r="I180" s="360">
        <f t="shared" si="63"/>
        <v>3.58</v>
      </c>
    </row>
    <row r="181" spans="2:9">
      <c r="B181" s="156">
        <v>176</v>
      </c>
      <c r="C181" s="157" t="s">
        <v>6283</v>
      </c>
      <c r="D181" s="157" t="s">
        <v>6205</v>
      </c>
      <c r="E181" s="157">
        <v>600</v>
      </c>
      <c r="F181" s="157">
        <v>649</v>
      </c>
      <c r="G181" s="359">
        <v>2.91</v>
      </c>
      <c r="H181" s="296"/>
      <c r="I181" s="360">
        <f t="shared" si="63"/>
        <v>3.78</v>
      </c>
    </row>
    <row r="182" spans="2:9">
      <c r="B182" s="156">
        <v>176</v>
      </c>
      <c r="C182" s="157" t="s">
        <v>6283</v>
      </c>
      <c r="D182" s="157" t="s">
        <v>6207</v>
      </c>
      <c r="E182" s="157">
        <v>650</v>
      </c>
      <c r="F182" s="157">
        <v>699</v>
      </c>
      <c r="G182" s="359">
        <v>3.07</v>
      </c>
      <c r="H182" s="296"/>
      <c r="I182" s="360">
        <f t="shared" si="63"/>
        <v>3.99</v>
      </c>
    </row>
    <row r="183" spans="2:9">
      <c r="B183" s="156">
        <v>176</v>
      </c>
      <c r="C183" s="157" t="s">
        <v>6283</v>
      </c>
      <c r="D183" s="157" t="s">
        <v>6211</v>
      </c>
      <c r="E183" s="157">
        <v>700</v>
      </c>
      <c r="F183" s="157">
        <v>749</v>
      </c>
      <c r="G183" s="359">
        <v>3.23</v>
      </c>
      <c r="H183" s="296"/>
      <c r="I183" s="360">
        <f t="shared" si="63"/>
        <v>4.2</v>
      </c>
    </row>
    <row r="184" spans="2:9">
      <c r="B184" s="156">
        <v>176</v>
      </c>
      <c r="C184" s="157" t="s">
        <v>6283</v>
      </c>
      <c r="D184" s="157" t="s">
        <v>6212</v>
      </c>
      <c r="E184" s="157">
        <v>750</v>
      </c>
      <c r="F184" s="157">
        <v>799</v>
      </c>
      <c r="G184" s="359">
        <v>3.39</v>
      </c>
      <c r="H184" s="296"/>
      <c r="I184" s="360">
        <f t="shared" si="63"/>
        <v>4.41</v>
      </c>
    </row>
    <row r="185" spans="2:9">
      <c r="B185" s="156">
        <v>176</v>
      </c>
      <c r="C185" s="157" t="s">
        <v>6283</v>
      </c>
      <c r="D185" s="157" t="s">
        <v>6213</v>
      </c>
      <c r="E185" s="157">
        <v>800</v>
      </c>
      <c r="F185" s="157">
        <v>849</v>
      </c>
      <c r="G185" s="359">
        <v>3.55</v>
      </c>
      <c r="H185" s="296"/>
      <c r="I185" s="360">
        <f t="shared" si="63"/>
        <v>4.62</v>
      </c>
    </row>
    <row r="186" spans="2:9">
      <c r="B186" s="156">
        <v>176</v>
      </c>
      <c r="C186" s="157" t="s">
        <v>6283</v>
      </c>
      <c r="D186" s="157" t="s">
        <v>6216</v>
      </c>
      <c r="E186" s="157">
        <v>850</v>
      </c>
      <c r="F186" s="157">
        <v>899</v>
      </c>
      <c r="G186" s="359">
        <v>3.71</v>
      </c>
      <c r="H186" s="296"/>
      <c r="I186" s="360">
        <f t="shared" si="63"/>
        <v>4.82</v>
      </c>
    </row>
    <row r="187" spans="2:9">
      <c r="B187" s="156">
        <v>176</v>
      </c>
      <c r="C187" s="157" t="s">
        <v>6283</v>
      </c>
      <c r="D187" s="157" t="s">
        <v>6221</v>
      </c>
      <c r="E187" s="157">
        <v>900</v>
      </c>
      <c r="F187" s="157">
        <v>949</v>
      </c>
      <c r="G187" s="359">
        <v>3.87</v>
      </c>
      <c r="H187" s="296"/>
      <c r="I187" s="360">
        <f t="shared" si="63"/>
        <v>5.03</v>
      </c>
    </row>
    <row r="188" spans="2:9">
      <c r="B188" s="156">
        <v>176</v>
      </c>
      <c r="C188" s="157" t="s">
        <v>6283</v>
      </c>
      <c r="D188" s="157" t="s">
        <v>6222</v>
      </c>
      <c r="E188" s="157">
        <v>950</v>
      </c>
      <c r="F188" s="157">
        <v>999</v>
      </c>
      <c r="G188" s="359">
        <v>4.03</v>
      </c>
      <c r="H188" s="296"/>
      <c r="I188" s="360">
        <f t="shared" si="63"/>
        <v>5.24</v>
      </c>
    </row>
    <row r="189" spans="2:9">
      <c r="B189" s="156">
        <v>176</v>
      </c>
      <c r="C189" s="157" t="s">
        <v>6283</v>
      </c>
      <c r="D189" s="157" t="s">
        <v>6224</v>
      </c>
      <c r="E189" s="157">
        <v>1000</v>
      </c>
      <c r="F189" s="157">
        <v>1499</v>
      </c>
      <c r="G189" s="359">
        <v>6.35</v>
      </c>
      <c r="H189" s="296"/>
      <c r="I189" s="360">
        <f t="shared" si="63"/>
        <v>8.26</v>
      </c>
    </row>
    <row r="190" spans="2:9">
      <c r="B190" s="156">
        <v>176</v>
      </c>
      <c r="C190" s="157" t="s">
        <v>6283</v>
      </c>
      <c r="D190" s="157" t="s">
        <v>6227</v>
      </c>
      <c r="E190" s="157">
        <v>1500</v>
      </c>
      <c r="F190" s="157">
        <v>1999</v>
      </c>
      <c r="G190" s="359">
        <v>8.67</v>
      </c>
      <c r="H190" s="296"/>
      <c r="I190" s="360">
        <f t="shared" si="63"/>
        <v>11.27</v>
      </c>
    </row>
    <row r="191" spans="2:9">
      <c r="B191" s="156">
        <v>176</v>
      </c>
      <c r="C191" s="157" t="s">
        <v>6283</v>
      </c>
      <c r="D191" s="157" t="s">
        <v>6229</v>
      </c>
      <c r="E191" s="157">
        <v>2000</v>
      </c>
      <c r="F191" s="157">
        <v>2499</v>
      </c>
      <c r="G191" s="359">
        <v>10.99</v>
      </c>
      <c r="H191" s="296"/>
      <c r="I191" s="360">
        <f t="shared" si="63"/>
        <v>14.29</v>
      </c>
    </row>
    <row r="192" spans="2:9">
      <c r="B192" s="156">
        <v>176</v>
      </c>
      <c r="C192" s="157" t="s">
        <v>6283</v>
      </c>
      <c r="D192" s="157" t="s">
        <v>6231</v>
      </c>
      <c r="E192" s="157">
        <v>2500</v>
      </c>
      <c r="F192" s="157">
        <v>2999</v>
      </c>
      <c r="G192" s="359">
        <v>13.31</v>
      </c>
      <c r="H192" s="296"/>
      <c r="I192" s="360">
        <f t="shared" si="63"/>
        <v>17.3</v>
      </c>
    </row>
    <row r="193" spans="2:9">
      <c r="B193" s="156">
        <v>176</v>
      </c>
      <c r="C193" s="157" t="s">
        <v>6283</v>
      </c>
      <c r="D193" s="157" t="s">
        <v>6234</v>
      </c>
      <c r="E193" s="157">
        <v>3000</v>
      </c>
      <c r="F193" s="157">
        <v>3499</v>
      </c>
      <c r="G193" s="359">
        <v>15.63</v>
      </c>
      <c r="H193" s="296"/>
      <c r="I193" s="360">
        <f t="shared" si="63"/>
        <v>20.32</v>
      </c>
    </row>
    <row r="194" spans="2:9">
      <c r="B194" s="156">
        <v>176</v>
      </c>
      <c r="C194" s="157" t="s">
        <v>6283</v>
      </c>
      <c r="D194" s="157" t="s">
        <v>6236</v>
      </c>
      <c r="E194" s="157">
        <v>3500</v>
      </c>
      <c r="F194" s="157">
        <v>3999</v>
      </c>
      <c r="G194" s="359">
        <v>17.95</v>
      </c>
      <c r="H194" s="296"/>
      <c r="I194" s="360">
        <f t="shared" si="63"/>
        <v>23.34</v>
      </c>
    </row>
    <row r="195" spans="2:9">
      <c r="B195" s="156">
        <v>176</v>
      </c>
      <c r="C195" s="157" t="s">
        <v>6283</v>
      </c>
      <c r="D195" s="157" t="s">
        <v>6238</v>
      </c>
      <c r="E195" s="157">
        <v>4000</v>
      </c>
      <c r="F195" s="157">
        <v>4499</v>
      </c>
      <c r="G195" s="359">
        <v>20.27</v>
      </c>
      <c r="H195" s="296"/>
      <c r="I195" s="360">
        <f t="shared" si="63"/>
        <v>26.35</v>
      </c>
    </row>
    <row r="196" spans="2:9">
      <c r="B196" s="156">
        <v>176</v>
      </c>
      <c r="C196" s="157" t="s">
        <v>6283</v>
      </c>
      <c r="D196" s="157" t="s">
        <v>6240</v>
      </c>
      <c r="E196" s="157">
        <v>4500</v>
      </c>
      <c r="F196" s="157">
        <v>4999</v>
      </c>
      <c r="G196" s="359">
        <v>22.59</v>
      </c>
      <c r="H196" s="296"/>
      <c r="I196" s="360">
        <f t="shared" ref="I196:I259" si="66">ROUND(G196*1.3,2)</f>
        <v>29.37</v>
      </c>
    </row>
    <row r="197" spans="2:9">
      <c r="B197" s="156">
        <v>176</v>
      </c>
      <c r="C197" s="157" t="s">
        <v>6283</v>
      </c>
      <c r="D197" s="157" t="s">
        <v>6241</v>
      </c>
      <c r="E197" s="157">
        <v>5000</v>
      </c>
      <c r="F197" s="157">
        <v>5499</v>
      </c>
      <c r="G197" s="359">
        <v>24.91</v>
      </c>
      <c r="H197" s="296"/>
      <c r="I197" s="360">
        <f t="shared" si="66"/>
        <v>32.380000000000003</v>
      </c>
    </row>
    <row r="198" spans="2:9">
      <c r="B198" s="156">
        <v>176</v>
      </c>
      <c r="C198" s="157" t="s">
        <v>6283</v>
      </c>
      <c r="D198" s="157" t="s">
        <v>6242</v>
      </c>
      <c r="E198" s="157">
        <v>5500</v>
      </c>
      <c r="F198" s="157">
        <v>5999</v>
      </c>
      <c r="G198" s="359">
        <v>27.23</v>
      </c>
      <c r="H198" s="296"/>
      <c r="I198" s="360">
        <f t="shared" si="66"/>
        <v>35.4</v>
      </c>
    </row>
    <row r="199" spans="2:9">
      <c r="B199" s="156">
        <v>176</v>
      </c>
      <c r="C199" s="157" t="s">
        <v>6283</v>
      </c>
      <c r="D199" s="157" t="s">
        <v>6246</v>
      </c>
      <c r="E199" s="157">
        <v>6000</v>
      </c>
      <c r="F199" s="157">
        <v>6499</v>
      </c>
      <c r="G199" s="359">
        <v>29.55</v>
      </c>
      <c r="H199" s="296"/>
      <c r="I199" s="360">
        <f t="shared" si="66"/>
        <v>38.42</v>
      </c>
    </row>
    <row r="200" spans="2:9">
      <c r="B200" s="156">
        <v>176</v>
      </c>
      <c r="C200" s="157" t="s">
        <v>6283</v>
      </c>
      <c r="D200" s="157" t="s">
        <v>6247</v>
      </c>
      <c r="E200" s="157">
        <v>6500</v>
      </c>
      <c r="F200" s="157">
        <v>6999</v>
      </c>
      <c r="G200" s="359">
        <v>31.87</v>
      </c>
      <c r="H200" s="296"/>
      <c r="I200" s="360">
        <f t="shared" si="66"/>
        <v>41.43</v>
      </c>
    </row>
    <row r="201" spans="2:9">
      <c r="B201" s="156">
        <v>176</v>
      </c>
      <c r="C201" s="157" t="s">
        <v>6283</v>
      </c>
      <c r="D201" s="157" t="s">
        <v>6248</v>
      </c>
      <c r="E201" s="157">
        <v>7000</v>
      </c>
      <c r="F201" s="157">
        <v>7499</v>
      </c>
      <c r="G201" s="359">
        <v>34.19</v>
      </c>
      <c r="H201" s="296"/>
      <c r="I201" s="360">
        <f t="shared" si="66"/>
        <v>44.45</v>
      </c>
    </row>
    <row r="202" spans="2:9">
      <c r="B202" s="156">
        <v>176</v>
      </c>
      <c r="C202" s="157" t="s">
        <v>6283</v>
      </c>
      <c r="D202" s="157" t="s">
        <v>6250</v>
      </c>
      <c r="E202" s="157">
        <v>7500</v>
      </c>
      <c r="F202" s="157">
        <v>7999</v>
      </c>
      <c r="G202" s="359">
        <v>36.51</v>
      </c>
      <c r="H202" s="296"/>
      <c r="I202" s="360">
        <f t="shared" si="66"/>
        <v>47.46</v>
      </c>
    </row>
    <row r="203" spans="2:9">
      <c r="B203" s="156">
        <v>176</v>
      </c>
      <c r="C203" s="157" t="s">
        <v>6283</v>
      </c>
      <c r="D203" s="157" t="s">
        <v>6252</v>
      </c>
      <c r="E203" s="157">
        <v>8000</v>
      </c>
      <c r="F203" s="157">
        <v>8499</v>
      </c>
      <c r="G203" s="359">
        <v>38.83</v>
      </c>
      <c r="H203" s="296"/>
      <c r="I203" s="360">
        <f t="shared" si="66"/>
        <v>50.48</v>
      </c>
    </row>
    <row r="204" spans="2:9">
      <c r="B204" s="156">
        <v>176</v>
      </c>
      <c r="C204" s="157" t="s">
        <v>6283</v>
      </c>
      <c r="D204" s="157" t="s">
        <v>6255</v>
      </c>
      <c r="E204" s="157">
        <v>8500</v>
      </c>
      <c r="F204" s="157">
        <v>8999</v>
      </c>
      <c r="G204" s="359">
        <v>41.15</v>
      </c>
      <c r="H204" s="296"/>
      <c r="I204" s="360">
        <f t="shared" si="66"/>
        <v>53.5</v>
      </c>
    </row>
    <row r="205" spans="2:9">
      <c r="B205" s="156">
        <v>176</v>
      </c>
      <c r="C205" s="157" t="s">
        <v>6283</v>
      </c>
      <c r="D205" s="157" t="s">
        <v>6256</v>
      </c>
      <c r="E205" s="157">
        <v>9000</v>
      </c>
      <c r="F205" s="157">
        <v>9499</v>
      </c>
      <c r="G205" s="359">
        <v>43.47</v>
      </c>
      <c r="H205" s="296"/>
      <c r="I205" s="360">
        <f t="shared" si="66"/>
        <v>56.51</v>
      </c>
    </row>
    <row r="206" spans="2:9">
      <c r="B206" s="159">
        <v>176</v>
      </c>
      <c r="C206" s="160" t="s">
        <v>6283</v>
      </c>
      <c r="D206" s="160" t="s">
        <v>6257</v>
      </c>
      <c r="E206" s="160">
        <v>9500</v>
      </c>
      <c r="F206" s="160">
        <v>10000</v>
      </c>
      <c r="G206" s="367">
        <v>45.79</v>
      </c>
      <c r="H206" s="296"/>
      <c r="I206" s="360">
        <f t="shared" si="66"/>
        <v>59.53</v>
      </c>
    </row>
    <row r="207" spans="2:9">
      <c r="B207" s="156">
        <v>170</v>
      </c>
      <c r="C207" s="157" t="s">
        <v>6309</v>
      </c>
      <c r="D207" s="157" t="s">
        <v>6180</v>
      </c>
      <c r="E207" s="157">
        <v>16</v>
      </c>
      <c r="F207" s="157">
        <v>249</v>
      </c>
      <c r="G207" s="359">
        <v>1.73</v>
      </c>
      <c r="H207" s="296"/>
      <c r="I207" s="360">
        <f t="shared" si="66"/>
        <v>2.25</v>
      </c>
    </row>
    <row r="208" spans="2:9">
      <c r="B208" s="156">
        <v>170</v>
      </c>
      <c r="C208" s="157" t="s">
        <v>6309</v>
      </c>
      <c r="D208" s="157" t="s">
        <v>6185</v>
      </c>
      <c r="E208" s="157">
        <v>250</v>
      </c>
      <c r="F208" s="157">
        <v>299</v>
      </c>
      <c r="G208" s="359">
        <v>1.9</v>
      </c>
      <c r="H208" s="296"/>
      <c r="I208" s="360">
        <f t="shared" si="66"/>
        <v>2.4700000000000002</v>
      </c>
    </row>
    <row r="209" spans="2:9">
      <c r="B209" s="156">
        <v>170</v>
      </c>
      <c r="C209" s="157" t="s">
        <v>6309</v>
      </c>
      <c r="D209" s="157" t="s">
        <v>6187</v>
      </c>
      <c r="E209" s="157">
        <v>300</v>
      </c>
      <c r="F209" s="157">
        <v>349</v>
      </c>
      <c r="G209" s="359">
        <v>2.0699999999999998</v>
      </c>
      <c r="H209" s="296"/>
      <c r="I209" s="360">
        <f t="shared" si="66"/>
        <v>2.69</v>
      </c>
    </row>
    <row r="210" spans="2:9">
      <c r="B210" s="156">
        <v>170</v>
      </c>
      <c r="C210" s="157" t="s">
        <v>6309</v>
      </c>
      <c r="D210" s="157" t="s">
        <v>6193</v>
      </c>
      <c r="E210" s="157">
        <v>350</v>
      </c>
      <c r="F210" s="157">
        <v>399</v>
      </c>
      <c r="G210" s="359">
        <v>2.2400000000000002</v>
      </c>
      <c r="H210" s="296"/>
      <c r="I210" s="360">
        <f t="shared" si="66"/>
        <v>2.91</v>
      </c>
    </row>
    <row r="211" spans="2:9">
      <c r="B211" s="156">
        <v>170</v>
      </c>
      <c r="C211" s="157" t="s">
        <v>6309</v>
      </c>
      <c r="D211" s="157" t="s">
        <v>6196</v>
      </c>
      <c r="E211" s="157">
        <v>400</v>
      </c>
      <c r="F211" s="157">
        <v>449</v>
      </c>
      <c r="G211" s="359">
        <v>2.41</v>
      </c>
      <c r="H211" s="296"/>
      <c r="I211" s="360">
        <f t="shared" si="66"/>
        <v>3.13</v>
      </c>
    </row>
    <row r="212" spans="2:9">
      <c r="B212" s="156">
        <v>170</v>
      </c>
      <c r="C212" s="157" t="s">
        <v>6309</v>
      </c>
      <c r="D212" s="157" t="s">
        <v>6199</v>
      </c>
      <c r="E212" s="157">
        <v>450</v>
      </c>
      <c r="F212" s="157">
        <v>499</v>
      </c>
      <c r="G212" s="359">
        <v>2.58</v>
      </c>
      <c r="H212" s="296"/>
      <c r="I212" s="360">
        <f t="shared" si="66"/>
        <v>3.35</v>
      </c>
    </row>
    <row r="213" spans="2:9">
      <c r="B213" s="156">
        <v>170</v>
      </c>
      <c r="C213" s="157" t="s">
        <v>6309</v>
      </c>
      <c r="D213" s="157" t="s">
        <v>6201</v>
      </c>
      <c r="E213" s="157">
        <v>500</v>
      </c>
      <c r="F213" s="157">
        <v>549</v>
      </c>
      <c r="G213" s="359">
        <v>2.75</v>
      </c>
      <c r="H213" s="296"/>
      <c r="I213" s="360">
        <f t="shared" si="66"/>
        <v>3.58</v>
      </c>
    </row>
    <row r="214" spans="2:9">
      <c r="B214" s="156">
        <v>170</v>
      </c>
      <c r="C214" s="157" t="s">
        <v>6309</v>
      </c>
      <c r="D214" s="157" t="s">
        <v>6203</v>
      </c>
      <c r="E214" s="157">
        <v>550</v>
      </c>
      <c r="F214" s="157">
        <v>599</v>
      </c>
      <c r="G214" s="359">
        <v>2.92</v>
      </c>
      <c r="H214" s="296"/>
      <c r="I214" s="360">
        <f t="shared" si="66"/>
        <v>3.8</v>
      </c>
    </row>
    <row r="215" spans="2:9">
      <c r="B215" s="156">
        <v>170</v>
      </c>
      <c r="C215" s="157" t="s">
        <v>6309</v>
      </c>
      <c r="D215" s="157" t="s">
        <v>6205</v>
      </c>
      <c r="E215" s="157">
        <v>600</v>
      </c>
      <c r="F215" s="157">
        <v>649</v>
      </c>
      <c r="G215" s="359">
        <v>3.09</v>
      </c>
      <c r="H215" s="296"/>
      <c r="I215" s="360">
        <f t="shared" si="66"/>
        <v>4.0199999999999996</v>
      </c>
    </row>
    <row r="216" spans="2:9">
      <c r="B216" s="156">
        <v>170</v>
      </c>
      <c r="C216" s="157" t="s">
        <v>6309</v>
      </c>
      <c r="D216" s="157" t="s">
        <v>6207</v>
      </c>
      <c r="E216" s="157">
        <v>650</v>
      </c>
      <c r="F216" s="157">
        <v>699</v>
      </c>
      <c r="G216" s="359">
        <v>3.26</v>
      </c>
      <c r="H216" s="296"/>
      <c r="I216" s="360">
        <f t="shared" si="66"/>
        <v>4.24</v>
      </c>
    </row>
    <row r="217" spans="2:9">
      <c r="B217" s="156">
        <v>170</v>
      </c>
      <c r="C217" s="157" t="s">
        <v>6309</v>
      </c>
      <c r="D217" s="157" t="s">
        <v>6211</v>
      </c>
      <c r="E217" s="157">
        <v>700</v>
      </c>
      <c r="F217" s="157">
        <v>749</v>
      </c>
      <c r="G217" s="359">
        <v>3.43</v>
      </c>
      <c r="H217" s="296"/>
      <c r="I217" s="360">
        <f t="shared" si="66"/>
        <v>4.46</v>
      </c>
    </row>
    <row r="218" spans="2:9">
      <c r="B218" s="156">
        <v>170</v>
      </c>
      <c r="C218" s="157" t="s">
        <v>6309</v>
      </c>
      <c r="D218" s="157" t="s">
        <v>6212</v>
      </c>
      <c r="E218" s="157">
        <v>750</v>
      </c>
      <c r="F218" s="157">
        <v>799</v>
      </c>
      <c r="G218" s="359">
        <v>3.6</v>
      </c>
      <c r="H218" s="296"/>
      <c r="I218" s="360">
        <f t="shared" si="66"/>
        <v>4.68</v>
      </c>
    </row>
    <row r="219" spans="2:9">
      <c r="B219" s="156">
        <v>170</v>
      </c>
      <c r="C219" s="157" t="s">
        <v>6309</v>
      </c>
      <c r="D219" s="157" t="s">
        <v>6213</v>
      </c>
      <c r="E219" s="157">
        <v>800</v>
      </c>
      <c r="F219" s="157">
        <v>849</v>
      </c>
      <c r="G219" s="359">
        <v>3.77</v>
      </c>
      <c r="H219" s="296"/>
      <c r="I219" s="360">
        <f t="shared" si="66"/>
        <v>4.9000000000000004</v>
      </c>
    </row>
    <row r="220" spans="2:9">
      <c r="B220" s="156">
        <v>170</v>
      </c>
      <c r="C220" s="157" t="s">
        <v>6309</v>
      </c>
      <c r="D220" s="157" t="s">
        <v>6216</v>
      </c>
      <c r="E220" s="157">
        <v>850</v>
      </c>
      <c r="F220" s="157">
        <v>899</v>
      </c>
      <c r="G220" s="359">
        <v>3.94</v>
      </c>
      <c r="H220" s="296"/>
      <c r="I220" s="360">
        <f t="shared" si="66"/>
        <v>5.12</v>
      </c>
    </row>
    <row r="221" spans="2:9">
      <c r="B221" s="156">
        <v>170</v>
      </c>
      <c r="C221" s="157" t="s">
        <v>6309</v>
      </c>
      <c r="D221" s="157" t="s">
        <v>6221</v>
      </c>
      <c r="E221" s="157">
        <v>900</v>
      </c>
      <c r="F221" s="157">
        <v>949</v>
      </c>
      <c r="G221" s="359">
        <v>4.1100000000000003</v>
      </c>
      <c r="H221" s="296"/>
      <c r="I221" s="360">
        <f t="shared" si="66"/>
        <v>5.34</v>
      </c>
    </row>
    <row r="222" spans="2:9">
      <c r="B222" s="156">
        <v>170</v>
      </c>
      <c r="C222" s="157" t="s">
        <v>6309</v>
      </c>
      <c r="D222" s="157" t="s">
        <v>6222</v>
      </c>
      <c r="E222" s="157">
        <v>950</v>
      </c>
      <c r="F222" s="157">
        <v>999</v>
      </c>
      <c r="G222" s="359">
        <v>4.28</v>
      </c>
      <c r="H222" s="296"/>
      <c r="I222" s="360">
        <f t="shared" si="66"/>
        <v>5.56</v>
      </c>
    </row>
    <row r="223" spans="2:9">
      <c r="B223" s="156">
        <v>170</v>
      </c>
      <c r="C223" s="157" t="s">
        <v>6309</v>
      </c>
      <c r="D223" s="157" t="s">
        <v>6224</v>
      </c>
      <c r="E223" s="157">
        <v>1000</v>
      </c>
      <c r="F223" s="157">
        <v>1499</v>
      </c>
      <c r="G223" s="359">
        <v>6.36</v>
      </c>
      <c r="H223" s="296"/>
      <c r="I223" s="360">
        <f t="shared" si="66"/>
        <v>8.27</v>
      </c>
    </row>
    <row r="224" spans="2:9">
      <c r="B224" s="156">
        <v>170</v>
      </c>
      <c r="C224" s="157" t="s">
        <v>6309</v>
      </c>
      <c r="D224" s="157" t="s">
        <v>6227</v>
      </c>
      <c r="E224" s="157">
        <v>1500</v>
      </c>
      <c r="F224" s="157">
        <v>1999</v>
      </c>
      <c r="G224" s="359">
        <v>8.44</v>
      </c>
      <c r="H224" s="296"/>
      <c r="I224" s="360">
        <f t="shared" si="66"/>
        <v>10.97</v>
      </c>
    </row>
    <row r="225" spans="2:9">
      <c r="B225" s="156">
        <v>170</v>
      </c>
      <c r="C225" s="157" t="s">
        <v>6309</v>
      </c>
      <c r="D225" s="157" t="s">
        <v>6229</v>
      </c>
      <c r="E225" s="157">
        <v>2000</v>
      </c>
      <c r="F225" s="157">
        <v>2499</v>
      </c>
      <c r="G225" s="359">
        <v>10.52</v>
      </c>
      <c r="I225" s="360">
        <f t="shared" si="66"/>
        <v>13.68</v>
      </c>
    </row>
    <row r="226" spans="2:9">
      <c r="B226" s="156">
        <v>170</v>
      </c>
      <c r="C226" s="157" t="s">
        <v>6309</v>
      </c>
      <c r="D226" s="157" t="s">
        <v>6231</v>
      </c>
      <c r="E226" s="157">
        <v>2500</v>
      </c>
      <c r="F226" s="157">
        <v>2999</v>
      </c>
      <c r="G226" s="359">
        <v>12.6</v>
      </c>
      <c r="I226" s="360">
        <f t="shared" si="66"/>
        <v>16.38</v>
      </c>
    </row>
    <row r="227" spans="2:9">
      <c r="B227" s="156">
        <v>170</v>
      </c>
      <c r="C227" s="157" t="s">
        <v>6309</v>
      </c>
      <c r="D227" s="157" t="s">
        <v>6234</v>
      </c>
      <c r="E227" s="157">
        <v>3000</v>
      </c>
      <c r="F227" s="157">
        <v>3499</v>
      </c>
      <c r="G227" s="359">
        <v>14.68</v>
      </c>
      <c r="I227" s="360">
        <f t="shared" si="66"/>
        <v>19.079999999999998</v>
      </c>
    </row>
    <row r="228" spans="2:9">
      <c r="B228" s="156">
        <v>170</v>
      </c>
      <c r="C228" s="157" t="s">
        <v>6309</v>
      </c>
      <c r="D228" s="157" t="s">
        <v>6236</v>
      </c>
      <c r="E228" s="157">
        <v>3500</v>
      </c>
      <c r="F228" s="157">
        <v>3999</v>
      </c>
      <c r="G228" s="359">
        <v>16.760000000000002</v>
      </c>
      <c r="I228" s="360">
        <f t="shared" si="66"/>
        <v>21.79</v>
      </c>
    </row>
    <row r="229" spans="2:9">
      <c r="B229" s="156">
        <v>170</v>
      </c>
      <c r="C229" s="157" t="s">
        <v>6309</v>
      </c>
      <c r="D229" s="157" t="s">
        <v>6238</v>
      </c>
      <c r="E229" s="157">
        <v>4000</v>
      </c>
      <c r="F229" s="157">
        <v>4499</v>
      </c>
      <c r="G229" s="359">
        <v>18.84</v>
      </c>
      <c r="I229" s="360">
        <f t="shared" si="66"/>
        <v>24.49</v>
      </c>
    </row>
    <row r="230" spans="2:9">
      <c r="B230" s="156">
        <v>170</v>
      </c>
      <c r="C230" s="157" t="s">
        <v>6309</v>
      </c>
      <c r="D230" s="157" t="s">
        <v>6240</v>
      </c>
      <c r="E230" s="157">
        <v>4500</v>
      </c>
      <c r="F230" s="157">
        <v>4999</v>
      </c>
      <c r="G230" s="359">
        <v>20.92</v>
      </c>
      <c r="I230" s="360">
        <f t="shared" si="66"/>
        <v>27.2</v>
      </c>
    </row>
    <row r="231" spans="2:9">
      <c r="B231" s="156">
        <v>170</v>
      </c>
      <c r="C231" s="157" t="s">
        <v>6309</v>
      </c>
      <c r="D231" s="157" t="s">
        <v>6241</v>
      </c>
      <c r="E231" s="157">
        <v>5000</v>
      </c>
      <c r="F231" s="157">
        <v>5499</v>
      </c>
      <c r="G231" s="359">
        <v>23</v>
      </c>
      <c r="I231" s="360">
        <f t="shared" si="66"/>
        <v>29.9</v>
      </c>
    </row>
    <row r="232" spans="2:9">
      <c r="B232" s="156">
        <v>170</v>
      </c>
      <c r="C232" s="157" t="s">
        <v>6309</v>
      </c>
      <c r="D232" s="157" t="s">
        <v>6242</v>
      </c>
      <c r="E232" s="157">
        <v>5500</v>
      </c>
      <c r="F232" s="157">
        <v>5999</v>
      </c>
      <c r="G232" s="359">
        <v>25.08</v>
      </c>
      <c r="I232" s="360">
        <f t="shared" si="66"/>
        <v>32.6</v>
      </c>
    </row>
    <row r="233" spans="2:9">
      <c r="B233" s="156">
        <v>170</v>
      </c>
      <c r="C233" s="157" t="s">
        <v>6309</v>
      </c>
      <c r="D233" s="157" t="s">
        <v>6246</v>
      </c>
      <c r="E233" s="157">
        <v>6000</v>
      </c>
      <c r="F233" s="157">
        <v>6499</v>
      </c>
      <c r="G233" s="359">
        <v>27.16</v>
      </c>
      <c r="I233" s="360">
        <f t="shared" si="66"/>
        <v>35.31</v>
      </c>
    </row>
    <row r="234" spans="2:9">
      <c r="B234" s="156">
        <v>170</v>
      </c>
      <c r="C234" s="157" t="s">
        <v>6309</v>
      </c>
      <c r="D234" s="157" t="s">
        <v>6247</v>
      </c>
      <c r="E234" s="157">
        <v>6500</v>
      </c>
      <c r="F234" s="157">
        <v>6999</v>
      </c>
      <c r="G234" s="359">
        <v>29.24</v>
      </c>
      <c r="I234" s="360">
        <f t="shared" si="66"/>
        <v>38.01</v>
      </c>
    </row>
    <row r="235" spans="2:9">
      <c r="B235" s="156">
        <v>170</v>
      </c>
      <c r="C235" s="157" t="s">
        <v>6309</v>
      </c>
      <c r="D235" s="157" t="s">
        <v>6248</v>
      </c>
      <c r="E235" s="157">
        <v>7000</v>
      </c>
      <c r="F235" s="157">
        <v>7499</v>
      </c>
      <c r="G235" s="359">
        <v>31.32</v>
      </c>
      <c r="H235" s="296"/>
      <c r="I235" s="360">
        <f t="shared" si="66"/>
        <v>40.72</v>
      </c>
    </row>
    <row r="236" spans="2:9">
      <c r="B236" s="156">
        <v>170</v>
      </c>
      <c r="C236" s="157" t="s">
        <v>6309</v>
      </c>
      <c r="D236" s="157" t="s">
        <v>6250</v>
      </c>
      <c r="E236" s="157">
        <v>7500</v>
      </c>
      <c r="F236" s="157">
        <v>7999</v>
      </c>
      <c r="G236" s="359">
        <v>33.4</v>
      </c>
      <c r="H236" s="296"/>
      <c r="I236" s="360">
        <f t="shared" si="66"/>
        <v>43.42</v>
      </c>
    </row>
    <row r="237" spans="2:9">
      <c r="B237" s="156">
        <v>170</v>
      </c>
      <c r="C237" s="157" t="s">
        <v>6309</v>
      </c>
      <c r="D237" s="157" t="s">
        <v>6252</v>
      </c>
      <c r="E237" s="157">
        <v>8000</v>
      </c>
      <c r="F237" s="157">
        <v>8499</v>
      </c>
      <c r="G237" s="359">
        <v>35.479999999999997</v>
      </c>
      <c r="H237" s="296"/>
      <c r="I237" s="360">
        <f t="shared" si="66"/>
        <v>46.12</v>
      </c>
    </row>
    <row r="238" spans="2:9">
      <c r="B238" s="156">
        <v>170</v>
      </c>
      <c r="C238" s="157" t="s">
        <v>6309</v>
      </c>
      <c r="D238" s="157" t="s">
        <v>6255</v>
      </c>
      <c r="E238" s="157">
        <v>8500</v>
      </c>
      <c r="F238" s="157">
        <v>8999</v>
      </c>
      <c r="G238" s="359">
        <v>37.56</v>
      </c>
      <c r="H238" s="296"/>
      <c r="I238" s="360">
        <f t="shared" si="66"/>
        <v>48.83</v>
      </c>
    </row>
    <row r="239" spans="2:9">
      <c r="B239" s="156">
        <v>170</v>
      </c>
      <c r="C239" s="157" t="s">
        <v>6309</v>
      </c>
      <c r="D239" s="157" t="s">
        <v>6256</v>
      </c>
      <c r="E239" s="157">
        <v>9000</v>
      </c>
      <c r="F239" s="157">
        <v>9499</v>
      </c>
      <c r="G239" s="359">
        <v>39.64</v>
      </c>
      <c r="H239" s="296"/>
      <c r="I239" s="360">
        <f t="shared" si="66"/>
        <v>51.53</v>
      </c>
    </row>
    <row r="240" spans="2:9">
      <c r="B240" s="159">
        <v>170</v>
      </c>
      <c r="C240" s="160" t="s">
        <v>6309</v>
      </c>
      <c r="D240" s="160" t="s">
        <v>6257</v>
      </c>
      <c r="E240" s="160">
        <v>9500</v>
      </c>
      <c r="F240" s="160">
        <v>10000</v>
      </c>
      <c r="G240" s="367">
        <v>41.73</v>
      </c>
      <c r="H240" s="298"/>
      <c r="I240" s="360">
        <f t="shared" si="66"/>
        <v>54.25</v>
      </c>
    </row>
    <row r="241" spans="2:10">
      <c r="B241" s="156">
        <v>140</v>
      </c>
      <c r="C241" s="157" t="s">
        <v>6336</v>
      </c>
      <c r="D241" s="157" t="s">
        <v>6180</v>
      </c>
      <c r="E241" s="157">
        <v>16</v>
      </c>
      <c r="F241" s="157">
        <v>249</v>
      </c>
      <c r="G241" s="158">
        <v>3.46</v>
      </c>
      <c r="H241" s="89">
        <f>ROUND(G241*1.15,2)</f>
        <v>3.98</v>
      </c>
      <c r="I241" s="360">
        <f t="shared" si="66"/>
        <v>4.5</v>
      </c>
      <c r="J241" s="89">
        <f t="shared" ref="J241:J304" si="67">ROUND(I241*1.15,2)</f>
        <v>5.18</v>
      </c>
    </row>
    <row r="242" spans="2:10">
      <c r="B242" s="156">
        <v>140</v>
      </c>
      <c r="C242" s="157" t="s">
        <v>6336</v>
      </c>
      <c r="D242" s="157" t="s">
        <v>6185</v>
      </c>
      <c r="E242" s="157">
        <v>250</v>
      </c>
      <c r="F242" s="157">
        <v>299</v>
      </c>
      <c r="G242" s="158">
        <v>3.8</v>
      </c>
      <c r="H242" s="89">
        <f t="shared" ref="H242:H305" si="68">ROUND(G242*1.15,2)</f>
        <v>4.37</v>
      </c>
      <c r="I242" s="360">
        <f t="shared" si="66"/>
        <v>4.9400000000000004</v>
      </c>
      <c r="J242" s="89">
        <f t="shared" si="67"/>
        <v>5.68</v>
      </c>
    </row>
    <row r="243" spans="2:10">
      <c r="B243" s="156">
        <v>140</v>
      </c>
      <c r="C243" s="157" t="s">
        <v>6336</v>
      </c>
      <c r="D243" s="157" t="s">
        <v>6187</v>
      </c>
      <c r="E243" s="157">
        <v>300</v>
      </c>
      <c r="F243" s="157">
        <v>349</v>
      </c>
      <c r="G243" s="158">
        <v>4.1399999999999997</v>
      </c>
      <c r="H243" s="89">
        <f t="shared" si="68"/>
        <v>4.76</v>
      </c>
      <c r="I243" s="360">
        <f t="shared" si="66"/>
        <v>5.38</v>
      </c>
      <c r="J243" s="89">
        <f t="shared" si="67"/>
        <v>6.19</v>
      </c>
    </row>
    <row r="244" spans="2:10">
      <c r="B244" s="156">
        <v>140</v>
      </c>
      <c r="C244" s="157" t="s">
        <v>6336</v>
      </c>
      <c r="D244" s="157" t="s">
        <v>6193</v>
      </c>
      <c r="E244" s="157">
        <v>350</v>
      </c>
      <c r="F244" s="157">
        <v>399</v>
      </c>
      <c r="G244" s="158">
        <v>4.4800000000000004</v>
      </c>
      <c r="H244" s="89">
        <f t="shared" si="68"/>
        <v>5.15</v>
      </c>
      <c r="I244" s="360">
        <f t="shared" si="66"/>
        <v>5.82</v>
      </c>
      <c r="J244" s="89">
        <f t="shared" si="67"/>
        <v>6.69</v>
      </c>
    </row>
    <row r="245" spans="2:10">
      <c r="B245" s="156">
        <v>140</v>
      </c>
      <c r="C245" s="157" t="s">
        <v>6336</v>
      </c>
      <c r="D245" s="157" t="s">
        <v>6196</v>
      </c>
      <c r="E245" s="157">
        <v>400</v>
      </c>
      <c r="F245" s="157">
        <v>449</v>
      </c>
      <c r="G245" s="158">
        <v>4.82</v>
      </c>
      <c r="H245" s="89">
        <f t="shared" si="68"/>
        <v>5.54</v>
      </c>
      <c r="I245" s="360">
        <f t="shared" si="66"/>
        <v>6.27</v>
      </c>
      <c r="J245" s="89">
        <f t="shared" si="67"/>
        <v>7.21</v>
      </c>
    </row>
    <row r="246" spans="2:10">
      <c r="B246" s="156">
        <v>140</v>
      </c>
      <c r="C246" s="157" t="s">
        <v>6336</v>
      </c>
      <c r="D246" s="157" t="s">
        <v>6199</v>
      </c>
      <c r="E246" s="157">
        <v>450</v>
      </c>
      <c r="F246" s="157">
        <v>499</v>
      </c>
      <c r="G246" s="158">
        <v>5.16</v>
      </c>
      <c r="H246" s="89">
        <f t="shared" si="68"/>
        <v>5.93</v>
      </c>
      <c r="I246" s="360">
        <f t="shared" si="66"/>
        <v>6.71</v>
      </c>
      <c r="J246" s="89">
        <f t="shared" si="67"/>
        <v>7.72</v>
      </c>
    </row>
    <row r="247" spans="2:10">
      <c r="B247" s="156">
        <v>140</v>
      </c>
      <c r="C247" s="157" t="s">
        <v>6336</v>
      </c>
      <c r="D247" s="157" t="s">
        <v>6201</v>
      </c>
      <c r="E247" s="157">
        <v>500</v>
      </c>
      <c r="F247" s="157">
        <v>549</v>
      </c>
      <c r="G247" s="158">
        <v>5.5</v>
      </c>
      <c r="H247" s="89">
        <f t="shared" si="68"/>
        <v>6.33</v>
      </c>
      <c r="I247" s="360">
        <f t="shared" si="66"/>
        <v>7.15</v>
      </c>
      <c r="J247" s="89">
        <f t="shared" si="67"/>
        <v>8.2200000000000006</v>
      </c>
    </row>
    <row r="248" spans="2:10">
      <c r="B248" s="156">
        <v>140</v>
      </c>
      <c r="C248" s="157" t="s">
        <v>6336</v>
      </c>
      <c r="D248" s="157" t="s">
        <v>6203</v>
      </c>
      <c r="E248" s="157">
        <v>550</v>
      </c>
      <c r="F248" s="157">
        <v>599</v>
      </c>
      <c r="G248" s="158">
        <v>5.84</v>
      </c>
      <c r="H248" s="89">
        <f t="shared" si="68"/>
        <v>6.72</v>
      </c>
      <c r="I248" s="360">
        <f t="shared" si="66"/>
        <v>7.59</v>
      </c>
      <c r="J248" s="89">
        <f t="shared" si="67"/>
        <v>8.73</v>
      </c>
    </row>
    <row r="249" spans="2:10">
      <c r="B249" s="156">
        <v>140</v>
      </c>
      <c r="C249" s="157" t="s">
        <v>6336</v>
      </c>
      <c r="D249" s="157" t="s">
        <v>6205</v>
      </c>
      <c r="E249" s="157">
        <v>600</v>
      </c>
      <c r="F249" s="157">
        <v>649</v>
      </c>
      <c r="G249" s="158">
        <v>6.18</v>
      </c>
      <c r="H249" s="89">
        <f t="shared" si="68"/>
        <v>7.11</v>
      </c>
      <c r="I249" s="360">
        <f t="shared" si="66"/>
        <v>8.0299999999999994</v>
      </c>
      <c r="J249" s="89">
        <f t="shared" si="67"/>
        <v>9.23</v>
      </c>
    </row>
    <row r="250" spans="2:10">
      <c r="B250" s="156">
        <v>140</v>
      </c>
      <c r="C250" s="157" t="s">
        <v>6336</v>
      </c>
      <c r="D250" s="157" t="s">
        <v>6207</v>
      </c>
      <c r="E250" s="157">
        <v>650</v>
      </c>
      <c r="F250" s="157">
        <v>699</v>
      </c>
      <c r="G250" s="158">
        <v>6.52</v>
      </c>
      <c r="H250" s="89">
        <f t="shared" si="68"/>
        <v>7.5</v>
      </c>
      <c r="I250" s="360">
        <f t="shared" si="66"/>
        <v>8.48</v>
      </c>
      <c r="J250" s="89">
        <f t="shared" si="67"/>
        <v>9.75</v>
      </c>
    </row>
    <row r="251" spans="2:10">
      <c r="B251" s="156">
        <v>140</v>
      </c>
      <c r="C251" s="157" t="s">
        <v>6336</v>
      </c>
      <c r="D251" s="157" t="s">
        <v>6211</v>
      </c>
      <c r="E251" s="157">
        <v>700</v>
      </c>
      <c r="F251" s="157">
        <v>749</v>
      </c>
      <c r="G251" s="158">
        <v>6.86</v>
      </c>
      <c r="H251" s="89">
        <f t="shared" si="68"/>
        <v>7.89</v>
      </c>
      <c r="I251" s="360">
        <f t="shared" si="66"/>
        <v>8.92</v>
      </c>
      <c r="J251" s="89">
        <f t="shared" si="67"/>
        <v>10.26</v>
      </c>
    </row>
    <row r="252" spans="2:10">
      <c r="B252" s="156">
        <v>140</v>
      </c>
      <c r="C252" s="157" t="s">
        <v>6336</v>
      </c>
      <c r="D252" s="157" t="s">
        <v>6212</v>
      </c>
      <c r="E252" s="157">
        <v>750</v>
      </c>
      <c r="F252" s="157">
        <v>799</v>
      </c>
      <c r="G252" s="158">
        <v>7.2</v>
      </c>
      <c r="H252" s="89">
        <f t="shared" si="68"/>
        <v>8.2799999999999994</v>
      </c>
      <c r="I252" s="360">
        <f t="shared" si="66"/>
        <v>9.36</v>
      </c>
      <c r="J252" s="89">
        <f t="shared" si="67"/>
        <v>10.76</v>
      </c>
    </row>
    <row r="253" spans="2:10">
      <c r="B253" s="156">
        <v>140</v>
      </c>
      <c r="C253" s="157" t="s">
        <v>6336</v>
      </c>
      <c r="D253" s="157" t="s">
        <v>6213</v>
      </c>
      <c r="E253" s="157">
        <v>800</v>
      </c>
      <c r="F253" s="157">
        <v>849</v>
      </c>
      <c r="G253" s="158">
        <v>7.54</v>
      </c>
      <c r="H253" s="89">
        <f t="shared" si="68"/>
        <v>8.67</v>
      </c>
      <c r="I253" s="360">
        <f t="shared" si="66"/>
        <v>9.8000000000000007</v>
      </c>
      <c r="J253" s="89">
        <f t="shared" si="67"/>
        <v>11.27</v>
      </c>
    </row>
    <row r="254" spans="2:10">
      <c r="B254" s="156">
        <v>140</v>
      </c>
      <c r="C254" s="157" t="s">
        <v>6336</v>
      </c>
      <c r="D254" s="157" t="s">
        <v>6216</v>
      </c>
      <c r="E254" s="157">
        <v>850</v>
      </c>
      <c r="F254" s="157">
        <v>899</v>
      </c>
      <c r="G254" s="158">
        <v>7.88</v>
      </c>
      <c r="H254" s="89">
        <f t="shared" si="68"/>
        <v>9.06</v>
      </c>
      <c r="I254" s="360">
        <f t="shared" si="66"/>
        <v>10.24</v>
      </c>
      <c r="J254" s="89">
        <f t="shared" si="67"/>
        <v>11.78</v>
      </c>
    </row>
    <row r="255" spans="2:10">
      <c r="B255" s="156">
        <v>140</v>
      </c>
      <c r="C255" s="157" t="s">
        <v>6336</v>
      </c>
      <c r="D255" s="157" t="s">
        <v>6221</v>
      </c>
      <c r="E255" s="157">
        <v>900</v>
      </c>
      <c r="F255" s="157">
        <v>949</v>
      </c>
      <c r="G255" s="158">
        <v>8.2200000000000006</v>
      </c>
      <c r="H255" s="89">
        <f t="shared" si="68"/>
        <v>9.4499999999999993</v>
      </c>
      <c r="I255" s="360">
        <f t="shared" si="66"/>
        <v>10.69</v>
      </c>
      <c r="J255" s="89">
        <f t="shared" si="67"/>
        <v>12.29</v>
      </c>
    </row>
    <row r="256" spans="2:10">
      <c r="B256" s="156">
        <v>140</v>
      </c>
      <c r="C256" s="157" t="s">
        <v>6336</v>
      </c>
      <c r="D256" s="157" t="s">
        <v>6222</v>
      </c>
      <c r="E256" s="157">
        <v>950</v>
      </c>
      <c r="F256" s="157">
        <v>999</v>
      </c>
      <c r="G256" s="158">
        <v>8.56</v>
      </c>
      <c r="H256" s="89">
        <f t="shared" si="68"/>
        <v>9.84</v>
      </c>
      <c r="I256" s="360">
        <f t="shared" si="66"/>
        <v>11.13</v>
      </c>
      <c r="J256" s="89">
        <f t="shared" si="67"/>
        <v>12.8</v>
      </c>
    </row>
    <row r="257" spans="2:10">
      <c r="B257" s="156">
        <v>140</v>
      </c>
      <c r="C257" s="157" t="s">
        <v>6336</v>
      </c>
      <c r="D257" s="157" t="s">
        <v>6224</v>
      </c>
      <c r="E257" s="157">
        <v>1000</v>
      </c>
      <c r="F257" s="157">
        <v>1499</v>
      </c>
      <c r="G257" s="158">
        <v>11.54</v>
      </c>
      <c r="H257" s="89">
        <f t="shared" si="68"/>
        <v>13.27</v>
      </c>
      <c r="I257" s="360">
        <f t="shared" si="66"/>
        <v>15</v>
      </c>
      <c r="J257" s="89">
        <f t="shared" si="67"/>
        <v>17.25</v>
      </c>
    </row>
    <row r="258" spans="2:10">
      <c r="B258" s="156">
        <v>140</v>
      </c>
      <c r="C258" s="157" t="s">
        <v>6336</v>
      </c>
      <c r="D258" s="157" t="s">
        <v>6227</v>
      </c>
      <c r="E258" s="157">
        <v>1500</v>
      </c>
      <c r="F258" s="157">
        <v>1999</v>
      </c>
      <c r="G258" s="158">
        <v>14.52</v>
      </c>
      <c r="H258" s="89">
        <f t="shared" si="68"/>
        <v>16.7</v>
      </c>
      <c r="I258" s="360">
        <f t="shared" si="66"/>
        <v>18.88</v>
      </c>
      <c r="J258" s="89">
        <f t="shared" si="67"/>
        <v>21.71</v>
      </c>
    </row>
    <row r="259" spans="2:10">
      <c r="B259" s="156">
        <v>140</v>
      </c>
      <c r="C259" s="157" t="s">
        <v>6336</v>
      </c>
      <c r="D259" s="157" t="s">
        <v>6229</v>
      </c>
      <c r="E259" s="157">
        <v>2000</v>
      </c>
      <c r="F259" s="157">
        <v>2499</v>
      </c>
      <c r="G259" s="158">
        <v>17.5</v>
      </c>
      <c r="H259" s="89">
        <f t="shared" si="68"/>
        <v>20.13</v>
      </c>
      <c r="I259" s="360">
        <f t="shared" si="66"/>
        <v>22.75</v>
      </c>
      <c r="J259" s="89">
        <f t="shared" si="67"/>
        <v>26.16</v>
      </c>
    </row>
    <row r="260" spans="2:10">
      <c r="B260" s="156">
        <v>140</v>
      </c>
      <c r="C260" s="157" t="s">
        <v>6336</v>
      </c>
      <c r="D260" s="157" t="s">
        <v>6231</v>
      </c>
      <c r="E260" s="157">
        <v>2500</v>
      </c>
      <c r="F260" s="157">
        <v>2999</v>
      </c>
      <c r="G260" s="158">
        <v>20.48</v>
      </c>
      <c r="H260" s="89">
        <f t="shared" si="68"/>
        <v>23.55</v>
      </c>
      <c r="I260" s="360">
        <f t="shared" ref="I260:I308" si="69">ROUND(G260*1.3,2)</f>
        <v>26.62</v>
      </c>
      <c r="J260" s="89">
        <f t="shared" si="67"/>
        <v>30.61</v>
      </c>
    </row>
    <row r="261" spans="2:10">
      <c r="B261" s="156">
        <v>140</v>
      </c>
      <c r="C261" s="157" t="s">
        <v>6336</v>
      </c>
      <c r="D261" s="157" t="s">
        <v>6234</v>
      </c>
      <c r="E261" s="157">
        <v>3000</v>
      </c>
      <c r="F261" s="157">
        <v>3499</v>
      </c>
      <c r="G261" s="158">
        <v>23.46</v>
      </c>
      <c r="H261" s="89">
        <f t="shared" si="68"/>
        <v>26.98</v>
      </c>
      <c r="I261" s="360">
        <f t="shared" si="69"/>
        <v>30.5</v>
      </c>
      <c r="J261" s="89">
        <f t="shared" si="67"/>
        <v>35.08</v>
      </c>
    </row>
    <row r="262" spans="2:10">
      <c r="B262" s="156">
        <v>140</v>
      </c>
      <c r="C262" s="157" t="s">
        <v>6336</v>
      </c>
      <c r="D262" s="157" t="s">
        <v>6236</v>
      </c>
      <c r="E262" s="157">
        <v>3500</v>
      </c>
      <c r="F262" s="157">
        <v>3999</v>
      </c>
      <c r="G262" s="158">
        <v>26.44</v>
      </c>
      <c r="H262" s="89">
        <f t="shared" si="68"/>
        <v>30.41</v>
      </c>
      <c r="I262" s="360">
        <f t="shared" si="69"/>
        <v>34.369999999999997</v>
      </c>
      <c r="J262" s="89">
        <f t="shared" si="67"/>
        <v>39.53</v>
      </c>
    </row>
    <row r="263" spans="2:10">
      <c r="B263" s="156">
        <v>140</v>
      </c>
      <c r="C263" s="157" t="s">
        <v>6336</v>
      </c>
      <c r="D263" s="157" t="s">
        <v>6238</v>
      </c>
      <c r="E263" s="157">
        <v>4000</v>
      </c>
      <c r="F263" s="157">
        <v>4499</v>
      </c>
      <c r="G263" s="158">
        <v>29.42</v>
      </c>
      <c r="H263" s="89">
        <f t="shared" si="68"/>
        <v>33.83</v>
      </c>
      <c r="I263" s="360">
        <f t="shared" si="69"/>
        <v>38.25</v>
      </c>
      <c r="J263" s="89">
        <f t="shared" si="67"/>
        <v>43.99</v>
      </c>
    </row>
    <row r="264" spans="2:10">
      <c r="B264" s="156">
        <v>140</v>
      </c>
      <c r="C264" s="157" t="s">
        <v>6336</v>
      </c>
      <c r="D264" s="157" t="s">
        <v>6240</v>
      </c>
      <c r="E264" s="157">
        <v>4500</v>
      </c>
      <c r="F264" s="157">
        <v>4999</v>
      </c>
      <c r="G264" s="158">
        <v>32.4</v>
      </c>
      <c r="H264" s="89">
        <f t="shared" si="68"/>
        <v>37.26</v>
      </c>
      <c r="I264" s="360">
        <f t="shared" si="69"/>
        <v>42.12</v>
      </c>
      <c r="J264" s="89">
        <f t="shared" si="67"/>
        <v>48.44</v>
      </c>
    </row>
    <row r="265" spans="2:10">
      <c r="B265" s="156">
        <v>140</v>
      </c>
      <c r="C265" s="157" t="s">
        <v>6336</v>
      </c>
      <c r="D265" s="157" t="s">
        <v>6241</v>
      </c>
      <c r="E265" s="157">
        <v>5000</v>
      </c>
      <c r="F265" s="157">
        <v>5499</v>
      </c>
      <c r="G265" s="158">
        <v>35.380000000000003</v>
      </c>
      <c r="H265" s="89">
        <f t="shared" si="68"/>
        <v>40.69</v>
      </c>
      <c r="I265" s="360">
        <f t="shared" si="69"/>
        <v>45.99</v>
      </c>
      <c r="J265" s="89">
        <f t="shared" si="67"/>
        <v>52.89</v>
      </c>
    </row>
    <row r="266" spans="2:10">
      <c r="B266" s="156">
        <v>140</v>
      </c>
      <c r="C266" s="157" t="s">
        <v>6336</v>
      </c>
      <c r="D266" s="157" t="s">
        <v>6242</v>
      </c>
      <c r="E266" s="157">
        <v>5500</v>
      </c>
      <c r="F266" s="157">
        <v>5999</v>
      </c>
      <c r="G266" s="158">
        <v>38.36</v>
      </c>
      <c r="H266" s="89">
        <f t="shared" si="68"/>
        <v>44.11</v>
      </c>
      <c r="I266" s="360">
        <f t="shared" si="69"/>
        <v>49.87</v>
      </c>
      <c r="J266" s="89">
        <f t="shared" si="67"/>
        <v>57.35</v>
      </c>
    </row>
    <row r="267" spans="2:10">
      <c r="B267" s="156">
        <v>140</v>
      </c>
      <c r="C267" s="157" t="s">
        <v>6336</v>
      </c>
      <c r="D267" s="157" t="s">
        <v>6246</v>
      </c>
      <c r="E267" s="157">
        <v>6000</v>
      </c>
      <c r="F267" s="157">
        <v>6499</v>
      </c>
      <c r="G267" s="158">
        <v>41.34</v>
      </c>
      <c r="H267" s="89">
        <f t="shared" si="68"/>
        <v>47.54</v>
      </c>
      <c r="I267" s="360">
        <f t="shared" si="69"/>
        <v>53.74</v>
      </c>
      <c r="J267" s="89">
        <f t="shared" si="67"/>
        <v>61.8</v>
      </c>
    </row>
    <row r="268" spans="2:10">
      <c r="B268" s="156">
        <v>140</v>
      </c>
      <c r="C268" s="157" t="s">
        <v>6336</v>
      </c>
      <c r="D268" s="157" t="s">
        <v>6247</v>
      </c>
      <c r="E268" s="157">
        <v>6500</v>
      </c>
      <c r="F268" s="157">
        <v>6999</v>
      </c>
      <c r="G268" s="158">
        <v>44.32</v>
      </c>
      <c r="H268" s="89">
        <f t="shared" si="68"/>
        <v>50.97</v>
      </c>
      <c r="I268" s="360">
        <f t="shared" si="69"/>
        <v>57.62</v>
      </c>
      <c r="J268" s="89">
        <f t="shared" si="67"/>
        <v>66.260000000000005</v>
      </c>
    </row>
    <row r="269" spans="2:10">
      <c r="B269" s="156">
        <v>140</v>
      </c>
      <c r="C269" s="157" t="s">
        <v>6336</v>
      </c>
      <c r="D269" s="157" t="s">
        <v>6248</v>
      </c>
      <c r="E269" s="157">
        <v>7000</v>
      </c>
      <c r="F269" s="157">
        <v>7499</v>
      </c>
      <c r="G269" s="158">
        <v>47.3</v>
      </c>
      <c r="H269" s="89">
        <f t="shared" si="68"/>
        <v>54.4</v>
      </c>
      <c r="I269" s="360">
        <f t="shared" si="69"/>
        <v>61.49</v>
      </c>
      <c r="J269" s="89">
        <f t="shared" si="67"/>
        <v>70.709999999999994</v>
      </c>
    </row>
    <row r="270" spans="2:10">
      <c r="B270" s="156">
        <v>140</v>
      </c>
      <c r="C270" s="157" t="s">
        <v>6336</v>
      </c>
      <c r="D270" s="157" t="s">
        <v>6250</v>
      </c>
      <c r="E270" s="157">
        <v>7500</v>
      </c>
      <c r="F270" s="157">
        <v>7999</v>
      </c>
      <c r="G270" s="158">
        <v>50.28</v>
      </c>
      <c r="H270" s="89">
        <f t="shared" si="68"/>
        <v>57.82</v>
      </c>
      <c r="I270" s="360">
        <f t="shared" si="69"/>
        <v>65.36</v>
      </c>
      <c r="J270" s="89">
        <f t="shared" si="67"/>
        <v>75.16</v>
      </c>
    </row>
    <row r="271" spans="2:10">
      <c r="B271" s="156">
        <v>140</v>
      </c>
      <c r="C271" s="157" t="s">
        <v>6336</v>
      </c>
      <c r="D271" s="157" t="s">
        <v>6252</v>
      </c>
      <c r="E271" s="157">
        <v>8000</v>
      </c>
      <c r="F271" s="157">
        <v>8499</v>
      </c>
      <c r="G271" s="158">
        <v>53.26</v>
      </c>
      <c r="H271" s="89">
        <f t="shared" si="68"/>
        <v>61.25</v>
      </c>
      <c r="I271" s="360">
        <f t="shared" si="69"/>
        <v>69.239999999999995</v>
      </c>
      <c r="J271" s="89">
        <f t="shared" si="67"/>
        <v>79.63</v>
      </c>
    </row>
    <row r="272" spans="2:10">
      <c r="B272" s="156">
        <v>140</v>
      </c>
      <c r="C272" s="157" t="s">
        <v>6336</v>
      </c>
      <c r="D272" s="157" t="s">
        <v>6255</v>
      </c>
      <c r="E272" s="157">
        <v>8500</v>
      </c>
      <c r="F272" s="157">
        <v>8999</v>
      </c>
      <c r="G272" s="158">
        <v>56.24</v>
      </c>
      <c r="H272" s="89">
        <f t="shared" si="68"/>
        <v>64.680000000000007</v>
      </c>
      <c r="I272" s="360">
        <f t="shared" si="69"/>
        <v>73.11</v>
      </c>
      <c r="J272" s="89">
        <f t="shared" si="67"/>
        <v>84.08</v>
      </c>
    </row>
    <row r="273" spans="2:10">
      <c r="B273" s="156">
        <v>140</v>
      </c>
      <c r="C273" s="157" t="s">
        <v>6336</v>
      </c>
      <c r="D273" s="157" t="s">
        <v>6256</v>
      </c>
      <c r="E273" s="157">
        <v>9000</v>
      </c>
      <c r="F273" s="157">
        <v>9499</v>
      </c>
      <c r="G273" s="158">
        <v>59.22</v>
      </c>
      <c r="H273" s="89">
        <f t="shared" si="68"/>
        <v>68.099999999999994</v>
      </c>
      <c r="I273" s="360">
        <f t="shared" si="69"/>
        <v>76.989999999999995</v>
      </c>
      <c r="J273" s="89">
        <f t="shared" si="67"/>
        <v>88.54</v>
      </c>
    </row>
    <row r="274" spans="2:10">
      <c r="B274" s="159">
        <v>140</v>
      </c>
      <c r="C274" s="160" t="s">
        <v>6336</v>
      </c>
      <c r="D274" s="160" t="s">
        <v>6257</v>
      </c>
      <c r="E274" s="160">
        <v>9500</v>
      </c>
      <c r="F274" s="160">
        <v>10000</v>
      </c>
      <c r="G274" s="161">
        <v>62.21</v>
      </c>
      <c r="H274" s="91">
        <f t="shared" si="68"/>
        <v>71.540000000000006</v>
      </c>
      <c r="I274" s="360">
        <f t="shared" si="69"/>
        <v>80.87</v>
      </c>
      <c r="J274" s="89">
        <f t="shared" si="67"/>
        <v>93</v>
      </c>
    </row>
    <row r="275" spans="2:10">
      <c r="B275" s="156">
        <v>143</v>
      </c>
      <c r="C275" s="157" t="s">
        <v>6367</v>
      </c>
      <c r="D275" s="157" t="s">
        <v>6180</v>
      </c>
      <c r="E275" s="157">
        <v>16</v>
      </c>
      <c r="F275" s="157">
        <v>249</v>
      </c>
      <c r="G275" s="158">
        <v>3.81</v>
      </c>
      <c r="H275" s="89">
        <f t="shared" si="68"/>
        <v>4.38</v>
      </c>
      <c r="I275" s="360">
        <f t="shared" si="69"/>
        <v>4.95</v>
      </c>
      <c r="J275" s="89">
        <f t="shared" si="67"/>
        <v>5.69</v>
      </c>
    </row>
    <row r="276" spans="2:10">
      <c r="B276" s="156">
        <v>143</v>
      </c>
      <c r="C276" s="157" t="s">
        <v>6367</v>
      </c>
      <c r="D276" s="157" t="s">
        <v>6185</v>
      </c>
      <c r="E276" s="157">
        <v>250</v>
      </c>
      <c r="F276" s="157">
        <v>299</v>
      </c>
      <c r="G276" s="158">
        <v>4.1900000000000004</v>
      </c>
      <c r="H276" s="89">
        <f t="shared" si="68"/>
        <v>4.82</v>
      </c>
      <c r="I276" s="360">
        <f t="shared" si="69"/>
        <v>5.45</v>
      </c>
      <c r="J276" s="89">
        <f t="shared" si="67"/>
        <v>6.27</v>
      </c>
    </row>
    <row r="277" spans="2:10">
      <c r="B277" s="156">
        <v>143</v>
      </c>
      <c r="C277" s="157" t="s">
        <v>6367</v>
      </c>
      <c r="D277" s="157" t="s">
        <v>6187</v>
      </c>
      <c r="E277" s="157">
        <v>300</v>
      </c>
      <c r="F277" s="157">
        <v>349</v>
      </c>
      <c r="G277" s="158">
        <v>4.57</v>
      </c>
      <c r="H277" s="89">
        <f t="shared" si="68"/>
        <v>5.26</v>
      </c>
      <c r="I277" s="360">
        <f t="shared" si="69"/>
        <v>5.94</v>
      </c>
      <c r="J277" s="89">
        <f t="shared" si="67"/>
        <v>6.83</v>
      </c>
    </row>
    <row r="278" spans="2:10">
      <c r="B278" s="156">
        <v>143</v>
      </c>
      <c r="C278" s="157" t="s">
        <v>6367</v>
      </c>
      <c r="D278" s="157" t="s">
        <v>6193</v>
      </c>
      <c r="E278" s="157">
        <v>350</v>
      </c>
      <c r="F278" s="157">
        <v>399</v>
      </c>
      <c r="G278" s="158">
        <v>4.95</v>
      </c>
      <c r="H278" s="89">
        <f t="shared" si="68"/>
        <v>5.69</v>
      </c>
      <c r="I278" s="360">
        <f t="shared" si="69"/>
        <v>6.44</v>
      </c>
      <c r="J278" s="89">
        <f t="shared" si="67"/>
        <v>7.41</v>
      </c>
    </row>
    <row r="279" spans="2:10">
      <c r="B279" s="156">
        <v>143</v>
      </c>
      <c r="C279" s="157" t="s">
        <v>6367</v>
      </c>
      <c r="D279" s="157" t="s">
        <v>6196</v>
      </c>
      <c r="E279" s="157">
        <v>400</v>
      </c>
      <c r="F279" s="157">
        <v>449</v>
      </c>
      <c r="G279" s="158">
        <v>5.33</v>
      </c>
      <c r="H279" s="89">
        <f t="shared" si="68"/>
        <v>6.13</v>
      </c>
      <c r="I279" s="360">
        <f t="shared" si="69"/>
        <v>6.93</v>
      </c>
      <c r="J279" s="89">
        <f t="shared" si="67"/>
        <v>7.97</v>
      </c>
    </row>
    <row r="280" spans="2:10">
      <c r="B280" s="156">
        <v>143</v>
      </c>
      <c r="C280" s="157" t="s">
        <v>6367</v>
      </c>
      <c r="D280" s="157" t="s">
        <v>6199</v>
      </c>
      <c r="E280" s="157">
        <v>450</v>
      </c>
      <c r="F280" s="157">
        <v>499</v>
      </c>
      <c r="G280" s="158">
        <v>5.71</v>
      </c>
      <c r="H280" s="89">
        <f t="shared" si="68"/>
        <v>6.57</v>
      </c>
      <c r="I280" s="360">
        <f t="shared" si="69"/>
        <v>7.42</v>
      </c>
      <c r="J280" s="89">
        <f t="shared" si="67"/>
        <v>8.5299999999999994</v>
      </c>
    </row>
    <row r="281" spans="2:10">
      <c r="B281" s="156">
        <v>143</v>
      </c>
      <c r="C281" s="157" t="s">
        <v>6367</v>
      </c>
      <c r="D281" s="157" t="s">
        <v>6201</v>
      </c>
      <c r="E281" s="157">
        <v>500</v>
      </c>
      <c r="F281" s="157">
        <v>549</v>
      </c>
      <c r="G281" s="158">
        <v>6.09</v>
      </c>
      <c r="H281" s="89">
        <f t="shared" si="68"/>
        <v>7</v>
      </c>
      <c r="I281" s="360">
        <f t="shared" si="69"/>
        <v>7.92</v>
      </c>
      <c r="J281" s="89">
        <f t="shared" si="67"/>
        <v>9.11</v>
      </c>
    </row>
    <row r="282" spans="2:10">
      <c r="B282" s="156">
        <v>143</v>
      </c>
      <c r="C282" s="157" t="s">
        <v>6367</v>
      </c>
      <c r="D282" s="157" t="s">
        <v>6203</v>
      </c>
      <c r="E282" s="157">
        <v>550</v>
      </c>
      <c r="F282" s="157">
        <v>599</v>
      </c>
      <c r="G282" s="158">
        <v>6.47</v>
      </c>
      <c r="H282" s="89">
        <f t="shared" si="68"/>
        <v>7.44</v>
      </c>
      <c r="I282" s="360">
        <f t="shared" si="69"/>
        <v>8.41</v>
      </c>
      <c r="J282" s="89">
        <f t="shared" si="67"/>
        <v>9.67</v>
      </c>
    </row>
    <row r="283" spans="2:10">
      <c r="B283" s="156">
        <v>143</v>
      </c>
      <c r="C283" s="157" t="s">
        <v>6367</v>
      </c>
      <c r="D283" s="157" t="s">
        <v>6205</v>
      </c>
      <c r="E283" s="157">
        <v>600</v>
      </c>
      <c r="F283" s="157">
        <v>649</v>
      </c>
      <c r="G283" s="158">
        <v>6.85</v>
      </c>
      <c r="H283" s="89">
        <f t="shared" si="68"/>
        <v>7.88</v>
      </c>
      <c r="I283" s="360">
        <f t="shared" si="69"/>
        <v>8.91</v>
      </c>
      <c r="J283" s="89">
        <f t="shared" si="67"/>
        <v>10.25</v>
      </c>
    </row>
    <row r="284" spans="2:10">
      <c r="B284" s="156">
        <v>143</v>
      </c>
      <c r="C284" s="157" t="s">
        <v>6367</v>
      </c>
      <c r="D284" s="157" t="s">
        <v>6207</v>
      </c>
      <c r="E284" s="157">
        <v>650</v>
      </c>
      <c r="F284" s="157">
        <v>699</v>
      </c>
      <c r="G284" s="158">
        <v>7.23</v>
      </c>
      <c r="H284" s="89">
        <f t="shared" si="68"/>
        <v>8.31</v>
      </c>
      <c r="I284" s="360">
        <f t="shared" si="69"/>
        <v>9.4</v>
      </c>
      <c r="J284" s="89">
        <f t="shared" si="67"/>
        <v>10.81</v>
      </c>
    </row>
    <row r="285" spans="2:10">
      <c r="B285" s="156">
        <v>143</v>
      </c>
      <c r="C285" s="157" t="s">
        <v>6367</v>
      </c>
      <c r="D285" s="157" t="s">
        <v>6211</v>
      </c>
      <c r="E285" s="157">
        <v>700</v>
      </c>
      <c r="F285" s="157">
        <v>749</v>
      </c>
      <c r="G285" s="158">
        <v>7.61</v>
      </c>
      <c r="H285" s="89">
        <f t="shared" si="68"/>
        <v>8.75</v>
      </c>
      <c r="I285" s="360">
        <f t="shared" si="69"/>
        <v>9.89</v>
      </c>
      <c r="J285" s="89">
        <f t="shared" si="67"/>
        <v>11.37</v>
      </c>
    </row>
    <row r="286" spans="2:10">
      <c r="B286" s="156">
        <v>143</v>
      </c>
      <c r="C286" s="157" t="s">
        <v>6367</v>
      </c>
      <c r="D286" s="157" t="s">
        <v>6212</v>
      </c>
      <c r="E286" s="157">
        <v>750</v>
      </c>
      <c r="F286" s="157">
        <v>799</v>
      </c>
      <c r="G286" s="158">
        <v>7.99</v>
      </c>
      <c r="H286" s="89">
        <f t="shared" si="68"/>
        <v>9.19</v>
      </c>
      <c r="I286" s="360">
        <f t="shared" si="69"/>
        <v>10.39</v>
      </c>
      <c r="J286" s="89">
        <f t="shared" si="67"/>
        <v>11.95</v>
      </c>
    </row>
    <row r="287" spans="2:10">
      <c r="B287" s="156">
        <v>143</v>
      </c>
      <c r="C287" s="157" t="s">
        <v>6367</v>
      </c>
      <c r="D287" s="157" t="s">
        <v>6213</v>
      </c>
      <c r="E287" s="157">
        <v>800</v>
      </c>
      <c r="F287" s="157">
        <v>849</v>
      </c>
      <c r="G287" s="158">
        <v>8.3699999999999992</v>
      </c>
      <c r="H287" s="89">
        <f t="shared" si="68"/>
        <v>9.6300000000000008</v>
      </c>
      <c r="I287" s="360">
        <f t="shared" si="69"/>
        <v>10.88</v>
      </c>
      <c r="J287" s="89">
        <f t="shared" si="67"/>
        <v>12.51</v>
      </c>
    </row>
    <row r="288" spans="2:10">
      <c r="B288" s="156">
        <v>143</v>
      </c>
      <c r="C288" s="157" t="s">
        <v>6367</v>
      </c>
      <c r="D288" s="157" t="s">
        <v>6216</v>
      </c>
      <c r="E288" s="157">
        <v>850</v>
      </c>
      <c r="F288" s="157">
        <v>899</v>
      </c>
      <c r="G288" s="158">
        <v>8.75</v>
      </c>
      <c r="H288" s="89">
        <f t="shared" si="68"/>
        <v>10.06</v>
      </c>
      <c r="I288" s="360">
        <f t="shared" si="69"/>
        <v>11.38</v>
      </c>
      <c r="J288" s="89">
        <f t="shared" si="67"/>
        <v>13.09</v>
      </c>
    </row>
    <row r="289" spans="2:10">
      <c r="B289" s="156">
        <v>143</v>
      </c>
      <c r="C289" s="157" t="s">
        <v>6367</v>
      </c>
      <c r="D289" s="157" t="s">
        <v>6221</v>
      </c>
      <c r="E289" s="157">
        <v>900</v>
      </c>
      <c r="F289" s="157">
        <v>949</v>
      </c>
      <c r="G289" s="158">
        <v>9.1300000000000008</v>
      </c>
      <c r="H289" s="89">
        <f t="shared" si="68"/>
        <v>10.5</v>
      </c>
      <c r="I289" s="360">
        <f t="shared" si="69"/>
        <v>11.87</v>
      </c>
      <c r="J289" s="89">
        <f t="shared" si="67"/>
        <v>13.65</v>
      </c>
    </row>
    <row r="290" spans="2:10">
      <c r="B290" s="156">
        <v>143</v>
      </c>
      <c r="C290" s="157" t="s">
        <v>6367</v>
      </c>
      <c r="D290" s="157" t="s">
        <v>6222</v>
      </c>
      <c r="E290" s="157">
        <v>950</v>
      </c>
      <c r="F290" s="157">
        <v>999</v>
      </c>
      <c r="G290" s="158">
        <v>9.51</v>
      </c>
      <c r="H290" s="89">
        <f t="shared" si="68"/>
        <v>10.94</v>
      </c>
      <c r="I290" s="360">
        <f t="shared" si="69"/>
        <v>12.36</v>
      </c>
      <c r="J290" s="89">
        <f t="shared" si="67"/>
        <v>14.21</v>
      </c>
    </row>
    <row r="291" spans="2:10">
      <c r="B291" s="156">
        <v>143</v>
      </c>
      <c r="C291" s="157" t="s">
        <v>6367</v>
      </c>
      <c r="D291" s="157" t="s">
        <v>6224</v>
      </c>
      <c r="E291" s="157">
        <v>1000</v>
      </c>
      <c r="F291" s="157">
        <v>1499</v>
      </c>
      <c r="G291" s="158">
        <v>12.89</v>
      </c>
      <c r="H291" s="89">
        <f t="shared" si="68"/>
        <v>14.82</v>
      </c>
      <c r="I291" s="360">
        <f t="shared" si="69"/>
        <v>16.760000000000002</v>
      </c>
      <c r="J291" s="89">
        <f t="shared" si="67"/>
        <v>19.27</v>
      </c>
    </row>
    <row r="292" spans="2:10">
      <c r="B292" s="156">
        <v>143</v>
      </c>
      <c r="C292" s="157" t="s">
        <v>6367</v>
      </c>
      <c r="D292" s="157" t="s">
        <v>6227</v>
      </c>
      <c r="E292" s="157">
        <v>1500</v>
      </c>
      <c r="F292" s="157">
        <v>1999</v>
      </c>
      <c r="G292" s="158">
        <v>16.27</v>
      </c>
      <c r="H292" s="89">
        <f t="shared" si="68"/>
        <v>18.71</v>
      </c>
      <c r="I292" s="360">
        <f t="shared" si="69"/>
        <v>21.15</v>
      </c>
      <c r="J292" s="89">
        <f t="shared" si="67"/>
        <v>24.32</v>
      </c>
    </row>
    <row r="293" spans="2:10">
      <c r="B293" s="156">
        <v>143</v>
      </c>
      <c r="C293" s="157" t="s">
        <v>6367</v>
      </c>
      <c r="D293" s="157" t="s">
        <v>6229</v>
      </c>
      <c r="E293" s="157">
        <v>2000</v>
      </c>
      <c r="F293" s="157">
        <v>2499</v>
      </c>
      <c r="G293" s="158">
        <v>19.649999999999999</v>
      </c>
      <c r="H293" s="89">
        <f t="shared" si="68"/>
        <v>22.6</v>
      </c>
      <c r="I293" s="360">
        <f t="shared" si="69"/>
        <v>25.55</v>
      </c>
      <c r="J293" s="89">
        <f t="shared" si="67"/>
        <v>29.38</v>
      </c>
    </row>
    <row r="294" spans="2:10">
      <c r="B294" s="156">
        <v>143</v>
      </c>
      <c r="C294" s="157" t="s">
        <v>6367</v>
      </c>
      <c r="D294" s="157" t="s">
        <v>6231</v>
      </c>
      <c r="E294" s="157">
        <v>2500</v>
      </c>
      <c r="F294" s="157">
        <v>2999</v>
      </c>
      <c r="G294" s="158">
        <v>23.03</v>
      </c>
      <c r="H294" s="89">
        <f t="shared" si="68"/>
        <v>26.48</v>
      </c>
      <c r="I294" s="360">
        <f t="shared" si="69"/>
        <v>29.94</v>
      </c>
      <c r="J294" s="89">
        <f t="shared" si="67"/>
        <v>34.43</v>
      </c>
    </row>
    <row r="295" spans="2:10">
      <c r="B295" s="156">
        <v>143</v>
      </c>
      <c r="C295" s="157" t="s">
        <v>6367</v>
      </c>
      <c r="D295" s="157" t="s">
        <v>6234</v>
      </c>
      <c r="E295" s="157">
        <v>3000</v>
      </c>
      <c r="F295" s="157">
        <v>3499</v>
      </c>
      <c r="G295" s="158">
        <v>26.41</v>
      </c>
      <c r="H295" s="89">
        <f t="shared" si="68"/>
        <v>30.37</v>
      </c>
      <c r="I295" s="360">
        <f t="shared" si="69"/>
        <v>34.33</v>
      </c>
      <c r="J295" s="89">
        <f t="shared" si="67"/>
        <v>39.479999999999997</v>
      </c>
    </row>
    <row r="296" spans="2:10">
      <c r="B296" s="156">
        <v>143</v>
      </c>
      <c r="C296" s="157" t="s">
        <v>6367</v>
      </c>
      <c r="D296" s="157" t="s">
        <v>6236</v>
      </c>
      <c r="E296" s="157">
        <v>3500</v>
      </c>
      <c r="F296" s="157">
        <v>3999</v>
      </c>
      <c r="G296" s="158">
        <v>29.79</v>
      </c>
      <c r="H296" s="89">
        <f t="shared" si="68"/>
        <v>34.26</v>
      </c>
      <c r="I296" s="360">
        <f t="shared" si="69"/>
        <v>38.729999999999997</v>
      </c>
      <c r="J296" s="89">
        <f t="shared" si="67"/>
        <v>44.54</v>
      </c>
    </row>
    <row r="297" spans="2:10">
      <c r="B297" s="156">
        <v>143</v>
      </c>
      <c r="C297" s="157" t="s">
        <v>6367</v>
      </c>
      <c r="D297" s="157" t="s">
        <v>6238</v>
      </c>
      <c r="E297" s="157">
        <v>4000</v>
      </c>
      <c r="F297" s="157">
        <v>4499</v>
      </c>
      <c r="G297" s="158">
        <v>33.17</v>
      </c>
      <c r="H297" s="89">
        <f t="shared" si="68"/>
        <v>38.15</v>
      </c>
      <c r="I297" s="360">
        <f t="shared" si="69"/>
        <v>43.12</v>
      </c>
      <c r="J297" s="89">
        <f t="shared" si="67"/>
        <v>49.59</v>
      </c>
    </row>
    <row r="298" spans="2:10">
      <c r="B298" s="156">
        <v>143</v>
      </c>
      <c r="C298" s="157" t="s">
        <v>6367</v>
      </c>
      <c r="D298" s="157" t="s">
        <v>6240</v>
      </c>
      <c r="E298" s="157">
        <v>4500</v>
      </c>
      <c r="F298" s="157">
        <v>4999</v>
      </c>
      <c r="G298" s="158">
        <v>36.549999999999997</v>
      </c>
      <c r="H298" s="89">
        <f t="shared" si="68"/>
        <v>42.03</v>
      </c>
      <c r="I298" s="360">
        <f t="shared" si="69"/>
        <v>47.52</v>
      </c>
      <c r="J298" s="89">
        <f t="shared" si="67"/>
        <v>54.65</v>
      </c>
    </row>
    <row r="299" spans="2:10">
      <c r="B299" s="156">
        <v>143</v>
      </c>
      <c r="C299" s="157" t="s">
        <v>6367</v>
      </c>
      <c r="D299" s="157" t="s">
        <v>6241</v>
      </c>
      <c r="E299" s="157">
        <v>5000</v>
      </c>
      <c r="F299" s="157">
        <v>5499</v>
      </c>
      <c r="G299" s="158">
        <v>39.93</v>
      </c>
      <c r="H299" s="89">
        <f t="shared" si="68"/>
        <v>45.92</v>
      </c>
      <c r="I299" s="360">
        <f t="shared" si="69"/>
        <v>51.91</v>
      </c>
      <c r="J299" s="89">
        <f t="shared" si="67"/>
        <v>59.7</v>
      </c>
    </row>
    <row r="300" spans="2:10">
      <c r="B300" s="156">
        <v>143</v>
      </c>
      <c r="C300" s="157" t="s">
        <v>6367</v>
      </c>
      <c r="D300" s="157" t="s">
        <v>6242</v>
      </c>
      <c r="E300" s="157">
        <v>5500</v>
      </c>
      <c r="F300" s="157">
        <v>5999</v>
      </c>
      <c r="G300" s="158">
        <v>43.31</v>
      </c>
      <c r="H300" s="89">
        <f t="shared" si="68"/>
        <v>49.81</v>
      </c>
      <c r="I300" s="360">
        <f t="shared" si="69"/>
        <v>56.3</v>
      </c>
      <c r="J300" s="89">
        <f t="shared" si="67"/>
        <v>64.75</v>
      </c>
    </row>
    <row r="301" spans="2:10">
      <c r="B301" s="156">
        <v>143</v>
      </c>
      <c r="C301" s="157" t="s">
        <v>6367</v>
      </c>
      <c r="D301" s="157" t="s">
        <v>6246</v>
      </c>
      <c r="E301" s="157">
        <v>6000</v>
      </c>
      <c r="F301" s="157">
        <v>6499</v>
      </c>
      <c r="G301" s="158">
        <v>46.69</v>
      </c>
      <c r="H301" s="89">
        <f t="shared" si="68"/>
        <v>53.69</v>
      </c>
      <c r="I301" s="360">
        <f t="shared" si="69"/>
        <v>60.7</v>
      </c>
      <c r="J301" s="89">
        <f t="shared" si="67"/>
        <v>69.81</v>
      </c>
    </row>
    <row r="302" spans="2:10">
      <c r="B302" s="156">
        <v>143</v>
      </c>
      <c r="C302" s="157" t="s">
        <v>6367</v>
      </c>
      <c r="D302" s="157" t="s">
        <v>6247</v>
      </c>
      <c r="E302" s="157">
        <v>6500</v>
      </c>
      <c r="F302" s="157">
        <v>6999</v>
      </c>
      <c r="G302" s="158">
        <v>50.07</v>
      </c>
      <c r="H302" s="89">
        <f t="shared" si="68"/>
        <v>57.58</v>
      </c>
      <c r="I302" s="360">
        <f t="shared" si="69"/>
        <v>65.09</v>
      </c>
      <c r="J302" s="89">
        <f t="shared" si="67"/>
        <v>74.849999999999994</v>
      </c>
    </row>
    <row r="303" spans="2:10">
      <c r="B303" s="156">
        <v>143</v>
      </c>
      <c r="C303" s="157" t="s">
        <v>6367</v>
      </c>
      <c r="D303" s="157" t="s">
        <v>6248</v>
      </c>
      <c r="E303" s="157">
        <v>7000</v>
      </c>
      <c r="F303" s="157">
        <v>7499</v>
      </c>
      <c r="G303" s="158">
        <v>53.45</v>
      </c>
      <c r="H303" s="89">
        <f t="shared" si="68"/>
        <v>61.47</v>
      </c>
      <c r="I303" s="360">
        <f t="shared" si="69"/>
        <v>69.489999999999995</v>
      </c>
      <c r="J303" s="89">
        <f t="shared" si="67"/>
        <v>79.91</v>
      </c>
    </row>
    <row r="304" spans="2:10">
      <c r="B304" s="156">
        <v>143</v>
      </c>
      <c r="C304" s="157" t="s">
        <v>6367</v>
      </c>
      <c r="D304" s="157" t="s">
        <v>6250</v>
      </c>
      <c r="E304" s="157">
        <v>7500</v>
      </c>
      <c r="F304" s="157">
        <v>7999</v>
      </c>
      <c r="G304" s="158">
        <v>56.83</v>
      </c>
      <c r="H304" s="89">
        <f t="shared" si="68"/>
        <v>65.349999999999994</v>
      </c>
      <c r="I304" s="360">
        <f t="shared" si="69"/>
        <v>73.88</v>
      </c>
      <c r="J304" s="89">
        <f t="shared" si="67"/>
        <v>84.96</v>
      </c>
    </row>
    <row r="305" spans="2:10">
      <c r="B305" s="156">
        <v>143</v>
      </c>
      <c r="C305" s="157" t="s">
        <v>6367</v>
      </c>
      <c r="D305" s="157" t="s">
        <v>6252</v>
      </c>
      <c r="E305" s="157">
        <v>8000</v>
      </c>
      <c r="F305" s="157">
        <v>8499</v>
      </c>
      <c r="G305" s="158">
        <v>60.21</v>
      </c>
      <c r="H305" s="89">
        <f t="shared" si="68"/>
        <v>69.239999999999995</v>
      </c>
      <c r="I305" s="360">
        <f t="shared" si="69"/>
        <v>78.27</v>
      </c>
      <c r="J305" s="89">
        <f t="shared" ref="J305:J308" si="70">ROUND(I305*1.15,2)</f>
        <v>90.01</v>
      </c>
    </row>
    <row r="306" spans="2:10">
      <c r="B306" s="156">
        <v>143</v>
      </c>
      <c r="C306" s="157" t="s">
        <v>6367</v>
      </c>
      <c r="D306" s="157" t="s">
        <v>6255</v>
      </c>
      <c r="E306" s="157">
        <v>8500</v>
      </c>
      <c r="F306" s="157">
        <v>8999</v>
      </c>
      <c r="G306" s="158">
        <v>63.59</v>
      </c>
      <c r="H306" s="89">
        <f t="shared" ref="H306:H308" si="71">ROUND(G306*1.15,2)</f>
        <v>73.13</v>
      </c>
      <c r="I306" s="360">
        <f t="shared" si="69"/>
        <v>82.67</v>
      </c>
      <c r="J306" s="89">
        <f t="shared" si="70"/>
        <v>95.07</v>
      </c>
    </row>
    <row r="307" spans="2:10">
      <c r="B307" s="156">
        <v>143</v>
      </c>
      <c r="C307" s="157" t="s">
        <v>6367</v>
      </c>
      <c r="D307" s="157" t="s">
        <v>6256</v>
      </c>
      <c r="E307" s="157">
        <v>9000</v>
      </c>
      <c r="F307" s="157">
        <v>9499</v>
      </c>
      <c r="G307" s="158">
        <v>66.97</v>
      </c>
      <c r="H307" s="89">
        <f t="shared" si="71"/>
        <v>77.02</v>
      </c>
      <c r="I307" s="360">
        <f t="shared" si="69"/>
        <v>87.06</v>
      </c>
      <c r="J307" s="89">
        <f t="shared" si="70"/>
        <v>100.12</v>
      </c>
    </row>
    <row r="308" spans="2:10">
      <c r="B308" s="159">
        <v>143</v>
      </c>
      <c r="C308" s="160" t="s">
        <v>6367</v>
      </c>
      <c r="D308" s="160" t="s">
        <v>6257</v>
      </c>
      <c r="E308" s="160">
        <v>9500</v>
      </c>
      <c r="F308" s="160">
        <v>10000</v>
      </c>
      <c r="G308" s="161">
        <v>70.349999999999994</v>
      </c>
      <c r="H308" s="89">
        <f t="shared" si="71"/>
        <v>80.900000000000006</v>
      </c>
      <c r="I308" s="360">
        <f t="shared" si="69"/>
        <v>91.46</v>
      </c>
      <c r="J308" s="89">
        <f t="shared" si="70"/>
        <v>105.18</v>
      </c>
    </row>
    <row r="311" spans="2:10">
      <c r="B311" s="369"/>
      <c r="C311" s="369"/>
      <c r="D311" s="369"/>
      <c r="E311" s="369"/>
      <c r="F311" s="369"/>
      <c r="G311" s="369"/>
      <c r="H311" s="369"/>
      <c r="I311" s="370"/>
      <c r="J311" s="370"/>
    </row>
    <row r="312" spans="2:10">
      <c r="B312" s="371"/>
      <c r="C312" s="371"/>
      <c r="D312" s="371"/>
      <c r="E312" s="371"/>
      <c r="F312" s="371"/>
      <c r="G312" s="372"/>
      <c r="H312" s="372"/>
      <c r="I312" s="373"/>
      <c r="J312" s="300"/>
    </row>
    <row r="313" spans="2:10">
      <c r="B313" s="371"/>
      <c r="C313" s="371"/>
      <c r="D313" s="371"/>
      <c r="E313" s="371"/>
      <c r="F313" s="371"/>
      <c r="G313" s="372"/>
      <c r="H313" s="372"/>
      <c r="I313" s="373"/>
      <c r="J313" s="300"/>
    </row>
    <row r="314" spans="2:10">
      <c r="B314" s="371"/>
      <c r="C314" s="371"/>
      <c r="D314" s="371"/>
      <c r="E314" s="371"/>
      <c r="F314" s="371"/>
      <c r="G314" s="372"/>
      <c r="H314" s="372"/>
      <c r="I314" s="373"/>
      <c r="J314" s="300"/>
    </row>
    <row r="315" spans="2:10">
      <c r="B315" s="371"/>
      <c r="C315" s="371"/>
      <c r="D315" s="371"/>
      <c r="E315" s="371"/>
      <c r="F315" s="371"/>
      <c r="G315" s="372"/>
      <c r="H315" s="372"/>
      <c r="I315" s="373"/>
      <c r="J315" s="300"/>
    </row>
    <row r="316" spans="2:10">
      <c r="B316" s="371"/>
      <c r="C316" s="371"/>
      <c r="D316" s="371"/>
      <c r="E316" s="371"/>
      <c r="F316" s="371"/>
      <c r="G316" s="372"/>
      <c r="H316" s="372"/>
      <c r="I316" s="373"/>
      <c r="J316" s="300"/>
    </row>
    <row r="317" spans="2:10">
      <c r="B317" s="371"/>
      <c r="C317" s="371"/>
      <c r="D317" s="371"/>
      <c r="E317" s="371"/>
      <c r="F317" s="371"/>
      <c r="G317" s="372"/>
      <c r="H317" s="372"/>
      <c r="I317" s="373"/>
      <c r="J317" s="300"/>
    </row>
    <row r="318" spans="2:10">
      <c r="B318" s="371"/>
      <c r="C318" s="371"/>
      <c r="D318" s="371"/>
      <c r="E318" s="371"/>
      <c r="F318" s="371"/>
      <c r="G318" s="372"/>
      <c r="H318" s="372"/>
      <c r="I318" s="373"/>
      <c r="J318" s="300"/>
    </row>
    <row r="319" spans="2:10">
      <c r="B319" s="371"/>
      <c r="C319" s="371"/>
      <c r="D319" s="371"/>
      <c r="E319" s="371"/>
      <c r="F319" s="371"/>
      <c r="G319" s="372"/>
      <c r="H319" s="372"/>
      <c r="I319" s="373"/>
      <c r="J319" s="300"/>
    </row>
    <row r="320" spans="2:10">
      <c r="B320" s="371"/>
      <c r="C320" s="371"/>
      <c r="D320" s="371"/>
      <c r="E320" s="371"/>
      <c r="F320" s="371"/>
      <c r="G320" s="372"/>
      <c r="H320" s="372"/>
      <c r="I320" s="373"/>
      <c r="J320" s="300"/>
    </row>
    <row r="321" spans="2:10">
      <c r="B321" s="371"/>
      <c r="C321" s="371"/>
      <c r="D321" s="371"/>
      <c r="E321" s="371"/>
      <c r="F321" s="371"/>
      <c r="G321" s="372"/>
      <c r="H321" s="372"/>
      <c r="I321" s="373"/>
      <c r="J321" s="300"/>
    </row>
    <row r="322" spans="2:10">
      <c r="B322" s="371"/>
      <c r="C322" s="371"/>
      <c r="D322" s="371"/>
      <c r="E322" s="371"/>
      <c r="F322" s="371"/>
      <c r="G322" s="372"/>
      <c r="H322" s="372"/>
      <c r="I322" s="373"/>
      <c r="J322" s="300"/>
    </row>
    <row r="323" spans="2:10">
      <c r="B323" s="371"/>
      <c r="C323" s="371"/>
      <c r="D323" s="371"/>
      <c r="E323" s="371"/>
      <c r="F323" s="371"/>
      <c r="G323" s="372"/>
      <c r="H323" s="372"/>
      <c r="I323" s="373"/>
      <c r="J323" s="300"/>
    </row>
    <row r="324" spans="2:10">
      <c r="B324" s="371"/>
      <c r="C324" s="371"/>
      <c r="D324" s="371"/>
      <c r="E324" s="371"/>
      <c r="F324" s="371"/>
      <c r="G324" s="372"/>
      <c r="H324" s="372"/>
      <c r="I324" s="373"/>
      <c r="J324" s="300"/>
    </row>
    <row r="325" spans="2:10">
      <c r="B325" s="371"/>
      <c r="C325" s="371"/>
      <c r="D325" s="371"/>
      <c r="E325" s="371"/>
      <c r="F325" s="371"/>
      <c r="G325" s="372"/>
      <c r="H325" s="372"/>
      <c r="I325" s="373"/>
      <c r="J325" s="300"/>
    </row>
    <row r="326" spans="2:10">
      <c r="B326" s="371"/>
      <c r="C326" s="371"/>
      <c r="D326" s="371"/>
      <c r="E326" s="371"/>
      <c r="F326" s="371"/>
      <c r="G326" s="372"/>
      <c r="H326" s="372"/>
      <c r="I326" s="373"/>
      <c r="J326" s="300"/>
    </row>
    <row r="327" spans="2:10">
      <c r="B327" s="371"/>
      <c r="C327" s="371"/>
      <c r="D327" s="371"/>
      <c r="E327" s="371"/>
      <c r="F327" s="371"/>
      <c r="G327" s="372"/>
      <c r="H327" s="372"/>
      <c r="I327" s="373"/>
      <c r="J327" s="300"/>
    </row>
    <row r="328" spans="2:10">
      <c r="B328" s="371"/>
      <c r="C328" s="371"/>
      <c r="D328" s="371"/>
      <c r="E328" s="371"/>
      <c r="F328" s="371"/>
      <c r="G328" s="372"/>
      <c r="H328" s="372"/>
      <c r="I328" s="373"/>
      <c r="J328" s="300"/>
    </row>
    <row r="329" spans="2:10">
      <c r="B329" s="371"/>
      <c r="C329" s="371"/>
      <c r="D329" s="371"/>
      <c r="E329" s="371"/>
      <c r="F329" s="371"/>
      <c r="G329" s="372"/>
      <c r="H329" s="372"/>
      <c r="I329" s="373"/>
      <c r="J329" s="300"/>
    </row>
    <row r="330" spans="2:10">
      <c r="B330" s="371"/>
      <c r="C330" s="371"/>
      <c r="D330" s="371"/>
      <c r="E330" s="371"/>
      <c r="F330" s="371"/>
      <c r="G330" s="372"/>
      <c r="H330" s="372"/>
      <c r="I330" s="373"/>
      <c r="J330" s="300"/>
    </row>
    <row r="331" spans="2:10">
      <c r="B331" s="371"/>
      <c r="C331" s="371"/>
      <c r="D331" s="371"/>
      <c r="E331" s="371"/>
      <c r="F331" s="371"/>
      <c r="G331" s="372"/>
      <c r="H331" s="372"/>
      <c r="I331" s="373"/>
      <c r="J331" s="300"/>
    </row>
    <row r="332" spans="2:10">
      <c r="B332" s="371"/>
      <c r="C332" s="371"/>
      <c r="D332" s="371"/>
      <c r="E332" s="371"/>
      <c r="F332" s="371"/>
      <c r="G332" s="372"/>
      <c r="H332" s="372"/>
      <c r="I332" s="373"/>
      <c r="J332" s="300"/>
    </row>
    <row r="333" spans="2:10">
      <c r="B333" s="371"/>
      <c r="C333" s="371"/>
      <c r="D333" s="371"/>
      <c r="E333" s="371"/>
      <c r="F333" s="371"/>
      <c r="G333" s="372"/>
      <c r="H333" s="372"/>
      <c r="I333" s="373"/>
      <c r="J333" s="300"/>
    </row>
    <row r="334" spans="2:10">
      <c r="B334" s="371"/>
      <c r="C334" s="371"/>
      <c r="D334" s="371"/>
      <c r="E334" s="371"/>
      <c r="F334" s="371"/>
      <c r="G334" s="372"/>
      <c r="H334" s="372"/>
      <c r="I334" s="373"/>
      <c r="J334" s="300"/>
    </row>
    <row r="335" spans="2:10">
      <c r="B335" s="371"/>
      <c r="C335" s="371"/>
      <c r="D335" s="371"/>
      <c r="E335" s="371"/>
      <c r="F335" s="371"/>
      <c r="G335" s="372"/>
      <c r="H335" s="372"/>
      <c r="I335" s="373"/>
      <c r="J335" s="300"/>
    </row>
    <row r="336" spans="2:10">
      <c r="B336" s="371"/>
      <c r="C336" s="371"/>
      <c r="D336" s="371"/>
      <c r="E336" s="371"/>
      <c r="F336" s="371"/>
      <c r="G336" s="372"/>
      <c r="H336" s="372"/>
      <c r="I336" s="373"/>
      <c r="J336" s="300"/>
    </row>
    <row r="337" spans="2:10">
      <c r="B337" s="371"/>
      <c r="C337" s="371"/>
      <c r="D337" s="371"/>
      <c r="E337" s="371"/>
      <c r="F337" s="371"/>
      <c r="G337" s="372"/>
      <c r="H337" s="372"/>
      <c r="I337" s="373"/>
      <c r="J337" s="300"/>
    </row>
    <row r="338" spans="2:10">
      <c r="B338" s="371"/>
      <c r="C338" s="371"/>
      <c r="D338" s="371"/>
      <c r="E338" s="371"/>
      <c r="F338" s="371"/>
      <c r="G338" s="372"/>
      <c r="H338" s="372"/>
      <c r="I338" s="373"/>
      <c r="J338" s="300"/>
    </row>
    <row r="339" spans="2:10">
      <c r="B339" s="371"/>
      <c r="C339" s="371"/>
      <c r="D339" s="371"/>
      <c r="E339" s="371"/>
      <c r="F339" s="371"/>
      <c r="G339" s="372"/>
      <c r="H339" s="372"/>
      <c r="I339" s="373"/>
      <c r="J339" s="300"/>
    </row>
    <row r="340" spans="2:10">
      <c r="B340" s="371"/>
      <c r="C340" s="371"/>
      <c r="D340" s="371"/>
      <c r="E340" s="371"/>
      <c r="F340" s="371"/>
      <c r="G340" s="372"/>
      <c r="H340" s="372"/>
      <c r="I340" s="373"/>
      <c r="J340" s="300"/>
    </row>
    <row r="341" spans="2:10">
      <c r="B341" s="371"/>
      <c r="C341" s="371"/>
      <c r="D341" s="371"/>
      <c r="E341" s="371"/>
      <c r="F341" s="371"/>
      <c r="G341" s="372"/>
      <c r="H341" s="372"/>
      <c r="I341" s="373"/>
      <c r="J341" s="300"/>
    </row>
    <row r="342" spans="2:10">
      <c r="B342" s="371"/>
      <c r="C342" s="371"/>
      <c r="D342" s="371"/>
      <c r="E342" s="371"/>
      <c r="F342" s="371"/>
      <c r="G342" s="372"/>
      <c r="H342" s="372"/>
      <c r="I342" s="373"/>
      <c r="J342" s="300"/>
    </row>
    <row r="343" spans="2:10">
      <c r="B343" s="371"/>
      <c r="C343" s="371"/>
      <c r="D343" s="371"/>
      <c r="E343" s="371"/>
      <c r="F343" s="371"/>
      <c r="G343" s="372"/>
      <c r="H343" s="372"/>
      <c r="I343" s="373"/>
      <c r="J343" s="300"/>
    </row>
    <row r="344" spans="2:10">
      <c r="B344" s="371"/>
      <c r="C344" s="371"/>
      <c r="D344" s="371"/>
      <c r="E344" s="371"/>
      <c r="F344" s="371"/>
      <c r="G344" s="372"/>
      <c r="H344" s="372"/>
      <c r="I344" s="373"/>
      <c r="J344" s="300"/>
    </row>
    <row r="345" spans="2:10">
      <c r="B345" s="371"/>
      <c r="C345" s="371"/>
      <c r="D345" s="371"/>
      <c r="E345" s="371"/>
      <c r="F345" s="371"/>
      <c r="G345" s="372"/>
      <c r="H345" s="372"/>
      <c r="I345" s="373"/>
      <c r="J345" s="300"/>
    </row>
    <row r="346" spans="2:10">
      <c r="B346" s="371"/>
      <c r="C346" s="371"/>
      <c r="D346" s="371"/>
      <c r="E346" s="371"/>
      <c r="F346" s="371"/>
      <c r="G346" s="372"/>
      <c r="H346" s="372"/>
      <c r="I346" s="373"/>
      <c r="J346" s="300"/>
    </row>
    <row r="347" spans="2:10">
      <c r="B347" s="371"/>
      <c r="C347" s="371"/>
      <c r="D347" s="371"/>
      <c r="E347" s="371"/>
      <c r="F347" s="371"/>
      <c r="G347" s="372"/>
      <c r="H347" s="372"/>
      <c r="I347" s="373"/>
      <c r="J347" s="300"/>
    </row>
    <row r="348" spans="2:10">
      <c r="B348" s="371"/>
      <c r="C348" s="371"/>
      <c r="D348" s="371"/>
      <c r="E348" s="371"/>
      <c r="F348" s="371"/>
      <c r="G348" s="372"/>
      <c r="H348" s="372"/>
      <c r="I348" s="373"/>
      <c r="J348" s="300"/>
    </row>
    <row r="349" spans="2:10">
      <c r="B349" s="371"/>
      <c r="C349" s="371"/>
      <c r="D349" s="371"/>
      <c r="E349" s="371"/>
      <c r="F349" s="371"/>
      <c r="G349" s="372"/>
      <c r="H349" s="372"/>
      <c r="I349" s="373"/>
      <c r="J349" s="300"/>
    </row>
    <row r="350" spans="2:10">
      <c r="B350" s="371"/>
      <c r="C350" s="371"/>
      <c r="D350" s="371"/>
      <c r="E350" s="371"/>
      <c r="F350" s="371"/>
      <c r="G350" s="372"/>
      <c r="H350" s="372"/>
      <c r="I350" s="373"/>
      <c r="J350" s="300"/>
    </row>
    <row r="351" spans="2:10">
      <c r="B351" s="371"/>
      <c r="C351" s="371"/>
      <c r="D351" s="371"/>
      <c r="E351" s="371"/>
      <c r="F351" s="371"/>
      <c r="G351" s="372"/>
      <c r="H351" s="372"/>
      <c r="I351" s="373"/>
      <c r="J351" s="300"/>
    </row>
    <row r="352" spans="2:10">
      <c r="B352" s="371"/>
      <c r="C352" s="371"/>
      <c r="D352" s="371"/>
      <c r="E352" s="371"/>
      <c r="F352" s="371"/>
      <c r="G352" s="372"/>
      <c r="H352" s="372"/>
      <c r="I352" s="373"/>
      <c r="J352" s="300"/>
    </row>
    <row r="353" spans="2:10">
      <c r="B353" s="371"/>
      <c r="C353" s="371"/>
      <c r="D353" s="371"/>
      <c r="E353" s="371"/>
      <c r="F353" s="371"/>
      <c r="G353" s="372"/>
      <c r="H353" s="372"/>
      <c r="I353" s="373"/>
      <c r="J353" s="300"/>
    </row>
    <row r="354" spans="2:10">
      <c r="B354" s="371"/>
      <c r="C354" s="371"/>
      <c r="D354" s="371"/>
      <c r="E354" s="371"/>
      <c r="F354" s="371"/>
      <c r="G354" s="372"/>
      <c r="H354" s="372"/>
      <c r="I354" s="373"/>
      <c r="J354" s="300"/>
    </row>
    <row r="355" spans="2:10">
      <c r="B355" s="371"/>
      <c r="C355" s="371"/>
      <c r="D355" s="371"/>
      <c r="E355" s="371"/>
      <c r="F355" s="371"/>
      <c r="G355" s="372"/>
      <c r="H355" s="372"/>
      <c r="I355" s="373"/>
      <c r="J355" s="300"/>
    </row>
    <row r="356" spans="2:10">
      <c r="B356" s="371"/>
      <c r="C356" s="371"/>
      <c r="D356" s="371"/>
      <c r="E356" s="371"/>
      <c r="F356" s="371"/>
      <c r="G356" s="372"/>
      <c r="H356" s="372"/>
      <c r="I356" s="373"/>
      <c r="J356" s="300"/>
    </row>
    <row r="357" spans="2:10">
      <c r="B357" s="371"/>
      <c r="C357" s="371"/>
      <c r="D357" s="371"/>
      <c r="E357" s="371"/>
      <c r="F357" s="371"/>
      <c r="G357" s="372"/>
      <c r="H357" s="372"/>
      <c r="I357" s="373"/>
      <c r="J357" s="300"/>
    </row>
    <row r="358" spans="2:10">
      <c r="B358" s="371"/>
      <c r="C358" s="371"/>
      <c r="D358" s="371"/>
      <c r="E358" s="371"/>
      <c r="F358" s="371"/>
      <c r="G358" s="372"/>
      <c r="H358" s="372"/>
      <c r="I358" s="373"/>
      <c r="J358" s="300"/>
    </row>
    <row r="359" spans="2:10">
      <c r="B359" s="371"/>
      <c r="C359" s="371"/>
      <c r="D359" s="371"/>
      <c r="E359" s="371"/>
      <c r="F359" s="371"/>
      <c r="G359" s="372"/>
      <c r="H359" s="372"/>
      <c r="I359" s="373"/>
      <c r="J359" s="300"/>
    </row>
    <row r="360" spans="2:10">
      <c r="B360" s="371"/>
      <c r="C360" s="371"/>
      <c r="D360" s="371"/>
      <c r="E360" s="371"/>
      <c r="F360" s="371"/>
      <c r="G360" s="372"/>
      <c r="H360" s="372"/>
      <c r="I360" s="373"/>
      <c r="J360" s="300"/>
    </row>
    <row r="361" spans="2:10">
      <c r="B361" s="371"/>
      <c r="C361" s="371"/>
      <c r="D361" s="371"/>
      <c r="E361" s="371"/>
      <c r="F361" s="371"/>
      <c r="G361" s="372"/>
      <c r="H361" s="372"/>
      <c r="I361" s="373"/>
      <c r="J361" s="300"/>
    </row>
    <row r="362" spans="2:10">
      <c r="B362" s="371"/>
      <c r="C362" s="371"/>
      <c r="D362" s="371"/>
      <c r="E362" s="371"/>
      <c r="F362" s="371"/>
      <c r="G362" s="372"/>
      <c r="H362" s="372"/>
      <c r="I362" s="373"/>
      <c r="J362" s="300"/>
    </row>
    <row r="363" spans="2:10">
      <c r="B363" s="371"/>
      <c r="C363" s="371"/>
      <c r="D363" s="371"/>
      <c r="E363" s="371"/>
      <c r="F363" s="371"/>
      <c r="G363" s="372"/>
      <c r="H363" s="372"/>
      <c r="I363" s="373"/>
      <c r="J363" s="300"/>
    </row>
    <row r="364" spans="2:10">
      <c r="B364" s="371"/>
      <c r="C364" s="371"/>
      <c r="D364" s="371"/>
      <c r="E364" s="371"/>
      <c r="F364" s="371"/>
      <c r="G364" s="372"/>
      <c r="H364" s="372"/>
      <c r="I364" s="373"/>
      <c r="J364" s="300"/>
    </row>
    <row r="365" spans="2:10">
      <c r="B365" s="371"/>
      <c r="C365" s="371"/>
      <c r="D365" s="371"/>
      <c r="E365" s="371"/>
      <c r="F365" s="371"/>
      <c r="G365" s="372"/>
      <c r="H365" s="372"/>
      <c r="I365" s="373"/>
      <c r="J365" s="300"/>
    </row>
    <row r="366" spans="2:10">
      <c r="B366" s="371"/>
      <c r="C366" s="371"/>
      <c r="D366" s="371"/>
      <c r="E366" s="371"/>
      <c r="F366" s="371"/>
      <c r="G366" s="372"/>
      <c r="H366" s="372"/>
      <c r="I366" s="373"/>
      <c r="J366" s="300"/>
    </row>
    <row r="367" spans="2:10">
      <c r="B367" s="371"/>
      <c r="C367" s="371"/>
      <c r="D367" s="371"/>
      <c r="E367" s="371"/>
      <c r="F367" s="371"/>
      <c r="G367" s="372"/>
      <c r="H367" s="372"/>
      <c r="I367" s="373"/>
      <c r="J367" s="300"/>
    </row>
    <row r="368" spans="2:10">
      <c r="B368" s="371"/>
      <c r="C368" s="371"/>
      <c r="D368" s="371"/>
      <c r="E368" s="371"/>
      <c r="F368" s="371"/>
      <c r="G368" s="372"/>
      <c r="H368" s="372"/>
      <c r="I368" s="373"/>
      <c r="J368" s="300"/>
    </row>
    <row r="369" spans="2:10">
      <c r="B369" s="371"/>
      <c r="C369" s="371"/>
      <c r="D369" s="371"/>
      <c r="E369" s="371"/>
      <c r="F369" s="371"/>
      <c r="G369" s="372"/>
      <c r="H369" s="372"/>
      <c r="I369" s="373"/>
      <c r="J369" s="300"/>
    </row>
    <row r="370" spans="2:10">
      <c r="B370" s="371"/>
      <c r="C370" s="371"/>
      <c r="D370" s="371"/>
      <c r="E370" s="371"/>
      <c r="F370" s="371"/>
      <c r="G370" s="372"/>
      <c r="H370" s="372"/>
      <c r="I370" s="373"/>
      <c r="J370" s="300"/>
    </row>
    <row r="371" spans="2:10">
      <c r="B371" s="371"/>
      <c r="C371" s="371"/>
      <c r="D371" s="371"/>
      <c r="E371" s="371"/>
      <c r="F371" s="371"/>
      <c r="G371" s="372"/>
      <c r="H371" s="372"/>
      <c r="I371" s="373"/>
      <c r="J371" s="300"/>
    </row>
    <row r="372" spans="2:10">
      <c r="B372" s="371"/>
      <c r="C372" s="371"/>
      <c r="D372" s="371"/>
      <c r="E372" s="371"/>
      <c r="F372" s="371"/>
      <c r="G372" s="372"/>
      <c r="H372" s="372"/>
      <c r="I372" s="373"/>
      <c r="J372" s="300"/>
    </row>
    <row r="373" spans="2:10">
      <c r="B373" s="371"/>
      <c r="C373" s="371"/>
      <c r="D373" s="371"/>
      <c r="E373" s="371"/>
      <c r="F373" s="371"/>
      <c r="G373" s="372"/>
      <c r="H373" s="372"/>
      <c r="I373" s="373"/>
      <c r="J373" s="300"/>
    </row>
    <row r="374" spans="2:10">
      <c r="B374" s="371"/>
      <c r="C374" s="371"/>
      <c r="D374" s="371"/>
      <c r="E374" s="371"/>
      <c r="F374" s="371"/>
      <c r="G374" s="372"/>
      <c r="H374" s="372"/>
      <c r="I374" s="373"/>
      <c r="J374" s="300"/>
    </row>
    <row r="375" spans="2:10">
      <c r="B375" s="371"/>
      <c r="C375" s="371"/>
      <c r="D375" s="371"/>
      <c r="E375" s="371"/>
      <c r="F375" s="371"/>
      <c r="G375" s="372"/>
      <c r="H375" s="372"/>
      <c r="I375" s="373"/>
      <c r="J375" s="300"/>
    </row>
    <row r="376" spans="2:10">
      <c r="B376" s="371"/>
      <c r="C376" s="371"/>
      <c r="D376" s="371"/>
      <c r="E376" s="371"/>
      <c r="F376" s="371"/>
      <c r="G376" s="372"/>
      <c r="H376" s="372"/>
      <c r="I376" s="373"/>
      <c r="J376" s="300"/>
    </row>
    <row r="377" spans="2:10">
      <c r="B377" s="371"/>
      <c r="C377" s="371"/>
      <c r="D377" s="371"/>
      <c r="E377" s="371"/>
      <c r="F377" s="371"/>
      <c r="G377" s="372"/>
      <c r="H377" s="372"/>
      <c r="I377" s="373"/>
      <c r="J377" s="300"/>
    </row>
    <row r="378" spans="2:10">
      <c r="B378" s="371"/>
      <c r="C378" s="371"/>
      <c r="D378" s="371"/>
      <c r="E378" s="371"/>
      <c r="F378" s="371"/>
      <c r="G378" s="372"/>
      <c r="H378" s="372"/>
      <c r="I378" s="373"/>
      <c r="J378" s="300"/>
    </row>
    <row r="379" spans="2:10">
      <c r="B379" s="371"/>
      <c r="C379" s="371"/>
      <c r="D379" s="371"/>
      <c r="E379" s="371"/>
      <c r="F379" s="371"/>
      <c r="G379" s="372"/>
      <c r="H379" s="372"/>
      <c r="I379" s="373"/>
      <c r="J379" s="300"/>
    </row>
    <row r="380" spans="2:10">
      <c r="B380" s="371"/>
      <c r="C380" s="371"/>
      <c r="D380" s="371"/>
      <c r="E380" s="371"/>
      <c r="F380" s="371"/>
      <c r="G380" s="372"/>
      <c r="H380" s="372"/>
      <c r="I380" s="373"/>
      <c r="J380" s="300"/>
    </row>
    <row r="381" spans="2:10">
      <c r="B381" s="371"/>
      <c r="C381" s="371"/>
      <c r="D381" s="371"/>
      <c r="E381" s="371"/>
      <c r="F381" s="371"/>
      <c r="G381" s="372"/>
      <c r="H381" s="372"/>
      <c r="I381" s="373"/>
      <c r="J381" s="300"/>
    </row>
    <row r="382" spans="2:10">
      <c r="B382" s="371"/>
      <c r="C382" s="371"/>
      <c r="D382" s="371"/>
      <c r="E382" s="371"/>
      <c r="F382" s="371"/>
      <c r="G382" s="372"/>
      <c r="H382" s="372"/>
      <c r="I382" s="373"/>
      <c r="J382" s="300"/>
    </row>
    <row r="383" spans="2:10">
      <c r="B383" s="371"/>
      <c r="C383" s="371"/>
      <c r="D383" s="371"/>
      <c r="E383" s="371"/>
      <c r="F383" s="371"/>
      <c r="G383" s="372"/>
      <c r="H383" s="372"/>
      <c r="I383" s="373"/>
      <c r="J383" s="300"/>
    </row>
    <row r="384" spans="2:10">
      <c r="B384" s="371"/>
      <c r="C384" s="371"/>
      <c r="D384" s="371"/>
      <c r="E384" s="371"/>
      <c r="F384" s="371"/>
      <c r="G384" s="372"/>
      <c r="H384" s="372"/>
      <c r="I384" s="373"/>
      <c r="J384" s="300"/>
    </row>
    <row r="385" spans="2:10" ht="15.5">
      <c r="B385" s="374"/>
      <c r="C385" s="374"/>
      <c r="D385" s="374"/>
      <c r="E385" s="374"/>
      <c r="F385" s="374"/>
      <c r="G385" s="375"/>
      <c r="H385" s="375"/>
      <c r="I385" s="300"/>
      <c r="J385" s="300"/>
    </row>
    <row r="386" spans="2:10">
      <c r="B386" s="371"/>
      <c r="C386" s="371"/>
      <c r="D386" s="371"/>
      <c r="E386" s="371"/>
      <c r="F386" s="371"/>
      <c r="G386" s="372"/>
      <c r="H386" s="371"/>
      <c r="I386" s="373"/>
      <c r="J386" s="300"/>
    </row>
    <row r="387" spans="2:10">
      <c r="B387" s="371"/>
      <c r="C387" s="371"/>
      <c r="D387" s="371"/>
      <c r="E387" s="371"/>
      <c r="F387" s="371"/>
      <c r="G387" s="372"/>
      <c r="H387" s="371"/>
      <c r="I387" s="373"/>
      <c r="J387" s="300"/>
    </row>
    <row r="388" spans="2:10">
      <c r="B388" s="371"/>
      <c r="C388" s="371"/>
      <c r="D388" s="371"/>
      <c r="E388" s="371"/>
      <c r="F388" s="371"/>
      <c r="G388" s="372"/>
      <c r="H388" s="371"/>
      <c r="I388" s="373"/>
      <c r="J388" s="300"/>
    </row>
    <row r="389" spans="2:10">
      <c r="B389" s="371"/>
      <c r="C389" s="371"/>
      <c r="D389" s="371"/>
      <c r="E389" s="371"/>
      <c r="F389" s="371"/>
      <c r="G389" s="372"/>
      <c r="H389" s="371"/>
      <c r="I389" s="373"/>
      <c r="J389" s="300"/>
    </row>
    <row r="390" spans="2:10">
      <c r="B390" s="371"/>
      <c r="C390" s="376"/>
      <c r="D390" s="371"/>
      <c r="E390" s="371"/>
      <c r="F390" s="371"/>
      <c r="G390" s="372"/>
      <c r="H390" s="371"/>
      <c r="I390" s="373"/>
      <c r="J390" s="300"/>
    </row>
    <row r="391" spans="2:10">
      <c r="B391" s="371"/>
      <c r="C391" s="376"/>
      <c r="D391" s="371"/>
      <c r="E391" s="371"/>
      <c r="F391" s="371"/>
      <c r="G391" s="372"/>
      <c r="H391" s="371"/>
      <c r="I391" s="373"/>
      <c r="J391" s="300"/>
    </row>
    <row r="392" spans="2:10">
      <c r="B392" s="371"/>
      <c r="C392" s="376"/>
      <c r="D392" s="371"/>
      <c r="E392" s="371"/>
      <c r="F392" s="371"/>
      <c r="G392" s="372"/>
      <c r="H392" s="371"/>
      <c r="I392" s="373"/>
      <c r="J392" s="300"/>
    </row>
    <row r="393" spans="2:10">
      <c r="B393" s="371"/>
      <c r="C393" s="376"/>
      <c r="D393" s="371"/>
      <c r="E393" s="371"/>
      <c r="F393" s="371"/>
      <c r="G393" s="372"/>
      <c r="H393" s="371"/>
      <c r="I393" s="373"/>
      <c r="J393" s="300"/>
    </row>
    <row r="394" spans="2:10">
      <c r="B394" s="371"/>
      <c r="C394" s="376"/>
      <c r="D394" s="371"/>
      <c r="E394" s="371"/>
      <c r="F394" s="371"/>
      <c r="G394" s="372"/>
      <c r="H394" s="371"/>
      <c r="I394" s="373"/>
      <c r="J394" s="300"/>
    </row>
    <row r="395" spans="2:10">
      <c r="B395" s="371"/>
      <c r="C395" s="376"/>
      <c r="D395" s="371"/>
      <c r="E395" s="371"/>
      <c r="F395" s="371"/>
      <c r="G395" s="372"/>
      <c r="H395" s="371"/>
      <c r="I395" s="373"/>
      <c r="J395" s="300"/>
    </row>
    <row r="396" spans="2:10">
      <c r="B396" s="371"/>
      <c r="C396" s="376"/>
      <c r="D396" s="371"/>
      <c r="E396" s="371"/>
      <c r="F396" s="371"/>
      <c r="G396" s="372"/>
      <c r="H396" s="371"/>
      <c r="I396" s="373"/>
      <c r="J396" s="300"/>
    </row>
    <row r="397" spans="2:10">
      <c r="B397" s="371"/>
      <c r="C397" s="376"/>
      <c r="D397" s="371"/>
      <c r="E397" s="371"/>
      <c r="F397" s="371"/>
      <c r="G397" s="372"/>
      <c r="H397" s="371"/>
      <c r="I397" s="373"/>
      <c r="J397" s="300"/>
    </row>
    <row r="398" spans="2:10">
      <c r="B398" s="371"/>
      <c r="C398" s="376"/>
      <c r="D398" s="371"/>
      <c r="E398" s="371"/>
      <c r="F398" s="371"/>
      <c r="G398" s="372"/>
      <c r="H398" s="371"/>
      <c r="I398" s="373"/>
      <c r="J398" s="300"/>
    </row>
    <row r="399" spans="2:10">
      <c r="B399" s="371"/>
      <c r="C399" s="376"/>
      <c r="D399" s="371"/>
      <c r="E399" s="371"/>
      <c r="F399" s="371"/>
      <c r="G399" s="372"/>
      <c r="H399" s="371"/>
      <c r="I399" s="373"/>
      <c r="J399" s="300"/>
    </row>
    <row r="400" spans="2:10">
      <c r="B400" s="371"/>
      <c r="C400" s="376"/>
      <c r="D400" s="371"/>
      <c r="E400" s="371"/>
      <c r="F400" s="371"/>
      <c r="G400" s="372"/>
      <c r="H400" s="371"/>
      <c r="I400" s="373"/>
      <c r="J400" s="300"/>
    </row>
    <row r="401" spans="2:10">
      <c r="B401" s="371"/>
      <c r="C401" s="376"/>
      <c r="D401" s="371"/>
      <c r="E401" s="371"/>
      <c r="F401" s="371"/>
      <c r="G401" s="372"/>
      <c r="H401" s="371"/>
      <c r="I401" s="373"/>
      <c r="J401" s="300"/>
    </row>
    <row r="402" spans="2:10">
      <c r="B402" s="371"/>
      <c r="C402" s="376"/>
      <c r="D402" s="371"/>
      <c r="E402" s="371"/>
      <c r="F402" s="371"/>
      <c r="G402" s="372"/>
      <c r="H402" s="371"/>
      <c r="I402" s="373"/>
      <c r="J402" s="300"/>
    </row>
    <row r="403" spans="2:10">
      <c r="B403" s="371"/>
      <c r="C403" s="376"/>
      <c r="D403" s="371"/>
      <c r="E403" s="371"/>
      <c r="F403" s="371"/>
      <c r="G403" s="372"/>
      <c r="H403" s="371"/>
      <c r="I403" s="373"/>
      <c r="J403" s="300"/>
    </row>
    <row r="404" spans="2:10">
      <c r="B404" s="371"/>
      <c r="C404" s="376"/>
      <c r="D404" s="371"/>
      <c r="E404" s="371"/>
      <c r="F404" s="371"/>
      <c r="G404" s="372"/>
      <c r="H404" s="371"/>
      <c r="I404" s="373"/>
      <c r="J404" s="300"/>
    </row>
    <row r="405" spans="2:10">
      <c r="B405" s="371"/>
      <c r="C405" s="376"/>
      <c r="D405" s="371"/>
      <c r="E405" s="371"/>
      <c r="F405" s="371"/>
      <c r="G405" s="372"/>
      <c r="H405" s="371"/>
      <c r="I405" s="373"/>
      <c r="J405" s="300"/>
    </row>
  </sheetData>
  <mergeCells count="5">
    <mergeCell ref="B1:J1"/>
    <mergeCell ref="M1:V1"/>
    <mergeCell ref="Y1:AF1"/>
    <mergeCell ref="AK1:AY1"/>
    <mergeCell ref="BA1:BK1"/>
  </mergeCell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2BFBAE-CCA1-49A8-A1B4-E2F09E8F659C}">
  <sheetPr codeName="Sheet5"/>
  <dimension ref="A1:BM90"/>
  <sheetViews>
    <sheetView workbookViewId="0">
      <selection activeCell="A30" sqref="A30"/>
    </sheetView>
  </sheetViews>
  <sheetFormatPr defaultRowHeight="14.5"/>
  <cols>
    <col min="1" max="1" width="14.7265625" bestFit="1" customWidth="1"/>
    <col min="2" max="2" width="35.7265625" bestFit="1" customWidth="1"/>
    <col min="3" max="3" width="20.81640625" bestFit="1" customWidth="1"/>
    <col min="4" max="4" width="20.7265625" bestFit="1" customWidth="1"/>
    <col min="5" max="5" width="18.54296875" bestFit="1" customWidth="1"/>
    <col min="7" max="7" width="20.7265625" bestFit="1" customWidth="1"/>
    <col min="10" max="10" width="43.81640625" bestFit="1" customWidth="1"/>
  </cols>
  <sheetData>
    <row r="1" spans="1:10" ht="16">
      <c r="A1" s="432" t="s">
        <v>6564</v>
      </c>
      <c r="B1" s="432"/>
      <c r="C1" s="432"/>
      <c r="D1" s="432"/>
      <c r="E1" s="432"/>
      <c r="F1" s="432"/>
      <c r="G1" s="432"/>
    </row>
    <row r="2" spans="1:10" ht="15" customHeight="1">
      <c r="A2" s="14" t="s">
        <v>25</v>
      </c>
      <c r="B2" s="14" t="s">
        <v>248</v>
      </c>
      <c r="C2" s="14" t="s">
        <v>6181</v>
      </c>
      <c r="D2" s="14" t="s">
        <v>6182</v>
      </c>
      <c r="E2" s="14" t="s">
        <v>160</v>
      </c>
      <c r="F2" s="14" t="s">
        <v>6174</v>
      </c>
      <c r="G2" s="14" t="s">
        <v>6183</v>
      </c>
      <c r="H2" s="14" t="s">
        <v>380</v>
      </c>
      <c r="I2" s="14" t="s">
        <v>381</v>
      </c>
      <c r="J2" t="s">
        <v>6184</v>
      </c>
    </row>
    <row r="3" spans="1:10">
      <c r="A3" s="15" t="s">
        <v>21</v>
      </c>
      <c r="B3" s="15" t="s">
        <v>308</v>
      </c>
      <c r="C3" s="15" t="s">
        <v>6565</v>
      </c>
      <c r="D3" s="15">
        <v>1</v>
      </c>
      <c r="E3" s="15">
        <v>0.25</v>
      </c>
      <c r="F3" s="15">
        <v>130</v>
      </c>
      <c r="G3" t="s">
        <v>90</v>
      </c>
      <c r="H3">
        <v>4</v>
      </c>
      <c r="I3">
        <v>70</v>
      </c>
    </row>
    <row r="4" spans="1:10">
      <c r="A4" s="15" t="s">
        <v>21</v>
      </c>
      <c r="B4" s="15" t="s">
        <v>308</v>
      </c>
      <c r="C4" s="15" t="s">
        <v>6565</v>
      </c>
      <c r="D4" s="15">
        <v>1</v>
      </c>
      <c r="E4" s="15">
        <v>0.5</v>
      </c>
      <c r="F4" s="15">
        <v>132</v>
      </c>
      <c r="G4" t="s">
        <v>90</v>
      </c>
      <c r="H4">
        <v>4</v>
      </c>
      <c r="I4">
        <v>84</v>
      </c>
      <c r="J4" t="s">
        <v>6189</v>
      </c>
    </row>
    <row r="5" spans="1:10">
      <c r="A5" s="15" t="s">
        <v>21</v>
      </c>
      <c r="B5" s="15" t="s">
        <v>308</v>
      </c>
      <c r="C5" s="15" t="s">
        <v>6565</v>
      </c>
      <c r="D5" s="15">
        <v>1</v>
      </c>
      <c r="E5" s="15">
        <v>1</v>
      </c>
      <c r="F5" s="15">
        <v>134</v>
      </c>
      <c r="G5" t="s">
        <v>90</v>
      </c>
      <c r="H5">
        <v>4</v>
      </c>
      <c r="I5">
        <v>96</v>
      </c>
      <c r="J5" t="s">
        <v>6195</v>
      </c>
    </row>
    <row r="6" spans="1:10">
      <c r="A6" s="15" t="s">
        <v>21</v>
      </c>
      <c r="B6" s="15" t="s">
        <v>308</v>
      </c>
      <c r="C6" s="15" t="s">
        <v>6565</v>
      </c>
      <c r="D6" s="15">
        <v>1</v>
      </c>
      <c r="E6" s="15">
        <v>2</v>
      </c>
      <c r="F6" s="15">
        <v>152</v>
      </c>
      <c r="G6" t="s">
        <v>90</v>
      </c>
      <c r="H6">
        <v>4</v>
      </c>
      <c r="I6">
        <v>250</v>
      </c>
      <c r="J6" t="s">
        <v>6198</v>
      </c>
    </row>
    <row r="7" spans="1:10">
      <c r="A7" s="15" t="s">
        <v>21</v>
      </c>
      <c r="B7" s="15" t="s">
        <v>308</v>
      </c>
      <c r="C7" s="15" t="s">
        <v>6565</v>
      </c>
      <c r="D7" s="15">
        <v>2</v>
      </c>
      <c r="E7" s="15"/>
      <c r="F7" s="15">
        <v>136</v>
      </c>
      <c r="G7" t="s">
        <v>90</v>
      </c>
      <c r="H7">
        <v>4</v>
      </c>
      <c r="I7">
        <v>250</v>
      </c>
    </row>
    <row r="8" spans="1:10">
      <c r="A8" s="15" t="s">
        <v>21</v>
      </c>
      <c r="B8" s="15" t="s">
        <v>308</v>
      </c>
      <c r="C8" s="15" t="s">
        <v>6565</v>
      </c>
      <c r="D8" s="15">
        <v>3</v>
      </c>
      <c r="E8" s="15"/>
      <c r="F8" s="15">
        <v>176</v>
      </c>
      <c r="G8" t="s">
        <v>90</v>
      </c>
      <c r="H8">
        <v>4</v>
      </c>
      <c r="I8">
        <v>250</v>
      </c>
    </row>
    <row r="9" spans="1:10">
      <c r="A9" s="15" t="s">
        <v>21</v>
      </c>
      <c r="B9" s="15" t="s">
        <v>308</v>
      </c>
      <c r="C9" s="15" t="s">
        <v>6565</v>
      </c>
      <c r="D9" s="15">
        <v>3</v>
      </c>
      <c r="E9" s="15"/>
      <c r="F9" s="15">
        <v>140</v>
      </c>
      <c r="G9" t="s">
        <v>90</v>
      </c>
      <c r="H9">
        <v>5</v>
      </c>
      <c r="I9">
        <v>250</v>
      </c>
    </row>
    <row r="10" spans="1:10">
      <c r="A10" s="15" t="s">
        <v>21</v>
      </c>
      <c r="B10" s="15" t="s">
        <v>308</v>
      </c>
      <c r="C10" s="15" t="s">
        <v>6565</v>
      </c>
      <c r="D10" s="15">
        <v>4</v>
      </c>
      <c r="E10" s="15"/>
      <c r="F10" s="15">
        <v>143</v>
      </c>
      <c r="G10" t="s">
        <v>90</v>
      </c>
      <c r="H10">
        <v>5</v>
      </c>
      <c r="I10">
        <v>250</v>
      </c>
    </row>
    <row r="11" spans="1:10">
      <c r="A11" s="15" t="s">
        <v>21</v>
      </c>
      <c r="B11" s="15" t="s">
        <v>6208</v>
      </c>
      <c r="C11" s="15" t="s">
        <v>6566</v>
      </c>
      <c r="D11" s="15"/>
      <c r="E11" s="15"/>
      <c r="F11" s="15">
        <v>170</v>
      </c>
      <c r="G11" t="s">
        <v>90</v>
      </c>
      <c r="H11">
        <v>4</v>
      </c>
      <c r="I11">
        <v>78</v>
      </c>
      <c r="J11" t="s">
        <v>6210</v>
      </c>
    </row>
    <row r="12" spans="1:10">
      <c r="A12" t="s">
        <v>6442</v>
      </c>
      <c r="B12" t="s">
        <v>6443</v>
      </c>
      <c r="C12" t="s">
        <v>6567</v>
      </c>
      <c r="D12">
        <v>2</v>
      </c>
      <c r="F12">
        <v>114</v>
      </c>
      <c r="G12" t="s">
        <v>90</v>
      </c>
      <c r="H12">
        <v>4</v>
      </c>
      <c r="I12">
        <v>100</v>
      </c>
      <c r="J12" t="s">
        <v>6568</v>
      </c>
    </row>
    <row r="15" spans="1:10">
      <c r="A15" s="18" t="s">
        <v>6174</v>
      </c>
      <c r="B15" s="17">
        <v>170</v>
      </c>
      <c r="C15" s="17" t="s">
        <v>6569</v>
      </c>
      <c r="D15" s="17" t="s">
        <v>6570</v>
      </c>
      <c r="E15" s="17">
        <v>114</v>
      </c>
      <c r="G15" s="508" t="s">
        <v>6571</v>
      </c>
      <c r="H15" s="508"/>
      <c r="I15" s="508"/>
      <c r="J15" s="508"/>
    </row>
    <row r="16" spans="1:10">
      <c r="A16" s="18" t="s">
        <v>248</v>
      </c>
      <c r="B16" t="s">
        <v>6572</v>
      </c>
      <c r="C16" t="s">
        <v>6573</v>
      </c>
      <c r="D16" t="s">
        <v>6574</v>
      </c>
      <c r="E16" t="s">
        <v>6575</v>
      </c>
      <c r="G16" s="86" t="s">
        <v>6576</v>
      </c>
      <c r="H16" s="86" t="s">
        <v>6577</v>
      </c>
      <c r="I16" s="86" t="s">
        <v>6578</v>
      </c>
      <c r="J16" s="86" t="s">
        <v>6579</v>
      </c>
    </row>
    <row r="17" spans="1:11">
      <c r="A17" s="18"/>
      <c r="B17" s="12" t="s">
        <v>6580</v>
      </c>
      <c r="C17" s="12" t="s">
        <v>6580</v>
      </c>
      <c r="D17" s="12" t="s">
        <v>6580</v>
      </c>
      <c r="E17" s="12" t="s">
        <v>6580</v>
      </c>
      <c r="G17">
        <v>130</v>
      </c>
      <c r="H17" s="72">
        <f>Sheet1!C9</f>
        <v>2.82</v>
      </c>
      <c r="I17" s="72">
        <f>H17*1.04</f>
        <v>2.9327999999999999</v>
      </c>
      <c r="J17" s="72">
        <f>I17*0.38</f>
        <v>1.1144639999999999</v>
      </c>
    </row>
    <row r="18" spans="1:11">
      <c r="A18" s="18" t="s">
        <v>6581</v>
      </c>
      <c r="B18" t="s">
        <v>6180</v>
      </c>
      <c r="C18" t="s">
        <v>6180</v>
      </c>
      <c r="D18" t="s">
        <v>6180</v>
      </c>
      <c r="E18" t="s">
        <v>6440</v>
      </c>
      <c r="G18">
        <v>132</v>
      </c>
      <c r="H18" s="72">
        <f>Sheet1!E9</f>
        <v>2.41</v>
      </c>
      <c r="I18" s="72">
        <f t="shared" ref="I18:I27" si="0">H18*1.04</f>
        <v>2.5064000000000002</v>
      </c>
      <c r="J18" s="72">
        <f t="shared" ref="J18:J27" si="1">I18*0.38</f>
        <v>0.95243200000000006</v>
      </c>
      <c r="K18" t="s">
        <v>6582</v>
      </c>
    </row>
    <row r="19" spans="1:11">
      <c r="A19" s="16"/>
      <c r="B19" t="s">
        <v>6185</v>
      </c>
      <c r="C19" t="s">
        <v>6185</v>
      </c>
      <c r="D19" t="s">
        <v>6185</v>
      </c>
      <c r="E19" t="s">
        <v>6441</v>
      </c>
      <c r="G19">
        <v>134</v>
      </c>
      <c r="H19" s="72">
        <f>Sheet1!G9</f>
        <v>2.94</v>
      </c>
      <c r="I19" s="72">
        <f t="shared" si="0"/>
        <v>3.0575999999999999</v>
      </c>
      <c r="J19" s="72">
        <f t="shared" si="1"/>
        <v>1.161888</v>
      </c>
    </row>
    <row r="20" spans="1:11">
      <c r="B20" t="s">
        <v>6187</v>
      </c>
      <c r="C20" t="s">
        <v>6187</v>
      </c>
      <c r="D20" t="s">
        <v>6187</v>
      </c>
      <c r="E20" t="s">
        <v>6446</v>
      </c>
      <c r="G20">
        <v>152</v>
      </c>
      <c r="H20" s="72">
        <f>Sheet1!I9</f>
        <v>4.3600000000000003</v>
      </c>
      <c r="I20" s="72">
        <f t="shared" si="0"/>
        <v>4.5344000000000007</v>
      </c>
      <c r="J20" s="72">
        <f t="shared" si="1"/>
        <v>1.7230720000000002</v>
      </c>
      <c r="K20" s="72"/>
    </row>
    <row r="21" spans="1:11">
      <c r="B21" t="s">
        <v>6193</v>
      </c>
      <c r="C21" t="s">
        <v>6193</v>
      </c>
      <c r="D21" t="s">
        <v>6193</v>
      </c>
      <c r="E21" t="s">
        <v>6450</v>
      </c>
      <c r="G21">
        <v>136</v>
      </c>
      <c r="H21" s="72">
        <f>Sheet1!C30</f>
        <v>4.17</v>
      </c>
      <c r="I21" s="72">
        <f t="shared" si="0"/>
        <v>4.3368000000000002</v>
      </c>
      <c r="J21" s="72">
        <f t="shared" si="1"/>
        <v>1.6479840000000001</v>
      </c>
      <c r="K21" s="72"/>
    </row>
    <row r="22" spans="1:11">
      <c r="B22" t="s">
        <v>6196</v>
      </c>
      <c r="C22" t="s">
        <v>6196</v>
      </c>
      <c r="D22" t="s">
        <v>6196</v>
      </c>
      <c r="E22" t="s">
        <v>6451</v>
      </c>
      <c r="G22">
        <v>176</v>
      </c>
      <c r="H22" s="72">
        <f>Sheet1!E30</f>
        <v>4.9400000000000004</v>
      </c>
      <c r="I22" s="72">
        <f t="shared" si="0"/>
        <v>5.1376000000000008</v>
      </c>
      <c r="J22" s="72">
        <f t="shared" si="1"/>
        <v>1.9522880000000002</v>
      </c>
      <c r="K22" s="72"/>
    </row>
    <row r="23" spans="1:11">
      <c r="B23" t="s">
        <v>6199</v>
      </c>
      <c r="C23" t="s">
        <v>6199</v>
      </c>
      <c r="D23" t="s">
        <v>6199</v>
      </c>
      <c r="E23" t="s">
        <v>6452</v>
      </c>
      <c r="G23">
        <v>140</v>
      </c>
      <c r="H23" s="72">
        <f>Sheet1!G30</f>
        <v>10.73</v>
      </c>
      <c r="I23" s="72">
        <f t="shared" si="0"/>
        <v>11.1592</v>
      </c>
      <c r="J23" s="72">
        <f t="shared" si="1"/>
        <v>4.2404960000000003</v>
      </c>
    </row>
    <row r="24" spans="1:11">
      <c r="B24" t="s">
        <v>6201</v>
      </c>
      <c r="C24" t="s">
        <v>6201</v>
      </c>
      <c r="D24" t="s">
        <v>6201</v>
      </c>
      <c r="E24" t="s">
        <v>6453</v>
      </c>
      <c r="G24">
        <v>143</v>
      </c>
      <c r="H24" s="72">
        <f>Sheet1!I30</f>
        <v>11.94</v>
      </c>
      <c r="I24" s="72">
        <f t="shared" si="0"/>
        <v>12.4176</v>
      </c>
      <c r="J24" s="72">
        <f t="shared" si="1"/>
        <v>4.7186880000000002</v>
      </c>
    </row>
    <row r="25" spans="1:11">
      <c r="B25" t="s">
        <v>6203</v>
      </c>
      <c r="C25" t="s">
        <v>6203</v>
      </c>
      <c r="D25" t="s">
        <v>6203</v>
      </c>
      <c r="E25" t="s">
        <v>6454</v>
      </c>
      <c r="G25">
        <v>170</v>
      </c>
      <c r="H25" s="72">
        <v>5.1100000000000003</v>
      </c>
      <c r="I25" s="72">
        <f t="shared" si="0"/>
        <v>5.3144000000000009</v>
      </c>
      <c r="J25" s="72">
        <f t="shared" si="1"/>
        <v>2.0194720000000004</v>
      </c>
    </row>
    <row r="26" spans="1:11">
      <c r="B26" t="s">
        <v>6205</v>
      </c>
      <c r="C26" t="s">
        <v>6205</v>
      </c>
      <c r="D26" t="s">
        <v>6205</v>
      </c>
      <c r="E26" t="s">
        <v>6455</v>
      </c>
      <c r="G26">
        <v>114</v>
      </c>
      <c r="H26" s="72">
        <v>9.1</v>
      </c>
      <c r="I26" s="72">
        <f t="shared" si="0"/>
        <v>9.4640000000000004</v>
      </c>
      <c r="J26" s="72">
        <f t="shared" si="1"/>
        <v>3.5963200000000004</v>
      </c>
    </row>
    <row r="27" spans="1:11">
      <c r="B27" t="s">
        <v>6207</v>
      </c>
      <c r="C27" t="s">
        <v>6207</v>
      </c>
      <c r="D27" t="s">
        <v>6207</v>
      </c>
      <c r="E27" t="s">
        <v>6456</v>
      </c>
      <c r="G27" s="73" t="s">
        <v>6583</v>
      </c>
      <c r="H27" s="72">
        <v>10.09</v>
      </c>
      <c r="I27" s="72">
        <f t="shared" si="0"/>
        <v>10.493600000000001</v>
      </c>
      <c r="J27" s="72">
        <f t="shared" si="1"/>
        <v>3.9875680000000004</v>
      </c>
    </row>
    <row r="28" spans="1:11">
      <c r="B28" t="s">
        <v>6211</v>
      </c>
      <c r="C28" t="s">
        <v>6211</v>
      </c>
      <c r="D28" t="s">
        <v>6211</v>
      </c>
      <c r="E28" t="s">
        <v>6457</v>
      </c>
    </row>
    <row r="29" spans="1:11">
      <c r="B29" t="s">
        <v>6212</v>
      </c>
      <c r="C29" t="s">
        <v>6212</v>
      </c>
      <c r="D29" t="s">
        <v>6212</v>
      </c>
      <c r="E29" t="s">
        <v>6458</v>
      </c>
    </row>
    <row r="30" spans="1:11">
      <c r="B30" t="s">
        <v>6213</v>
      </c>
      <c r="C30" t="s">
        <v>6213</v>
      </c>
      <c r="D30" t="s">
        <v>6213</v>
      </c>
      <c r="E30" t="s">
        <v>6459</v>
      </c>
    </row>
    <row r="31" spans="1:11">
      <c r="B31" t="s">
        <v>6216</v>
      </c>
      <c r="C31" t="s">
        <v>6216</v>
      </c>
      <c r="D31" t="s">
        <v>6216</v>
      </c>
      <c r="E31" t="s">
        <v>6460</v>
      </c>
    </row>
    <row r="32" spans="1:11">
      <c r="B32" t="s">
        <v>6221</v>
      </c>
      <c r="C32" t="s">
        <v>6221</v>
      </c>
      <c r="D32" t="s">
        <v>6221</v>
      </c>
      <c r="E32" t="s">
        <v>6461</v>
      </c>
    </row>
    <row r="33" spans="2:65">
      <c r="B33" t="s">
        <v>6222</v>
      </c>
      <c r="C33" t="s">
        <v>6222</v>
      </c>
      <c r="D33" t="s">
        <v>6222</v>
      </c>
      <c r="E33" t="s">
        <v>6462</v>
      </c>
    </row>
    <row r="34" spans="2:65">
      <c r="B34" t="s">
        <v>6584</v>
      </c>
      <c r="C34" t="s">
        <v>6584</v>
      </c>
      <c r="D34" t="s">
        <v>6584</v>
      </c>
      <c r="E34" t="s">
        <v>6463</v>
      </c>
    </row>
    <row r="35" spans="2:65">
      <c r="E35" t="s">
        <v>6464</v>
      </c>
    </row>
    <row r="36" spans="2:65">
      <c r="E36" t="s">
        <v>6466</v>
      </c>
    </row>
    <row r="37" spans="2:65">
      <c r="E37" t="s">
        <v>6468</v>
      </c>
    </row>
    <row r="38" spans="2:65">
      <c r="E38" t="s">
        <v>6469</v>
      </c>
    </row>
    <row r="39" spans="2:65">
      <c r="E39" t="s">
        <v>6470</v>
      </c>
    </row>
    <row r="40" spans="2:65">
      <c r="E40" t="s">
        <v>6471</v>
      </c>
    </row>
    <row r="41" spans="2:65">
      <c r="E41" t="s">
        <v>6472</v>
      </c>
    </row>
    <row r="42" spans="2:65">
      <c r="E42" t="s">
        <v>6473</v>
      </c>
    </row>
    <row r="43" spans="2:65">
      <c r="E43" t="s">
        <v>6474</v>
      </c>
    </row>
    <row r="44" spans="2:65">
      <c r="E44" t="s">
        <v>6476</v>
      </c>
      <c r="BF44" t="s">
        <v>6585</v>
      </c>
      <c r="BM44">
        <v>12.14</v>
      </c>
    </row>
    <row r="45" spans="2:65">
      <c r="E45" t="s">
        <v>6479</v>
      </c>
      <c r="BF45" t="s">
        <v>6585</v>
      </c>
      <c r="BM45">
        <v>12.72</v>
      </c>
    </row>
    <row r="46" spans="2:65">
      <c r="E46" t="s">
        <v>6481</v>
      </c>
      <c r="BF46" t="s">
        <v>6585</v>
      </c>
      <c r="BM46">
        <v>13.09</v>
      </c>
    </row>
    <row r="47" spans="2:65">
      <c r="E47" t="s">
        <v>6484</v>
      </c>
      <c r="BF47" t="s">
        <v>6585</v>
      </c>
      <c r="BM47">
        <v>13.6</v>
      </c>
    </row>
    <row r="48" spans="2:65">
      <c r="E48" t="s">
        <v>6486</v>
      </c>
      <c r="BF48" t="s">
        <v>6585</v>
      </c>
      <c r="BM48">
        <v>14.15</v>
      </c>
    </row>
    <row r="49" spans="5:65">
      <c r="E49" t="s">
        <v>6488</v>
      </c>
      <c r="BF49" t="s">
        <v>6585</v>
      </c>
      <c r="BM49">
        <v>14.57</v>
      </c>
    </row>
    <row r="50" spans="5:65">
      <c r="E50" t="s">
        <v>6489</v>
      </c>
      <c r="BF50" t="s">
        <v>6585</v>
      </c>
      <c r="BM50">
        <v>14.96</v>
      </c>
    </row>
    <row r="51" spans="5:65">
      <c r="E51" t="s">
        <v>6491</v>
      </c>
      <c r="BF51" t="s">
        <v>6585</v>
      </c>
      <c r="BM51">
        <v>15.44</v>
      </c>
    </row>
    <row r="52" spans="5:65">
      <c r="E52" t="s">
        <v>6494</v>
      </c>
      <c r="BF52" t="s">
        <v>6585</v>
      </c>
      <c r="BM52">
        <v>15.93</v>
      </c>
    </row>
    <row r="53" spans="5:65">
      <c r="E53" t="s">
        <v>6496</v>
      </c>
      <c r="BF53" t="s">
        <v>6585</v>
      </c>
      <c r="BM53">
        <v>16.5</v>
      </c>
    </row>
    <row r="54" spans="5:65">
      <c r="E54" t="s">
        <v>6497</v>
      </c>
      <c r="BF54" t="s">
        <v>6585</v>
      </c>
      <c r="BM54">
        <v>16.75</v>
      </c>
    </row>
    <row r="55" spans="5:65">
      <c r="E55" t="s">
        <v>6499</v>
      </c>
      <c r="BF55" t="s">
        <v>6586</v>
      </c>
      <c r="BM55">
        <v>1.6199999999999999E-2</v>
      </c>
    </row>
    <row r="56" spans="5:65">
      <c r="E56" t="s">
        <v>6500</v>
      </c>
    </row>
    <row r="57" spans="5:65">
      <c r="E57" t="s">
        <v>6501</v>
      </c>
    </row>
    <row r="58" spans="5:65">
      <c r="E58" t="s">
        <v>6502</v>
      </c>
    </row>
    <row r="59" spans="5:65">
      <c r="E59" t="s">
        <v>6506</v>
      </c>
    </row>
    <row r="60" spans="5:65">
      <c r="E60" t="s">
        <v>6509</v>
      </c>
    </row>
    <row r="61" spans="5:65">
      <c r="E61" t="s">
        <v>6510</v>
      </c>
    </row>
    <row r="62" spans="5:65">
      <c r="E62" t="s">
        <v>6512</v>
      </c>
    </row>
    <row r="63" spans="5:65">
      <c r="E63" t="s">
        <v>6513</v>
      </c>
    </row>
    <row r="64" spans="5:65">
      <c r="E64" t="s">
        <v>6514</v>
      </c>
    </row>
    <row r="65" spans="5:5">
      <c r="E65" t="s">
        <v>6516</v>
      </c>
    </row>
    <row r="66" spans="5:5">
      <c r="E66" t="s">
        <v>6518</v>
      </c>
    </row>
    <row r="67" spans="5:5">
      <c r="E67" t="s">
        <v>6520</v>
      </c>
    </row>
    <row r="68" spans="5:5">
      <c r="E68" t="s">
        <v>6522</v>
      </c>
    </row>
    <row r="69" spans="5:5">
      <c r="E69" t="s">
        <v>6523</v>
      </c>
    </row>
    <row r="70" spans="5:5">
      <c r="E70" t="s">
        <v>6524</v>
      </c>
    </row>
    <row r="71" spans="5:5">
      <c r="E71" t="s">
        <v>6525</v>
      </c>
    </row>
    <row r="72" spans="5:5">
      <c r="E72" t="s">
        <v>6526</v>
      </c>
    </row>
    <row r="73" spans="5:5">
      <c r="E73" t="s">
        <v>6527</v>
      </c>
    </row>
    <row r="74" spans="5:5">
      <c r="E74" t="s">
        <v>6528</v>
      </c>
    </row>
    <row r="75" spans="5:5">
      <c r="E75" t="s">
        <v>6529</v>
      </c>
    </row>
    <row r="76" spans="5:5">
      <c r="E76" t="s">
        <v>6530</v>
      </c>
    </row>
    <row r="77" spans="5:5">
      <c r="E77" t="s">
        <v>6531</v>
      </c>
    </row>
    <row r="78" spans="5:5">
      <c r="E78" t="s">
        <v>6532</v>
      </c>
    </row>
    <row r="79" spans="5:5">
      <c r="E79" t="s">
        <v>6533</v>
      </c>
    </row>
    <row r="80" spans="5:5">
      <c r="E80" t="s">
        <v>6534</v>
      </c>
    </row>
    <row r="81" spans="5:5">
      <c r="E81" t="s">
        <v>6535</v>
      </c>
    </row>
    <row r="82" spans="5:5">
      <c r="E82" t="s">
        <v>6536</v>
      </c>
    </row>
    <row r="83" spans="5:5">
      <c r="E83" t="s">
        <v>6537</v>
      </c>
    </row>
    <row r="84" spans="5:5">
      <c r="E84" t="s">
        <v>6538</v>
      </c>
    </row>
    <row r="85" spans="5:5">
      <c r="E85" t="s">
        <v>6539</v>
      </c>
    </row>
    <row r="86" spans="5:5">
      <c r="E86" t="s">
        <v>6540</v>
      </c>
    </row>
    <row r="87" spans="5:5">
      <c r="E87" t="s">
        <v>6541</v>
      </c>
    </row>
    <row r="88" spans="5:5">
      <c r="E88" t="s">
        <v>6542</v>
      </c>
    </row>
    <row r="89" spans="5:5">
      <c r="E89" t="s">
        <v>6543</v>
      </c>
    </row>
    <row r="90" spans="5:5">
      <c r="E90" t="s">
        <v>6587</v>
      </c>
    </row>
  </sheetData>
  <mergeCells count="2">
    <mergeCell ref="A1:G1"/>
    <mergeCell ref="G15:J15"/>
  </mergeCells>
  <pageMargins left="0.7" right="0.7" top="0.75" bottom="0.75" header="0.3" footer="0.3"/>
  <headerFooter>
    <oddHeader>&amp;R&amp;"Arial"&amp;11&amp;KFF7300 MANN+HUMMEL - Confidential&amp;1#_x000D_</oddHead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957A6E-52D4-43DD-9334-56569824548C}">
  <sheetPr codeName="Sheet6"/>
  <dimension ref="A1:CK43"/>
  <sheetViews>
    <sheetView workbookViewId="0">
      <selection activeCell="K38" sqref="K38"/>
    </sheetView>
  </sheetViews>
  <sheetFormatPr defaultRowHeight="14.5"/>
  <cols>
    <col min="1" max="1" width="9.7265625" customWidth="1"/>
  </cols>
  <sheetData>
    <row r="1" spans="1:47" ht="17.25" customHeight="1">
      <c r="A1" s="19" t="s">
        <v>6588</v>
      </c>
      <c r="B1" s="19"/>
      <c r="C1" s="19"/>
      <c r="D1" s="19"/>
      <c r="E1" s="19"/>
      <c r="F1" s="19"/>
      <c r="G1" s="19"/>
      <c r="H1" s="19"/>
      <c r="I1" s="19"/>
    </row>
    <row r="2" spans="1:47" ht="15" customHeight="1">
      <c r="A2" s="20"/>
      <c r="B2" s="509" t="s">
        <v>6589</v>
      </c>
      <c r="C2" s="510"/>
      <c r="D2" s="509" t="s">
        <v>6590</v>
      </c>
      <c r="E2" s="510"/>
      <c r="F2" s="511" t="s">
        <v>6591</v>
      </c>
      <c r="G2" s="512"/>
      <c r="H2" s="509" t="s">
        <v>6592</v>
      </c>
      <c r="I2" s="513"/>
      <c r="M2" t="s">
        <v>383</v>
      </c>
      <c r="O2" s="41" t="s">
        <v>6593</v>
      </c>
      <c r="P2" s="42"/>
      <c r="Q2" s="42"/>
      <c r="R2" s="44" t="s">
        <v>6594</v>
      </c>
      <c r="S2" s="47" t="s">
        <v>6595</v>
      </c>
      <c r="T2" s="41" t="s">
        <v>6593</v>
      </c>
      <c r="U2" s="42"/>
      <c r="V2" s="44" t="s">
        <v>6594</v>
      </c>
      <c r="W2" s="44" t="s">
        <v>6595</v>
      </c>
      <c r="X2" s="41" t="s">
        <v>6593</v>
      </c>
      <c r="Y2" s="42"/>
      <c r="Z2" s="42"/>
      <c r="AA2" s="42"/>
      <c r="AB2" s="42"/>
      <c r="AC2" s="42"/>
      <c r="AD2" s="42"/>
      <c r="AE2" s="43"/>
      <c r="AF2" s="44" t="s">
        <v>6594</v>
      </c>
      <c r="AG2" s="45"/>
      <c r="AH2" s="45"/>
      <c r="AI2" s="45"/>
      <c r="AJ2" s="45"/>
      <c r="AK2" s="45"/>
      <c r="AL2" s="46"/>
      <c r="AM2" s="47" t="s">
        <v>6595</v>
      </c>
      <c r="AN2" s="48"/>
      <c r="AO2" s="48"/>
      <c r="AP2" s="48"/>
      <c r="AQ2" s="48"/>
      <c r="AR2" s="48"/>
      <c r="AS2" s="48"/>
      <c r="AT2" s="48"/>
      <c r="AU2" s="49"/>
    </row>
    <row r="3" spans="1:47">
      <c r="A3" s="21" t="s">
        <v>6596</v>
      </c>
      <c r="B3" s="22" t="s">
        <v>6597</v>
      </c>
      <c r="C3" s="22" t="s">
        <v>6598</v>
      </c>
      <c r="D3" s="22" t="s">
        <v>6597</v>
      </c>
      <c r="E3" s="22" t="s">
        <v>6598</v>
      </c>
      <c r="F3" s="22" t="s">
        <v>6597</v>
      </c>
      <c r="G3" s="22" t="s">
        <v>6598</v>
      </c>
      <c r="H3" s="22" t="s">
        <v>6597</v>
      </c>
      <c r="I3" s="22" t="s">
        <v>6598</v>
      </c>
      <c r="K3">
        <v>20</v>
      </c>
      <c r="L3">
        <v>20</v>
      </c>
      <c r="M3">
        <f>K3*L3</f>
        <v>400</v>
      </c>
      <c r="O3" s="50" t="s">
        <v>6599</v>
      </c>
      <c r="P3" s="51"/>
      <c r="Q3" s="51"/>
      <c r="R3" s="53" t="s">
        <v>6600</v>
      </c>
      <c r="S3" s="56" t="s">
        <v>6601</v>
      </c>
      <c r="T3" s="50" t="s">
        <v>6599</v>
      </c>
      <c r="U3" s="51"/>
      <c r="V3" s="53" t="s">
        <v>6600</v>
      </c>
      <c r="W3" s="53" t="s">
        <v>6601</v>
      </c>
      <c r="X3" s="50" t="s">
        <v>6599</v>
      </c>
      <c r="Y3" s="51"/>
      <c r="Z3" s="51"/>
      <c r="AA3" s="51"/>
      <c r="AB3" s="51"/>
      <c r="AC3" s="51"/>
      <c r="AD3" s="51"/>
      <c r="AE3" s="52"/>
      <c r="AF3" s="53" t="s">
        <v>6600</v>
      </c>
      <c r="AG3" s="54"/>
      <c r="AH3" s="54"/>
      <c r="AI3" s="54"/>
      <c r="AJ3" s="54"/>
      <c r="AK3" s="54"/>
      <c r="AL3" s="55"/>
      <c r="AM3" s="56" t="s">
        <v>6601</v>
      </c>
      <c r="AN3" s="57"/>
      <c r="AO3" s="57"/>
      <c r="AP3" s="57"/>
      <c r="AQ3" s="57"/>
      <c r="AR3" s="57"/>
      <c r="AS3" s="57"/>
      <c r="AT3" s="57"/>
      <c r="AU3" s="58"/>
    </row>
    <row r="4" spans="1:47">
      <c r="A4" s="25" t="s">
        <v>6602</v>
      </c>
      <c r="B4" s="26" t="s">
        <v>6603</v>
      </c>
      <c r="C4" s="26" t="s">
        <v>6604</v>
      </c>
      <c r="D4" s="26" t="s">
        <v>6603</v>
      </c>
      <c r="E4" s="26" t="s">
        <v>6604</v>
      </c>
      <c r="F4" s="26" t="s">
        <v>6603</v>
      </c>
      <c r="G4" s="26" t="s">
        <v>6604</v>
      </c>
      <c r="H4" s="26" t="s">
        <v>6603</v>
      </c>
      <c r="I4" s="26" t="s">
        <v>6604</v>
      </c>
      <c r="O4" s="59">
        <v>0</v>
      </c>
      <c r="P4" s="40" t="s">
        <v>6605</v>
      </c>
      <c r="Q4" s="60">
        <v>143</v>
      </c>
      <c r="R4" s="62" t="s">
        <v>6606</v>
      </c>
      <c r="S4" s="64">
        <v>3.76</v>
      </c>
      <c r="T4" s="59">
        <v>433</v>
      </c>
      <c r="U4" s="60">
        <v>444</v>
      </c>
      <c r="V4" s="62" t="s">
        <v>6606</v>
      </c>
      <c r="W4" s="65">
        <v>9.77</v>
      </c>
      <c r="X4" s="59">
        <v>733</v>
      </c>
      <c r="Y4" s="60"/>
      <c r="Z4" s="60"/>
      <c r="AA4" s="40" t="s">
        <v>6605</v>
      </c>
      <c r="AB4" s="60">
        <v>744</v>
      </c>
      <c r="AC4" s="60"/>
      <c r="AD4" s="60"/>
      <c r="AE4" s="61"/>
      <c r="AF4" s="62" t="s">
        <v>6606</v>
      </c>
      <c r="AG4" s="40"/>
      <c r="AH4" s="40"/>
      <c r="AI4" s="40"/>
      <c r="AJ4" s="40"/>
      <c r="AK4" s="40"/>
      <c r="AL4" s="63"/>
      <c r="AM4" s="66">
        <v>16.43</v>
      </c>
      <c r="AN4" s="67"/>
      <c r="AO4" s="67"/>
      <c r="AP4" s="67"/>
      <c r="AQ4" s="67"/>
      <c r="AR4" s="67"/>
      <c r="AS4" s="67"/>
      <c r="AT4" s="67"/>
      <c r="AU4" s="68"/>
    </row>
    <row r="5" spans="1:47">
      <c r="A5" s="29" t="s">
        <v>6607</v>
      </c>
      <c r="B5" s="32" t="s">
        <v>6608</v>
      </c>
      <c r="C5" s="35">
        <v>2.2400000000000002</v>
      </c>
      <c r="D5" s="32" t="s">
        <v>6608</v>
      </c>
      <c r="E5" s="35">
        <v>1.83</v>
      </c>
      <c r="F5" s="32" t="s">
        <v>6608</v>
      </c>
      <c r="G5" s="35">
        <v>2.1</v>
      </c>
      <c r="H5" s="32" t="s">
        <v>6608</v>
      </c>
      <c r="I5" s="35">
        <v>3.11</v>
      </c>
      <c r="O5" s="59">
        <v>144</v>
      </c>
      <c r="P5" s="40" t="s">
        <v>6605</v>
      </c>
      <c r="Q5" s="60">
        <v>156</v>
      </c>
      <c r="R5" s="62" t="s">
        <v>6606</v>
      </c>
      <c r="S5" s="64">
        <v>3.88</v>
      </c>
      <c r="T5" s="59">
        <v>445</v>
      </c>
      <c r="U5" s="60">
        <v>456</v>
      </c>
      <c r="V5" s="62" t="s">
        <v>6606</v>
      </c>
      <c r="W5" s="65">
        <v>10.09</v>
      </c>
      <c r="X5" s="59">
        <v>745</v>
      </c>
      <c r="Y5" s="60"/>
      <c r="Z5" s="60"/>
      <c r="AA5" s="40" t="s">
        <v>6605</v>
      </c>
      <c r="AB5" s="60">
        <v>756</v>
      </c>
      <c r="AC5" s="60"/>
      <c r="AD5" s="60"/>
      <c r="AE5" s="61"/>
      <c r="AF5" s="62" t="s">
        <v>6606</v>
      </c>
      <c r="AG5" s="40"/>
      <c r="AH5" s="40"/>
      <c r="AI5" s="40"/>
      <c r="AJ5" s="40"/>
      <c r="AK5" s="40"/>
      <c r="AL5" s="63"/>
      <c r="AM5" s="66">
        <v>16.66</v>
      </c>
      <c r="AN5" s="67"/>
      <c r="AO5" s="67"/>
      <c r="AP5" s="67"/>
      <c r="AQ5" s="67"/>
      <c r="AR5" s="67"/>
      <c r="AS5" s="67"/>
      <c r="AT5" s="67"/>
      <c r="AU5" s="68"/>
    </row>
    <row r="6" spans="1:47">
      <c r="A6" s="29" t="s">
        <v>6609</v>
      </c>
      <c r="B6" s="32" t="s">
        <v>6608</v>
      </c>
      <c r="C6" s="35">
        <v>2.3199999999999998</v>
      </c>
      <c r="D6" s="32" t="s">
        <v>6608</v>
      </c>
      <c r="E6" s="35">
        <v>2.0299999999999998</v>
      </c>
      <c r="F6" s="32" t="s">
        <v>6608</v>
      </c>
      <c r="G6" s="35">
        <v>2.39</v>
      </c>
      <c r="H6" s="32" t="s">
        <v>6608</v>
      </c>
      <c r="I6" s="35">
        <v>3.43</v>
      </c>
      <c r="O6" s="59">
        <v>157</v>
      </c>
      <c r="P6" s="40" t="s">
        <v>6605</v>
      </c>
      <c r="Q6" s="60">
        <v>168</v>
      </c>
      <c r="R6" s="62" t="s">
        <v>6606</v>
      </c>
      <c r="S6" s="64">
        <v>4.1399999999999997</v>
      </c>
      <c r="T6" s="59">
        <v>457</v>
      </c>
      <c r="U6" s="60">
        <v>468</v>
      </c>
      <c r="V6" s="62" t="s">
        <v>6606</v>
      </c>
      <c r="W6" s="65">
        <v>10.31</v>
      </c>
      <c r="X6" s="59">
        <v>757</v>
      </c>
      <c r="Y6" s="60"/>
      <c r="Z6" s="60"/>
      <c r="AA6" s="40" t="s">
        <v>6605</v>
      </c>
      <c r="AB6" s="60">
        <v>768</v>
      </c>
      <c r="AC6" s="60"/>
      <c r="AD6" s="60"/>
      <c r="AE6" s="61"/>
      <c r="AF6" s="62" t="s">
        <v>6606</v>
      </c>
      <c r="AG6" s="40"/>
      <c r="AH6" s="40"/>
      <c r="AI6" s="40"/>
      <c r="AJ6" s="40"/>
      <c r="AK6" s="40"/>
      <c r="AL6" s="63"/>
      <c r="AM6" s="66">
        <v>16.829999999999998</v>
      </c>
      <c r="AN6" s="67"/>
      <c r="AO6" s="67"/>
      <c r="AP6" s="67"/>
      <c r="AQ6" s="67"/>
      <c r="AR6" s="67"/>
      <c r="AS6" s="67"/>
      <c r="AT6" s="67"/>
      <c r="AU6" s="68"/>
    </row>
    <row r="7" spans="1:47">
      <c r="A7" s="29" t="s">
        <v>6610</v>
      </c>
      <c r="B7" s="32" t="s">
        <v>6608</v>
      </c>
      <c r="C7" s="35">
        <v>2.41</v>
      </c>
      <c r="D7" s="32" t="s">
        <v>6608</v>
      </c>
      <c r="E7" s="35">
        <v>2.0699999999999998</v>
      </c>
      <c r="F7" s="32" t="s">
        <v>6608</v>
      </c>
      <c r="G7" s="35">
        <v>2.5099999999999998</v>
      </c>
      <c r="H7" s="32" t="s">
        <v>6608</v>
      </c>
      <c r="I7" s="35">
        <v>3.76</v>
      </c>
      <c r="O7" s="59">
        <v>169</v>
      </c>
      <c r="P7" s="40" t="s">
        <v>6605</v>
      </c>
      <c r="Q7" s="60">
        <v>180</v>
      </c>
      <c r="R7" s="62" t="s">
        <v>6606</v>
      </c>
      <c r="S7" s="64">
        <v>4.37</v>
      </c>
      <c r="T7" s="59">
        <v>469</v>
      </c>
      <c r="U7" s="60">
        <v>480</v>
      </c>
      <c r="V7" s="62" t="s">
        <v>6606</v>
      </c>
      <c r="W7" s="65">
        <v>10.55</v>
      </c>
      <c r="X7" s="59">
        <v>769</v>
      </c>
      <c r="Y7" s="60"/>
      <c r="Z7" s="60"/>
      <c r="AA7" s="40" t="s">
        <v>6605</v>
      </c>
      <c r="AB7" s="60">
        <v>780</v>
      </c>
      <c r="AC7" s="60"/>
      <c r="AD7" s="60"/>
      <c r="AE7" s="61"/>
      <c r="AF7" s="62" t="s">
        <v>6606</v>
      </c>
      <c r="AG7" s="40"/>
      <c r="AH7" s="40"/>
      <c r="AI7" s="40"/>
      <c r="AJ7" s="40"/>
      <c r="AK7" s="40"/>
      <c r="AL7" s="63"/>
      <c r="AM7" s="66">
        <v>17.100000000000001</v>
      </c>
      <c r="AN7" s="67"/>
      <c r="AO7" s="67"/>
      <c r="AP7" s="67"/>
      <c r="AQ7" s="67"/>
      <c r="AR7" s="67"/>
      <c r="AS7" s="67"/>
      <c r="AT7" s="67"/>
      <c r="AU7" s="68"/>
    </row>
    <row r="8" spans="1:47">
      <c r="A8" s="29" t="s">
        <v>6611</v>
      </c>
      <c r="B8" s="32" t="s">
        <v>6608</v>
      </c>
      <c r="C8" s="35">
        <v>2.59</v>
      </c>
      <c r="D8" s="32" t="s">
        <v>6608</v>
      </c>
      <c r="E8" s="35">
        <v>2.27</v>
      </c>
      <c r="F8" s="32" t="s">
        <v>6608</v>
      </c>
      <c r="G8" s="35">
        <v>2.62</v>
      </c>
      <c r="H8" s="32" t="s">
        <v>6608</v>
      </c>
      <c r="I8" s="35">
        <v>3.91</v>
      </c>
      <c r="O8" s="59">
        <v>181</v>
      </c>
      <c r="P8" s="40" t="s">
        <v>6605</v>
      </c>
      <c r="Q8" s="60">
        <v>192</v>
      </c>
      <c r="R8" s="62" t="s">
        <v>6606</v>
      </c>
      <c r="S8" s="64">
        <v>4.59</v>
      </c>
      <c r="T8" s="59">
        <v>481</v>
      </c>
      <c r="U8" s="60">
        <v>492</v>
      </c>
      <c r="V8" s="62" t="s">
        <v>6606</v>
      </c>
      <c r="W8" s="65">
        <v>10.76</v>
      </c>
      <c r="X8" s="59">
        <v>781</v>
      </c>
      <c r="Y8" s="60"/>
      <c r="Z8" s="60"/>
      <c r="AA8" s="40" t="s">
        <v>6605</v>
      </c>
      <c r="AB8" s="60">
        <v>792</v>
      </c>
      <c r="AC8" s="60"/>
      <c r="AD8" s="60"/>
      <c r="AE8" s="61"/>
      <c r="AF8" s="62" t="s">
        <v>6606</v>
      </c>
      <c r="AG8" s="40"/>
      <c r="AH8" s="40"/>
      <c r="AI8" s="40"/>
      <c r="AJ8" s="40"/>
      <c r="AK8" s="40"/>
      <c r="AL8" s="63"/>
      <c r="AM8" s="66">
        <v>17.399999999999999</v>
      </c>
      <c r="AN8" s="67"/>
      <c r="AO8" s="67"/>
      <c r="AP8" s="67"/>
      <c r="AQ8" s="67"/>
      <c r="AR8" s="67"/>
      <c r="AS8" s="67"/>
      <c r="AT8" s="67"/>
      <c r="AU8" s="68"/>
    </row>
    <row r="9" spans="1:47">
      <c r="A9" s="29" t="s">
        <v>6612</v>
      </c>
      <c r="B9" s="32" t="s">
        <v>6608</v>
      </c>
      <c r="C9" s="35">
        <v>2.82</v>
      </c>
      <c r="D9" s="32" t="s">
        <v>6608</v>
      </c>
      <c r="E9" s="35">
        <v>2.41</v>
      </c>
      <c r="F9" s="32" t="s">
        <v>6608</v>
      </c>
      <c r="G9" s="35">
        <v>2.94</v>
      </c>
      <c r="H9" s="32" t="s">
        <v>6608</v>
      </c>
      <c r="I9" s="35">
        <v>4.3600000000000003</v>
      </c>
      <c r="O9" s="59">
        <v>193</v>
      </c>
      <c r="P9" s="40" t="s">
        <v>6605</v>
      </c>
      <c r="Q9" s="60">
        <v>204</v>
      </c>
      <c r="R9" s="62" t="s">
        <v>6606</v>
      </c>
      <c r="S9" s="64">
        <v>4.8600000000000003</v>
      </c>
      <c r="T9" s="59">
        <v>493</v>
      </c>
      <c r="U9" s="60">
        <v>504</v>
      </c>
      <c r="V9" s="62" t="s">
        <v>6606</v>
      </c>
      <c r="W9" s="65">
        <v>11.09</v>
      </c>
      <c r="X9" s="59">
        <v>793</v>
      </c>
      <c r="Y9" s="60"/>
      <c r="Z9" s="60"/>
      <c r="AA9" s="40" t="s">
        <v>6605</v>
      </c>
      <c r="AB9" s="60">
        <v>804</v>
      </c>
      <c r="AC9" s="60"/>
      <c r="AD9" s="60"/>
      <c r="AE9" s="61"/>
      <c r="AF9" s="62" t="s">
        <v>6606</v>
      </c>
      <c r="AG9" s="40"/>
      <c r="AH9" s="40"/>
      <c r="AI9" s="40"/>
      <c r="AJ9" s="40"/>
      <c r="AK9" s="40"/>
      <c r="AL9" s="63"/>
      <c r="AM9" s="66">
        <v>17.61</v>
      </c>
      <c r="AN9" s="67"/>
      <c r="AO9" s="67"/>
      <c r="AP9" s="67"/>
      <c r="AQ9" s="67"/>
      <c r="AR9" s="67"/>
      <c r="AS9" s="67"/>
      <c r="AT9" s="67"/>
      <c r="AU9" s="68"/>
    </row>
    <row r="10" spans="1:47">
      <c r="A10" s="29" t="s">
        <v>6613</v>
      </c>
      <c r="B10" s="32" t="s">
        <v>6608</v>
      </c>
      <c r="C10" s="35">
        <v>2.92</v>
      </c>
      <c r="D10" s="32" t="s">
        <v>6608</v>
      </c>
      <c r="E10" s="35">
        <v>2.5299999999999998</v>
      </c>
      <c r="F10" s="32" t="s">
        <v>6608</v>
      </c>
      <c r="G10" s="35">
        <v>3.08</v>
      </c>
      <c r="H10" s="32" t="s">
        <v>6608</v>
      </c>
      <c r="I10" s="35">
        <v>4.5199999999999996</v>
      </c>
      <c r="O10" s="59">
        <v>205</v>
      </c>
      <c r="P10" s="40" t="s">
        <v>6605</v>
      </c>
      <c r="Q10" s="60">
        <v>216</v>
      </c>
      <c r="R10" s="62" t="s">
        <v>6606</v>
      </c>
      <c r="S10" s="64">
        <v>4.99</v>
      </c>
      <c r="T10" s="59">
        <v>505</v>
      </c>
      <c r="U10" s="60">
        <v>516</v>
      </c>
      <c r="V10" s="62" t="s">
        <v>6606</v>
      </c>
      <c r="W10" s="65">
        <v>11.33</v>
      </c>
      <c r="X10" s="59">
        <v>805</v>
      </c>
      <c r="Y10" s="60"/>
      <c r="Z10" s="60"/>
      <c r="AA10" s="40" t="s">
        <v>6605</v>
      </c>
      <c r="AB10" s="60">
        <v>816</v>
      </c>
      <c r="AC10" s="60"/>
      <c r="AD10" s="60"/>
      <c r="AE10" s="61"/>
      <c r="AF10" s="62" t="s">
        <v>6606</v>
      </c>
      <c r="AG10" s="40"/>
      <c r="AH10" s="40"/>
      <c r="AI10" s="40"/>
      <c r="AJ10" s="40"/>
      <c r="AK10" s="40"/>
      <c r="AL10" s="63"/>
      <c r="AM10" s="66">
        <v>17.86</v>
      </c>
      <c r="AN10" s="67"/>
      <c r="AO10" s="67"/>
      <c r="AP10" s="67"/>
      <c r="AQ10" s="67"/>
      <c r="AR10" s="67"/>
      <c r="AS10" s="67"/>
      <c r="AT10" s="67"/>
      <c r="AU10" s="68"/>
    </row>
    <row r="11" spans="1:47">
      <c r="A11" s="29" t="s">
        <v>6614</v>
      </c>
      <c r="B11" s="32" t="s">
        <v>6608</v>
      </c>
      <c r="C11" s="35">
        <v>3.17</v>
      </c>
      <c r="D11" s="32" t="s">
        <v>6608</v>
      </c>
      <c r="E11" s="35">
        <v>2.63</v>
      </c>
      <c r="F11" s="32" t="s">
        <v>6608</v>
      </c>
      <c r="G11" s="35">
        <v>3.21</v>
      </c>
      <c r="H11" s="32" t="s">
        <v>6608</v>
      </c>
      <c r="I11" s="35">
        <v>4.8499999999999996</v>
      </c>
      <c r="O11" s="59">
        <v>217</v>
      </c>
      <c r="P11" s="40" t="s">
        <v>6605</v>
      </c>
      <c r="Q11" s="60">
        <v>228</v>
      </c>
      <c r="R11" s="62" t="s">
        <v>6606</v>
      </c>
      <c r="S11" s="64">
        <v>5.2</v>
      </c>
      <c r="T11" s="59">
        <v>517</v>
      </c>
      <c r="U11" s="60">
        <v>528</v>
      </c>
      <c r="V11" s="62" t="s">
        <v>6606</v>
      </c>
      <c r="W11" s="65">
        <v>11.54</v>
      </c>
      <c r="X11" s="59">
        <v>817</v>
      </c>
      <c r="Y11" s="60"/>
      <c r="Z11" s="60"/>
      <c r="AA11" s="40" t="s">
        <v>6605</v>
      </c>
      <c r="AB11" s="60">
        <v>828</v>
      </c>
      <c r="AC11" s="60"/>
      <c r="AD11" s="60"/>
      <c r="AE11" s="61"/>
      <c r="AF11" s="62" t="s">
        <v>6606</v>
      </c>
      <c r="AG11" s="40"/>
      <c r="AH11" s="40"/>
      <c r="AI11" s="40"/>
      <c r="AJ11" s="40"/>
      <c r="AK11" s="40"/>
      <c r="AL11" s="63"/>
      <c r="AM11" s="66">
        <v>18.09</v>
      </c>
      <c r="AN11" s="67"/>
      <c r="AO11" s="67"/>
      <c r="AP11" s="67"/>
      <c r="AQ11" s="67"/>
      <c r="AR11" s="67"/>
      <c r="AS11" s="67"/>
      <c r="AT11" s="67"/>
      <c r="AU11" s="68"/>
    </row>
    <row r="12" spans="1:47">
      <c r="A12" s="29" t="s">
        <v>6615</v>
      </c>
      <c r="B12" s="32" t="s">
        <v>6608</v>
      </c>
      <c r="C12" s="35">
        <v>3.23</v>
      </c>
      <c r="D12" s="32" t="s">
        <v>6608</v>
      </c>
      <c r="E12" s="35">
        <v>2.72</v>
      </c>
      <c r="F12" s="32" t="s">
        <v>6608</v>
      </c>
      <c r="G12" s="35">
        <v>3.33</v>
      </c>
      <c r="H12" s="32" t="s">
        <v>6608</v>
      </c>
      <c r="I12" s="35">
        <v>5.17</v>
      </c>
      <c r="O12" s="59">
        <v>229</v>
      </c>
      <c r="P12" s="40" t="s">
        <v>6605</v>
      </c>
      <c r="Q12" s="60">
        <v>240</v>
      </c>
      <c r="R12" s="62" t="s">
        <v>6606</v>
      </c>
      <c r="S12" s="64">
        <v>5.45</v>
      </c>
      <c r="T12" s="59">
        <v>529</v>
      </c>
      <c r="U12" s="60">
        <v>540</v>
      </c>
      <c r="V12" s="62" t="s">
        <v>6606</v>
      </c>
      <c r="W12" s="65">
        <v>11.75</v>
      </c>
      <c r="X12" s="59">
        <v>829</v>
      </c>
      <c r="Y12" s="60"/>
      <c r="Z12" s="60"/>
      <c r="AA12" s="40" t="s">
        <v>6605</v>
      </c>
      <c r="AB12" s="60">
        <v>840</v>
      </c>
      <c r="AC12" s="60"/>
      <c r="AD12" s="60"/>
      <c r="AE12" s="61"/>
      <c r="AF12" s="62" t="s">
        <v>6606</v>
      </c>
      <c r="AG12" s="40"/>
      <c r="AH12" s="40"/>
      <c r="AI12" s="40"/>
      <c r="AJ12" s="40"/>
      <c r="AK12" s="40"/>
      <c r="AL12" s="63"/>
      <c r="AM12" s="66">
        <v>18.420000000000002</v>
      </c>
      <c r="AN12" s="67"/>
      <c r="AO12" s="67"/>
      <c r="AP12" s="67"/>
      <c r="AQ12" s="67"/>
      <c r="AR12" s="67"/>
      <c r="AS12" s="67"/>
      <c r="AT12" s="67"/>
      <c r="AU12" s="68"/>
    </row>
    <row r="13" spans="1:47">
      <c r="A13" s="29" t="s">
        <v>6616</v>
      </c>
      <c r="B13" s="32" t="s">
        <v>6608</v>
      </c>
      <c r="C13" s="35">
        <v>3.61</v>
      </c>
      <c r="D13" s="32" t="s">
        <v>6608</v>
      </c>
      <c r="E13" s="35">
        <v>3.24</v>
      </c>
      <c r="F13" s="32" t="s">
        <v>6608</v>
      </c>
      <c r="G13" s="35">
        <v>3.87</v>
      </c>
      <c r="H13" s="32" t="s">
        <v>6608</v>
      </c>
      <c r="I13" s="35">
        <v>5.78</v>
      </c>
      <c r="O13" s="59">
        <v>241</v>
      </c>
      <c r="P13" s="40" t="s">
        <v>6605</v>
      </c>
      <c r="Q13" s="60">
        <v>252</v>
      </c>
      <c r="R13" s="62" t="s">
        <v>6606</v>
      </c>
      <c r="S13" s="64">
        <v>5.65</v>
      </c>
      <c r="T13" s="59">
        <v>541</v>
      </c>
      <c r="U13" s="60">
        <v>552</v>
      </c>
      <c r="V13" s="62" t="s">
        <v>6606</v>
      </c>
      <c r="W13" s="65">
        <v>11.97</v>
      </c>
      <c r="X13" s="59">
        <v>841</v>
      </c>
      <c r="Y13" s="60"/>
      <c r="Z13" s="60"/>
      <c r="AA13" s="40" t="s">
        <v>6605</v>
      </c>
      <c r="AB13" s="60">
        <v>852</v>
      </c>
      <c r="AC13" s="60"/>
      <c r="AD13" s="60"/>
      <c r="AE13" s="61"/>
      <c r="AF13" s="62" t="s">
        <v>6606</v>
      </c>
      <c r="AG13" s="40"/>
      <c r="AH13" s="40"/>
      <c r="AI13" s="40"/>
      <c r="AJ13" s="40"/>
      <c r="AK13" s="40"/>
      <c r="AL13" s="63"/>
      <c r="AM13" s="66">
        <v>18.63</v>
      </c>
      <c r="AN13" s="67"/>
      <c r="AO13" s="67"/>
      <c r="AP13" s="67"/>
      <c r="AQ13" s="67"/>
      <c r="AR13" s="67"/>
      <c r="AS13" s="67"/>
      <c r="AT13" s="67"/>
      <c r="AU13" s="68"/>
    </row>
    <row r="14" spans="1:47">
      <c r="A14" s="29" t="s">
        <v>6617</v>
      </c>
      <c r="B14" s="32" t="s">
        <v>6608</v>
      </c>
      <c r="C14" s="35">
        <v>3.76</v>
      </c>
      <c r="D14" s="32" t="s">
        <v>6608</v>
      </c>
      <c r="E14" s="35">
        <v>3.3</v>
      </c>
      <c r="F14" s="32" t="s">
        <v>6608</v>
      </c>
      <c r="G14" s="35">
        <v>4</v>
      </c>
      <c r="H14" s="32" t="s">
        <v>6608</v>
      </c>
      <c r="I14" s="35">
        <v>6.07</v>
      </c>
      <c r="O14" s="59">
        <v>253</v>
      </c>
      <c r="P14" s="40" t="s">
        <v>6605</v>
      </c>
      <c r="Q14" s="60">
        <v>264</v>
      </c>
      <c r="R14" s="62" t="s">
        <v>6606</v>
      </c>
      <c r="S14" s="64">
        <v>5.86</v>
      </c>
      <c r="T14" s="59">
        <v>553</v>
      </c>
      <c r="U14" s="60">
        <v>564</v>
      </c>
      <c r="V14" s="62" t="s">
        <v>6606</v>
      </c>
      <c r="W14" s="65">
        <v>12.19</v>
      </c>
      <c r="X14" s="59">
        <v>853</v>
      </c>
      <c r="Y14" s="60"/>
      <c r="Z14" s="60"/>
      <c r="AA14" s="40" t="s">
        <v>6605</v>
      </c>
      <c r="AB14" s="60">
        <v>864</v>
      </c>
      <c r="AC14" s="60"/>
      <c r="AD14" s="60"/>
      <c r="AE14" s="61"/>
      <c r="AF14" s="62" t="s">
        <v>6606</v>
      </c>
      <c r="AG14" s="40"/>
      <c r="AH14" s="40"/>
      <c r="AI14" s="40"/>
      <c r="AJ14" s="40"/>
      <c r="AK14" s="40"/>
      <c r="AL14" s="63"/>
      <c r="AM14" s="66">
        <v>18.84</v>
      </c>
      <c r="AN14" s="67"/>
      <c r="AO14" s="67"/>
      <c r="AP14" s="67"/>
      <c r="AQ14" s="67"/>
      <c r="AR14" s="67"/>
      <c r="AS14" s="67"/>
      <c r="AT14" s="67"/>
      <c r="AU14" s="68"/>
    </row>
    <row r="15" spans="1:47">
      <c r="A15" s="29" t="s">
        <v>6618</v>
      </c>
      <c r="B15" s="32" t="s">
        <v>6608</v>
      </c>
      <c r="C15" s="35">
        <v>4.0599999999999996</v>
      </c>
      <c r="D15" s="32" t="s">
        <v>6608</v>
      </c>
      <c r="E15" s="35">
        <v>3.47</v>
      </c>
      <c r="F15" s="32" t="s">
        <v>6608</v>
      </c>
      <c r="G15" s="35">
        <v>4.1399999999999997</v>
      </c>
      <c r="H15" s="32" t="s">
        <v>6608</v>
      </c>
      <c r="I15" s="35">
        <v>6.39</v>
      </c>
      <c r="O15" s="59">
        <v>265</v>
      </c>
      <c r="P15" s="40" t="s">
        <v>6605</v>
      </c>
      <c r="Q15" s="60">
        <v>276</v>
      </c>
      <c r="R15" s="62" t="s">
        <v>6606</v>
      </c>
      <c r="S15" s="64">
        <v>6.21</v>
      </c>
      <c r="T15" s="59">
        <v>565</v>
      </c>
      <c r="U15" s="60">
        <v>576</v>
      </c>
      <c r="V15" s="62" t="s">
        <v>6606</v>
      </c>
      <c r="W15" s="65">
        <v>12.53</v>
      </c>
      <c r="X15" s="59">
        <v>865</v>
      </c>
      <c r="Y15" s="60"/>
      <c r="Z15" s="60"/>
      <c r="AA15" s="40" t="s">
        <v>6605</v>
      </c>
      <c r="AB15" s="60">
        <v>876</v>
      </c>
      <c r="AC15" s="60"/>
      <c r="AD15" s="60"/>
      <c r="AE15" s="61"/>
      <c r="AF15" s="62" t="s">
        <v>6606</v>
      </c>
      <c r="AG15" s="40"/>
      <c r="AH15" s="40"/>
      <c r="AI15" s="40"/>
      <c r="AJ15" s="40"/>
      <c r="AK15" s="40"/>
      <c r="AL15" s="63"/>
      <c r="AM15" s="66">
        <v>19.059999999999999</v>
      </c>
      <c r="AN15" s="67"/>
      <c r="AO15" s="67"/>
      <c r="AP15" s="67"/>
      <c r="AQ15" s="67"/>
      <c r="AR15" s="67"/>
      <c r="AS15" s="67"/>
      <c r="AT15" s="67"/>
      <c r="AU15" s="68"/>
    </row>
    <row r="16" spans="1:47">
      <c r="A16" s="29" t="s">
        <v>6619</v>
      </c>
      <c r="B16" s="32" t="s">
        <v>6608</v>
      </c>
      <c r="C16" s="35">
        <v>4.2</v>
      </c>
      <c r="D16" s="32" t="s">
        <v>6608</v>
      </c>
      <c r="E16" s="35">
        <v>3.71</v>
      </c>
      <c r="F16" s="32" t="s">
        <v>6608</v>
      </c>
      <c r="G16" s="35">
        <v>4.4400000000000004</v>
      </c>
      <c r="H16" s="32" t="s">
        <v>6608</v>
      </c>
      <c r="I16" s="35">
        <v>6.67</v>
      </c>
      <c r="O16" s="59">
        <v>277</v>
      </c>
      <c r="P16" s="40" t="s">
        <v>6605</v>
      </c>
      <c r="Q16" s="60">
        <v>288</v>
      </c>
      <c r="R16" s="62" t="s">
        <v>6606</v>
      </c>
      <c r="S16" s="64">
        <v>6.43</v>
      </c>
      <c r="T16" s="59">
        <v>577</v>
      </c>
      <c r="U16" s="60">
        <v>588</v>
      </c>
      <c r="V16" s="62" t="s">
        <v>6606</v>
      </c>
      <c r="W16" s="65">
        <v>12.98</v>
      </c>
      <c r="X16" s="59">
        <v>877</v>
      </c>
      <c r="Y16" s="60"/>
      <c r="Z16" s="60"/>
      <c r="AA16" s="40" t="s">
        <v>6605</v>
      </c>
      <c r="AB16" s="60">
        <v>888</v>
      </c>
      <c r="AC16" s="60"/>
      <c r="AD16" s="60"/>
      <c r="AE16" s="61"/>
      <c r="AF16" s="62" t="s">
        <v>6606</v>
      </c>
      <c r="AG16" s="40"/>
      <c r="AH16" s="40"/>
      <c r="AI16" s="40"/>
      <c r="AJ16" s="40"/>
      <c r="AK16" s="40"/>
      <c r="AL16" s="63"/>
      <c r="AM16" s="66">
        <v>19.29</v>
      </c>
      <c r="AN16" s="67"/>
      <c r="AO16" s="67"/>
      <c r="AP16" s="67"/>
      <c r="AQ16" s="67"/>
      <c r="AR16" s="67"/>
      <c r="AS16" s="67"/>
      <c r="AT16" s="67"/>
      <c r="AU16" s="68"/>
    </row>
    <row r="17" spans="1:89">
      <c r="A17" s="29" t="s">
        <v>6620</v>
      </c>
      <c r="B17" s="32" t="s">
        <v>6608</v>
      </c>
      <c r="C17" s="35">
        <v>4.3600000000000003</v>
      </c>
      <c r="D17" s="32" t="s">
        <v>6608</v>
      </c>
      <c r="E17" s="35">
        <v>3.83</v>
      </c>
      <c r="F17" s="32" t="s">
        <v>6608</v>
      </c>
      <c r="G17" s="35">
        <v>4.66</v>
      </c>
      <c r="H17" s="32" t="s">
        <v>6608</v>
      </c>
      <c r="I17" s="35">
        <v>6.99</v>
      </c>
      <c r="O17" s="59">
        <v>289</v>
      </c>
      <c r="P17" s="40" t="s">
        <v>6605</v>
      </c>
      <c r="Q17" s="60">
        <v>300</v>
      </c>
      <c r="R17" s="62" t="s">
        <v>6606</v>
      </c>
      <c r="S17" s="64">
        <v>6.67</v>
      </c>
      <c r="T17" s="59">
        <v>589</v>
      </c>
      <c r="U17" s="60">
        <v>600</v>
      </c>
      <c r="V17" s="62" t="s">
        <v>6606</v>
      </c>
      <c r="W17" s="65">
        <v>13.2</v>
      </c>
      <c r="X17" s="59">
        <v>889</v>
      </c>
      <c r="Y17" s="60"/>
      <c r="Z17" s="60"/>
      <c r="AA17" s="40" t="s">
        <v>6605</v>
      </c>
      <c r="AB17" s="60">
        <v>900</v>
      </c>
      <c r="AC17" s="60"/>
      <c r="AD17" s="60"/>
      <c r="AE17" s="61"/>
      <c r="AF17" s="62" t="s">
        <v>6606</v>
      </c>
      <c r="AG17" s="40"/>
      <c r="AH17" s="40"/>
      <c r="AI17" s="40"/>
      <c r="AJ17" s="40"/>
      <c r="AK17" s="40"/>
      <c r="AL17" s="63"/>
      <c r="AM17" s="66">
        <v>19.54</v>
      </c>
      <c r="AN17" s="67"/>
      <c r="AO17" s="67"/>
      <c r="AP17" s="67"/>
      <c r="AQ17" s="67"/>
      <c r="AR17" s="67"/>
      <c r="AS17" s="67"/>
      <c r="AT17" s="67"/>
      <c r="AU17" s="68"/>
    </row>
    <row r="18" spans="1:89">
      <c r="A18" s="29" t="s">
        <v>6621</v>
      </c>
      <c r="B18" s="32" t="s">
        <v>6608</v>
      </c>
      <c r="C18" s="35">
        <v>4.46</v>
      </c>
      <c r="D18" s="32" t="s">
        <v>6608</v>
      </c>
      <c r="E18" s="35">
        <v>3.91</v>
      </c>
      <c r="F18" s="32" t="s">
        <v>6608</v>
      </c>
      <c r="G18" s="35">
        <v>4.78</v>
      </c>
      <c r="H18" s="32" t="s">
        <v>6608</v>
      </c>
      <c r="I18" s="35">
        <v>7.16</v>
      </c>
      <c r="O18" s="59">
        <v>301</v>
      </c>
      <c r="P18" s="40" t="s">
        <v>6605</v>
      </c>
      <c r="Q18" s="60">
        <v>312</v>
      </c>
      <c r="R18" s="62" t="s">
        <v>6606</v>
      </c>
      <c r="S18" s="64">
        <v>6.9</v>
      </c>
      <c r="T18" s="59">
        <v>601</v>
      </c>
      <c r="U18" s="60">
        <v>612</v>
      </c>
      <c r="V18" s="62" t="s">
        <v>6606</v>
      </c>
      <c r="W18" s="65">
        <v>13.51</v>
      </c>
      <c r="X18" s="59">
        <v>901</v>
      </c>
      <c r="Y18" s="60"/>
      <c r="Z18" s="60"/>
      <c r="AA18" s="40" t="s">
        <v>6605</v>
      </c>
      <c r="AB18" s="60">
        <v>912</v>
      </c>
      <c r="AC18" s="60"/>
      <c r="AD18" s="60"/>
      <c r="AE18" s="61"/>
      <c r="AF18" s="62" t="s">
        <v>6606</v>
      </c>
      <c r="AG18" s="40"/>
      <c r="AH18" s="40"/>
      <c r="AI18" s="40"/>
      <c r="AJ18" s="40"/>
      <c r="AK18" s="40"/>
      <c r="AL18" s="63"/>
      <c r="AM18" s="66">
        <v>19.87</v>
      </c>
      <c r="AN18" s="67"/>
      <c r="AO18" s="67"/>
      <c r="AP18" s="67"/>
      <c r="AQ18" s="67"/>
      <c r="AR18" s="67"/>
      <c r="AS18" s="67"/>
      <c r="AT18" s="67"/>
      <c r="AU18" s="68"/>
    </row>
    <row r="19" spans="1:89">
      <c r="A19" s="29" t="s">
        <v>6622</v>
      </c>
      <c r="B19" s="32" t="s">
        <v>6608</v>
      </c>
      <c r="C19" s="35">
        <v>4.6500000000000004</v>
      </c>
      <c r="D19" s="32" t="s">
        <v>6608</v>
      </c>
      <c r="E19" s="35">
        <v>4.05</v>
      </c>
      <c r="F19" s="32" t="s">
        <v>6608</v>
      </c>
      <c r="G19" s="35">
        <v>4.97</v>
      </c>
      <c r="H19" s="32" t="s">
        <v>6608</v>
      </c>
      <c r="I19" s="35">
        <v>7.49</v>
      </c>
      <c r="O19" s="59">
        <v>313</v>
      </c>
      <c r="P19" s="40" t="s">
        <v>6605</v>
      </c>
      <c r="Q19" s="60">
        <v>324</v>
      </c>
      <c r="R19" s="62" t="s">
        <v>6606</v>
      </c>
      <c r="S19" s="64">
        <v>7.07</v>
      </c>
      <c r="T19" s="59">
        <v>613</v>
      </c>
      <c r="U19" s="60">
        <v>624</v>
      </c>
      <c r="V19" s="62" t="s">
        <v>6606</v>
      </c>
      <c r="W19" s="65">
        <v>13.78</v>
      </c>
      <c r="X19" s="59">
        <v>913</v>
      </c>
      <c r="Y19" s="60"/>
      <c r="Z19" s="60"/>
      <c r="AA19" s="40" t="s">
        <v>6605</v>
      </c>
      <c r="AB19" s="60">
        <v>924</v>
      </c>
      <c r="AC19" s="60"/>
      <c r="AD19" s="60"/>
      <c r="AE19" s="61"/>
      <c r="AF19" s="62" t="s">
        <v>6606</v>
      </c>
      <c r="AG19" s="40"/>
      <c r="AH19" s="40"/>
      <c r="AI19" s="40"/>
      <c r="AJ19" s="40"/>
      <c r="AK19" s="40"/>
      <c r="AL19" s="63"/>
      <c r="AM19" s="66">
        <v>20.09</v>
      </c>
      <c r="AN19" s="67"/>
      <c r="AO19" s="67"/>
      <c r="AP19" s="67"/>
      <c r="AQ19" s="67"/>
      <c r="AR19" s="67"/>
      <c r="AS19" s="67"/>
      <c r="AT19" s="67"/>
      <c r="AU19" s="68"/>
    </row>
    <row r="20" spans="1:89">
      <c r="A20" s="29" t="s">
        <v>6623</v>
      </c>
      <c r="B20" s="32" t="s">
        <v>6608</v>
      </c>
      <c r="C20" s="35">
        <v>4.8600000000000003</v>
      </c>
      <c r="D20" s="32" t="s">
        <v>6608</v>
      </c>
      <c r="E20" s="35">
        <v>4.26</v>
      </c>
      <c r="F20" s="32" t="s">
        <v>6608</v>
      </c>
      <c r="G20" s="35">
        <v>5.22</v>
      </c>
      <c r="H20" s="32" t="s">
        <v>6608</v>
      </c>
      <c r="I20" s="35">
        <v>7.98</v>
      </c>
      <c r="O20" s="59">
        <v>325</v>
      </c>
      <c r="P20" s="40" t="s">
        <v>6605</v>
      </c>
      <c r="Q20" s="60">
        <v>336</v>
      </c>
      <c r="R20" s="62" t="s">
        <v>6606</v>
      </c>
      <c r="S20" s="64">
        <v>7.64</v>
      </c>
      <c r="T20" s="59">
        <v>625</v>
      </c>
      <c r="U20" s="60">
        <v>636</v>
      </c>
      <c r="V20" s="62" t="s">
        <v>6606</v>
      </c>
      <c r="W20" s="65">
        <v>13.98</v>
      </c>
      <c r="X20" s="59">
        <v>925</v>
      </c>
      <c r="Y20" s="60"/>
      <c r="Z20" s="60"/>
      <c r="AA20" s="40" t="s">
        <v>6605</v>
      </c>
      <c r="AB20" s="60">
        <v>936</v>
      </c>
      <c r="AC20" s="60"/>
      <c r="AD20" s="60"/>
      <c r="AE20" s="61"/>
      <c r="AF20" s="62" t="s">
        <v>6606</v>
      </c>
      <c r="AG20" s="40"/>
      <c r="AH20" s="40"/>
      <c r="AI20" s="40"/>
      <c r="AJ20" s="40"/>
      <c r="AK20" s="40"/>
      <c r="AL20" s="63"/>
      <c r="AM20" s="66">
        <v>20.3</v>
      </c>
      <c r="AN20" s="67"/>
      <c r="AO20" s="67"/>
      <c r="AP20" s="67"/>
      <c r="AQ20" s="67"/>
      <c r="AR20" s="67"/>
      <c r="AS20" s="67"/>
      <c r="AT20" s="67"/>
      <c r="AU20" s="68"/>
    </row>
    <row r="21" spans="1:89">
      <c r="A21" s="38" t="s">
        <v>6624</v>
      </c>
      <c r="B21" s="29" t="s">
        <v>6625</v>
      </c>
      <c r="C21" s="35">
        <v>5.1700000000000001E-3</v>
      </c>
      <c r="D21" s="29" t="s">
        <v>6625</v>
      </c>
      <c r="E21" s="35">
        <v>4.45E-3</v>
      </c>
      <c r="F21" s="29" t="s">
        <v>6625</v>
      </c>
      <c r="G21" s="35">
        <v>5.3200000000000001E-3</v>
      </c>
      <c r="H21" s="29" t="s">
        <v>6625</v>
      </c>
      <c r="I21" s="35">
        <v>7.9600000000000001E-3</v>
      </c>
      <c r="O21" s="59">
        <v>337</v>
      </c>
      <c r="P21" s="40" t="s">
        <v>6605</v>
      </c>
      <c r="Q21" s="60">
        <v>348</v>
      </c>
      <c r="R21" s="62" t="s">
        <v>6606</v>
      </c>
      <c r="S21" s="64">
        <v>7.89</v>
      </c>
      <c r="T21" s="59">
        <v>637</v>
      </c>
      <c r="U21" s="60">
        <v>648</v>
      </c>
      <c r="V21" s="62" t="s">
        <v>6606</v>
      </c>
      <c r="W21" s="65">
        <v>14.18</v>
      </c>
      <c r="X21" s="59">
        <v>937</v>
      </c>
      <c r="Y21" s="60"/>
      <c r="Z21" s="60"/>
      <c r="AA21" s="40" t="s">
        <v>6605</v>
      </c>
      <c r="AB21" s="60">
        <v>948</v>
      </c>
      <c r="AC21" s="60"/>
      <c r="AD21" s="60"/>
      <c r="AE21" s="61"/>
      <c r="AF21" s="62" t="s">
        <v>6606</v>
      </c>
      <c r="AG21" s="40"/>
      <c r="AH21" s="40"/>
      <c r="AI21" s="40"/>
      <c r="AJ21" s="40"/>
      <c r="AK21" s="40"/>
      <c r="AL21" s="63"/>
      <c r="AM21" s="66">
        <v>20.51</v>
      </c>
      <c r="AN21" s="67"/>
      <c r="AO21" s="67"/>
      <c r="AP21" s="67"/>
      <c r="AQ21" s="67"/>
      <c r="AR21" s="67"/>
      <c r="AS21" s="67"/>
      <c r="AT21" s="67"/>
      <c r="AU21" s="68"/>
    </row>
    <row r="22" spans="1:89" ht="17.25" customHeight="1">
      <c r="A22" s="39" t="s">
        <v>6626</v>
      </c>
      <c r="B22" s="39"/>
      <c r="C22" s="39"/>
      <c r="D22" s="39"/>
      <c r="E22" s="39"/>
      <c r="F22" s="39"/>
      <c r="G22" s="39"/>
      <c r="H22" s="39"/>
      <c r="I22" s="39"/>
      <c r="O22" s="59">
        <v>349</v>
      </c>
      <c r="P22" s="40" t="s">
        <v>6605</v>
      </c>
      <c r="Q22" s="60">
        <v>360</v>
      </c>
      <c r="R22" s="62" t="s">
        <v>6606</v>
      </c>
      <c r="S22" s="64">
        <v>8.1199999999999992</v>
      </c>
      <c r="T22" s="59">
        <v>649</v>
      </c>
      <c r="U22" s="60">
        <v>660</v>
      </c>
      <c r="V22" s="62" t="s">
        <v>6606</v>
      </c>
      <c r="W22" s="65">
        <v>14.44</v>
      </c>
      <c r="X22" s="59">
        <v>949</v>
      </c>
      <c r="Y22" s="60"/>
      <c r="Z22" s="60"/>
      <c r="AA22" s="40" t="s">
        <v>6605</v>
      </c>
      <c r="AB22" s="60">
        <v>960</v>
      </c>
      <c r="AC22" s="60"/>
      <c r="AD22" s="60"/>
      <c r="AE22" s="61"/>
      <c r="AF22" s="62" t="s">
        <v>6606</v>
      </c>
      <c r="AG22" s="40"/>
      <c r="AH22" s="40"/>
      <c r="AI22" s="40"/>
      <c r="AJ22" s="40"/>
      <c r="AK22" s="40"/>
      <c r="AL22" s="63"/>
      <c r="AM22" s="66">
        <v>20.86</v>
      </c>
      <c r="AN22" s="67"/>
      <c r="AO22" s="67"/>
      <c r="AP22" s="67"/>
      <c r="AQ22" s="67"/>
      <c r="AR22" s="67"/>
      <c r="AS22" s="67"/>
      <c r="AT22" s="67"/>
      <c r="AU22" s="68"/>
    </row>
    <row r="23" spans="1:89" ht="15" customHeight="1">
      <c r="A23" s="20"/>
      <c r="B23" s="514" t="s">
        <v>6627</v>
      </c>
      <c r="C23" s="515"/>
      <c r="D23" s="516" t="s">
        <v>6628</v>
      </c>
      <c r="E23" s="517"/>
      <c r="F23" s="516" t="s">
        <v>6629</v>
      </c>
      <c r="G23" s="517"/>
      <c r="H23" s="516" t="s">
        <v>6630</v>
      </c>
      <c r="I23" s="518"/>
      <c r="O23" s="59">
        <v>361</v>
      </c>
      <c r="P23" s="40" t="s">
        <v>6605</v>
      </c>
      <c r="Q23" s="60">
        <v>372</v>
      </c>
      <c r="R23" s="62" t="s">
        <v>6606</v>
      </c>
      <c r="S23" s="64">
        <v>8.33</v>
      </c>
      <c r="T23" s="59">
        <v>661</v>
      </c>
      <c r="U23" s="60">
        <v>672</v>
      </c>
      <c r="V23" s="62" t="s">
        <v>6606</v>
      </c>
      <c r="W23" s="65">
        <v>14.97</v>
      </c>
      <c r="X23" s="59">
        <v>961</v>
      </c>
      <c r="Y23" s="60"/>
      <c r="Z23" s="60"/>
      <c r="AA23" s="40" t="s">
        <v>6605</v>
      </c>
      <c r="AB23" s="60">
        <v>972</v>
      </c>
      <c r="AC23" s="60"/>
      <c r="AD23" s="60"/>
      <c r="AE23" s="61"/>
      <c r="AF23" s="62" t="s">
        <v>6606</v>
      </c>
      <c r="AG23" s="40"/>
      <c r="AH23" s="40"/>
      <c r="AI23" s="40"/>
      <c r="AJ23" s="40"/>
      <c r="AK23" s="40"/>
      <c r="AL23" s="63"/>
      <c r="AM23" s="66">
        <v>21.08</v>
      </c>
      <c r="AN23" s="67"/>
      <c r="AO23" s="67"/>
      <c r="AP23" s="67"/>
      <c r="AQ23" s="67"/>
      <c r="AR23" s="67"/>
      <c r="AS23" s="67"/>
      <c r="AT23" s="67"/>
      <c r="AU23" s="68"/>
    </row>
    <row r="24" spans="1:89">
      <c r="A24" s="21" t="s">
        <v>6596</v>
      </c>
      <c r="B24" s="22" t="s">
        <v>6597</v>
      </c>
      <c r="C24" s="22" t="s">
        <v>6598</v>
      </c>
      <c r="D24" s="22" t="s">
        <v>6597</v>
      </c>
      <c r="E24" s="22" t="s">
        <v>6598</v>
      </c>
      <c r="F24" s="22" t="s">
        <v>6597</v>
      </c>
      <c r="G24" s="22" t="s">
        <v>6598</v>
      </c>
      <c r="H24" s="22" t="s">
        <v>6597</v>
      </c>
      <c r="I24" s="22" t="s">
        <v>6598</v>
      </c>
      <c r="O24" s="59">
        <v>373</v>
      </c>
      <c r="P24" s="40" t="s">
        <v>6605</v>
      </c>
      <c r="Q24" s="60">
        <v>384</v>
      </c>
      <c r="R24" s="62" t="s">
        <v>6606</v>
      </c>
      <c r="S24" s="64">
        <v>8.65</v>
      </c>
      <c r="T24" s="59">
        <v>673</v>
      </c>
      <c r="U24" s="60">
        <v>684</v>
      </c>
      <c r="V24" s="62" t="s">
        <v>6606</v>
      </c>
      <c r="W24" s="65">
        <v>15.22</v>
      </c>
      <c r="X24" s="59">
        <v>973</v>
      </c>
      <c r="Y24" s="60"/>
      <c r="Z24" s="60"/>
      <c r="AA24" s="40" t="s">
        <v>6605</v>
      </c>
      <c r="AB24" s="60">
        <v>984</v>
      </c>
      <c r="AC24" s="60"/>
      <c r="AD24" s="60"/>
      <c r="AE24" s="61"/>
      <c r="AF24" s="62" t="s">
        <v>6606</v>
      </c>
      <c r="AG24" s="40"/>
      <c r="AH24" s="40"/>
      <c r="AI24" s="40"/>
      <c r="AJ24" s="40"/>
      <c r="AK24" s="40"/>
      <c r="AL24" s="63"/>
      <c r="AM24" s="66">
        <v>21.53</v>
      </c>
      <c r="AN24" s="67"/>
      <c r="AO24" s="67"/>
      <c r="AP24" s="67"/>
      <c r="AQ24" s="67"/>
      <c r="AR24" s="67"/>
      <c r="AS24" s="67"/>
      <c r="AT24" s="67"/>
      <c r="AU24" s="68"/>
    </row>
    <row r="25" spans="1:89">
      <c r="A25" s="25" t="s">
        <v>6602</v>
      </c>
      <c r="B25" s="26" t="s">
        <v>6603</v>
      </c>
      <c r="C25" s="26" t="s">
        <v>6604</v>
      </c>
      <c r="D25" s="26" t="s">
        <v>6603</v>
      </c>
      <c r="E25" s="26" t="s">
        <v>6604</v>
      </c>
      <c r="F25" s="26" t="s">
        <v>6603</v>
      </c>
      <c r="G25" s="26" t="s">
        <v>6604</v>
      </c>
      <c r="H25" s="26" t="s">
        <v>6603</v>
      </c>
      <c r="I25" s="26" t="s">
        <v>6604</v>
      </c>
      <c r="O25" s="59">
        <v>385</v>
      </c>
      <c r="P25" s="40" t="s">
        <v>6605</v>
      </c>
      <c r="Q25" s="60">
        <v>396</v>
      </c>
      <c r="R25" s="62" t="s">
        <v>6606</v>
      </c>
      <c r="S25" s="64">
        <v>8.85</v>
      </c>
      <c r="T25" s="59">
        <v>685</v>
      </c>
      <c r="U25" s="60">
        <v>696</v>
      </c>
      <c r="V25" s="62" t="s">
        <v>6606</v>
      </c>
      <c r="W25" s="65">
        <v>15.42</v>
      </c>
      <c r="X25" s="59">
        <v>985</v>
      </c>
      <c r="Y25" s="60"/>
      <c r="Z25" s="60"/>
      <c r="AA25" s="40" t="s">
        <v>6605</v>
      </c>
      <c r="AB25" s="60">
        <v>996</v>
      </c>
      <c r="AC25" s="60"/>
      <c r="AD25" s="60"/>
      <c r="AE25" s="61"/>
      <c r="AF25" s="62" t="s">
        <v>6606</v>
      </c>
      <c r="AG25" s="40"/>
      <c r="AH25" s="40"/>
      <c r="AI25" s="40"/>
      <c r="AJ25" s="40"/>
      <c r="AK25" s="40"/>
      <c r="AL25" s="63"/>
      <c r="AM25" s="66">
        <v>21.98</v>
      </c>
      <c r="AN25" s="67"/>
      <c r="AO25" s="67"/>
      <c r="AP25" s="67"/>
      <c r="AQ25" s="67"/>
      <c r="AR25" s="67"/>
      <c r="AS25" s="67"/>
      <c r="AT25" s="67"/>
      <c r="AU25" s="68"/>
    </row>
    <row r="26" spans="1:89">
      <c r="A26" s="29" t="s">
        <v>6607</v>
      </c>
      <c r="B26" s="32" t="s">
        <v>6608</v>
      </c>
      <c r="C26" s="35">
        <v>2.95</v>
      </c>
      <c r="D26" s="32" t="s">
        <v>6608</v>
      </c>
      <c r="E26" s="35">
        <v>3.45</v>
      </c>
      <c r="F26" s="32" t="s">
        <v>6608</v>
      </c>
      <c r="G26" s="35">
        <v>9.16</v>
      </c>
      <c r="H26" s="32" t="s">
        <v>6608</v>
      </c>
      <c r="I26" s="35">
        <v>10.19</v>
      </c>
      <c r="O26" s="59">
        <v>397</v>
      </c>
      <c r="P26" s="40" t="s">
        <v>6605</v>
      </c>
      <c r="Q26" s="60">
        <v>408</v>
      </c>
      <c r="R26" s="62" t="s">
        <v>6606</v>
      </c>
      <c r="S26" s="64">
        <v>9.1</v>
      </c>
      <c r="T26" s="59">
        <v>697</v>
      </c>
      <c r="U26" s="60">
        <v>708</v>
      </c>
      <c r="V26" s="62" t="s">
        <v>6606</v>
      </c>
      <c r="W26" s="65">
        <v>15.63</v>
      </c>
      <c r="X26" s="69" t="s">
        <v>6631</v>
      </c>
      <c r="Y26" s="70"/>
      <c r="Z26" s="70"/>
      <c r="AA26" s="70"/>
      <c r="AB26" s="70"/>
      <c r="AC26" s="70"/>
      <c r="AD26" s="70"/>
      <c r="AE26" s="71"/>
      <c r="AF26" s="62" t="s">
        <v>6606</v>
      </c>
      <c r="AG26" s="40"/>
      <c r="AH26" s="40"/>
      <c r="AI26" s="40"/>
      <c r="AJ26" s="40"/>
      <c r="AK26" s="40"/>
      <c r="AL26" s="63"/>
      <c r="AM26" s="69" t="s">
        <v>6632</v>
      </c>
      <c r="AN26" s="70"/>
      <c r="AO26" s="70"/>
      <c r="AP26" s="70"/>
      <c r="AQ26" s="70"/>
      <c r="AR26" s="70"/>
      <c r="AS26" s="70"/>
      <c r="AT26" s="70"/>
      <c r="AU26" s="71"/>
    </row>
    <row r="27" spans="1:89">
      <c r="A27" s="29" t="s">
        <v>6609</v>
      </c>
      <c r="B27" s="32" t="s">
        <v>6608</v>
      </c>
      <c r="C27" s="35">
        <v>2.98</v>
      </c>
      <c r="D27" s="32" t="s">
        <v>6608</v>
      </c>
      <c r="E27" s="35">
        <v>3.81</v>
      </c>
      <c r="F27" s="32" t="s">
        <v>6608</v>
      </c>
      <c r="G27" s="35">
        <v>9.2899999999999991</v>
      </c>
      <c r="H27" s="32" t="s">
        <v>6608</v>
      </c>
      <c r="I27" s="35">
        <v>10.29</v>
      </c>
      <c r="O27" s="59">
        <v>409</v>
      </c>
      <c r="P27" s="40" t="s">
        <v>6605</v>
      </c>
      <c r="Q27" s="60">
        <v>420</v>
      </c>
      <c r="R27" s="62" t="s">
        <v>6606</v>
      </c>
      <c r="S27" s="64">
        <v>9.34</v>
      </c>
      <c r="T27" s="59">
        <v>709</v>
      </c>
      <c r="U27" s="60">
        <v>720</v>
      </c>
      <c r="V27" s="62" t="s">
        <v>6606</v>
      </c>
      <c r="W27" s="65">
        <v>15.88</v>
      </c>
      <c r="X27" s="69" t="s">
        <v>6633</v>
      </c>
      <c r="Y27" s="70"/>
      <c r="Z27" s="70"/>
      <c r="AA27" s="70"/>
      <c r="AB27" s="70"/>
      <c r="AC27" s="70"/>
      <c r="AD27" s="70"/>
      <c r="AE27" s="71"/>
      <c r="AF27" s="62" t="s">
        <v>6606</v>
      </c>
      <c r="AG27" s="40"/>
      <c r="AH27" s="40"/>
      <c r="AI27" s="40"/>
      <c r="AJ27" s="40"/>
      <c r="AK27" s="40"/>
      <c r="AL27" s="63"/>
      <c r="AM27" s="69" t="s">
        <v>6634</v>
      </c>
      <c r="AN27" s="70"/>
      <c r="AO27" s="70"/>
      <c r="AP27" s="70"/>
      <c r="AQ27" s="70"/>
      <c r="AR27" s="70"/>
      <c r="AS27" s="70"/>
      <c r="AT27" s="70"/>
      <c r="AU27" s="71"/>
    </row>
    <row r="28" spans="1:89">
      <c r="A28" s="29" t="s">
        <v>6610</v>
      </c>
      <c r="B28" s="32" t="s">
        <v>6608</v>
      </c>
      <c r="C28" s="35">
        <v>3.36</v>
      </c>
      <c r="D28" s="32" t="s">
        <v>6608</v>
      </c>
      <c r="E28" s="35">
        <v>4.2300000000000004</v>
      </c>
      <c r="F28" s="32" t="s">
        <v>6608</v>
      </c>
      <c r="G28" s="35">
        <v>9.68</v>
      </c>
      <c r="H28" s="32" t="s">
        <v>6608</v>
      </c>
      <c r="I28" s="35">
        <v>10.76</v>
      </c>
      <c r="O28" s="59">
        <v>421</v>
      </c>
      <c r="P28" s="40" t="s">
        <v>6605</v>
      </c>
      <c r="Q28" s="60">
        <v>432</v>
      </c>
      <c r="R28" s="62" t="s">
        <v>6606</v>
      </c>
      <c r="S28" s="64">
        <v>9.5500000000000007</v>
      </c>
      <c r="T28" s="59">
        <v>721</v>
      </c>
      <c r="U28" s="60">
        <v>732</v>
      </c>
      <c r="V28" s="62" t="s">
        <v>6606</v>
      </c>
      <c r="W28" s="65">
        <v>16.18</v>
      </c>
      <c r="X28" s="69" t="s">
        <v>6635</v>
      </c>
      <c r="Y28" s="70"/>
      <c r="Z28" s="70"/>
      <c r="AA28" s="70"/>
      <c r="AB28" s="70"/>
      <c r="AC28" s="70"/>
      <c r="AD28" s="70"/>
      <c r="AE28" s="71"/>
      <c r="AF28" s="62" t="s">
        <v>6606</v>
      </c>
      <c r="AG28" s="40"/>
      <c r="AH28" s="40"/>
      <c r="AI28" s="40"/>
      <c r="AJ28" s="40"/>
      <c r="AK28" s="40"/>
      <c r="AL28" s="63"/>
      <c r="AM28" s="62" t="s">
        <v>6636</v>
      </c>
      <c r="AN28" s="40"/>
      <c r="AO28" s="40"/>
      <c r="AP28" s="40"/>
      <c r="AQ28" s="40"/>
      <c r="AR28" s="40"/>
      <c r="AS28" s="40"/>
      <c r="AT28" s="40"/>
      <c r="AU28" s="63"/>
    </row>
    <row r="29" spans="1:89">
      <c r="A29" s="29" t="s">
        <v>6611</v>
      </c>
      <c r="B29" s="32" t="s">
        <v>6608</v>
      </c>
      <c r="C29" s="35">
        <v>3.67</v>
      </c>
      <c r="D29" s="32" t="s">
        <v>6608</v>
      </c>
      <c r="E29" s="35">
        <v>4.59</v>
      </c>
      <c r="F29" s="32" t="s">
        <v>6608</v>
      </c>
      <c r="G29" s="35">
        <v>10.039999999999999</v>
      </c>
      <c r="H29" s="32" t="s">
        <v>6608</v>
      </c>
      <c r="I29" s="35">
        <v>11.17</v>
      </c>
    </row>
    <row r="30" spans="1:89">
      <c r="A30" s="29" t="s">
        <v>6612</v>
      </c>
      <c r="B30" s="32" t="s">
        <v>6608</v>
      </c>
      <c r="C30" s="35">
        <v>4.17</v>
      </c>
      <c r="D30" s="32" t="s">
        <v>6608</v>
      </c>
      <c r="E30" s="35">
        <v>4.9400000000000004</v>
      </c>
      <c r="F30" s="32" t="s">
        <v>6608</v>
      </c>
      <c r="G30" s="35">
        <v>10.73</v>
      </c>
      <c r="H30" s="32" t="s">
        <v>6608</v>
      </c>
      <c r="I30" s="35">
        <v>11.94</v>
      </c>
    </row>
    <row r="31" spans="1:89">
      <c r="A31" s="29" t="s">
        <v>6613</v>
      </c>
      <c r="B31" s="32" t="s">
        <v>6608</v>
      </c>
      <c r="C31" s="35">
        <v>4.21</v>
      </c>
      <c r="D31" s="32" t="s">
        <v>6608</v>
      </c>
      <c r="E31" s="35">
        <v>5.35</v>
      </c>
      <c r="F31" s="32" t="s">
        <v>6608</v>
      </c>
      <c r="G31" s="35">
        <v>10.88</v>
      </c>
      <c r="H31" s="32" t="s">
        <v>6608</v>
      </c>
      <c r="I31" s="35">
        <v>12.14</v>
      </c>
    </row>
    <row r="32" spans="1:89" ht="15" customHeight="1">
      <c r="A32" s="29" t="s">
        <v>6614</v>
      </c>
      <c r="B32" s="32" t="s">
        <v>6608</v>
      </c>
      <c r="C32" s="35">
        <v>4.72</v>
      </c>
      <c r="D32" s="32" t="s">
        <v>6608</v>
      </c>
      <c r="E32" s="35">
        <v>5.73</v>
      </c>
      <c r="F32" s="32" t="s">
        <v>6608</v>
      </c>
      <c r="G32" s="35">
        <v>11.49</v>
      </c>
      <c r="H32" s="32" t="s">
        <v>6608</v>
      </c>
      <c r="I32" s="35">
        <v>12.72</v>
      </c>
      <c r="O32" s="74" t="s">
        <v>6637</v>
      </c>
      <c r="P32" s="74"/>
      <c r="Q32" s="74"/>
      <c r="R32" s="74"/>
      <c r="S32" s="74"/>
      <c r="T32" s="74"/>
      <c r="U32" s="74"/>
      <c r="V32" s="74"/>
      <c r="W32" s="74"/>
      <c r="X32" s="74"/>
      <c r="Y32" s="74"/>
      <c r="Z32" s="74"/>
      <c r="AA32" s="74"/>
      <c r="AB32" s="74"/>
      <c r="AC32" s="74"/>
      <c r="AD32" s="74"/>
      <c r="AE32" s="74"/>
      <c r="AF32" s="74"/>
      <c r="AG32" s="74"/>
      <c r="AH32" s="74"/>
      <c r="AI32" s="74"/>
      <c r="AJ32" s="74"/>
      <c r="AK32" s="74"/>
      <c r="AL32" s="74"/>
      <c r="AM32" s="74"/>
      <c r="AN32" s="74"/>
      <c r="AO32" s="74"/>
      <c r="AP32" s="74"/>
      <c r="AQ32" s="74"/>
      <c r="AR32" s="74"/>
      <c r="AS32" s="74"/>
      <c r="AT32" s="74"/>
      <c r="AU32" s="74"/>
      <c r="AV32" s="74"/>
      <c r="AW32" s="74"/>
      <c r="AX32" s="74"/>
      <c r="AY32" s="74"/>
      <c r="AZ32" s="74"/>
      <c r="BA32" s="74"/>
      <c r="BB32" s="74"/>
      <c r="BC32" s="74"/>
      <c r="BD32" s="74"/>
      <c r="BE32" s="74"/>
      <c r="BF32" s="74"/>
      <c r="BG32" s="74"/>
      <c r="BH32" s="74"/>
      <c r="BI32" s="74"/>
      <c r="BJ32" s="74"/>
      <c r="BK32" s="74"/>
      <c r="BL32" s="74"/>
      <c r="BM32" s="74"/>
      <c r="BN32" s="74"/>
      <c r="BO32" s="74"/>
      <c r="BP32" s="74"/>
      <c r="BQ32" s="74"/>
      <c r="BR32" s="74"/>
      <c r="BS32" s="74"/>
      <c r="BT32" s="74"/>
      <c r="BU32" s="74"/>
      <c r="BV32" s="74"/>
      <c r="BW32" s="74"/>
      <c r="BX32" s="74"/>
      <c r="BY32" s="74"/>
      <c r="BZ32" s="74"/>
      <c r="CA32" s="74"/>
      <c r="CB32" s="74"/>
      <c r="CC32" s="74"/>
      <c r="CD32" s="74"/>
      <c r="CE32" s="74"/>
      <c r="CF32" s="74"/>
      <c r="CG32" s="74"/>
      <c r="CH32" s="74"/>
      <c r="CI32" s="74"/>
      <c r="CJ32" s="74"/>
      <c r="CK32" s="74"/>
    </row>
    <row r="33" spans="1:89">
      <c r="A33" s="29" t="s">
        <v>6615</v>
      </c>
      <c r="B33" s="32" t="s">
        <v>6608</v>
      </c>
      <c r="C33" s="35">
        <v>5.0199999999999996</v>
      </c>
      <c r="D33" s="32" t="s">
        <v>6608</v>
      </c>
      <c r="E33" s="35">
        <v>6.1</v>
      </c>
      <c r="F33" s="32" t="s">
        <v>6608</v>
      </c>
      <c r="G33" s="35">
        <v>11.81</v>
      </c>
      <c r="H33" s="32" t="s">
        <v>6608</v>
      </c>
      <c r="I33" s="35">
        <v>13.09</v>
      </c>
      <c r="O33" s="22" t="s">
        <v>6596</v>
      </c>
      <c r="P33" s="23"/>
      <c r="Q33" s="23"/>
      <c r="R33" s="23"/>
      <c r="S33" s="23"/>
      <c r="T33" s="23"/>
      <c r="U33" s="23"/>
      <c r="V33" s="23"/>
      <c r="W33" s="23"/>
      <c r="X33" s="23"/>
      <c r="Y33" s="23"/>
      <c r="Z33" s="23"/>
      <c r="AA33" s="24"/>
      <c r="AB33" s="22" t="s">
        <v>6597</v>
      </c>
      <c r="AC33" s="23"/>
      <c r="AD33" s="23"/>
      <c r="AE33" s="23"/>
      <c r="AF33" s="23"/>
      <c r="AG33" s="23"/>
      <c r="AH33" s="23"/>
      <c r="AI33" s="23"/>
      <c r="AJ33" s="24"/>
      <c r="AK33" s="22" t="s">
        <v>6598</v>
      </c>
      <c r="AL33" s="23"/>
      <c r="AM33" s="23"/>
      <c r="AN33" s="23"/>
      <c r="AO33" s="23"/>
      <c r="AP33" s="23"/>
      <c r="AQ33" s="23"/>
      <c r="AR33" s="23"/>
      <c r="AS33" s="23"/>
      <c r="AT33" s="23"/>
      <c r="AU33" s="23"/>
      <c r="AV33" s="23"/>
      <c r="AW33" s="24"/>
      <c r="AX33" s="75"/>
      <c r="AY33" s="76"/>
      <c r="AZ33" s="76"/>
      <c r="BA33" s="76"/>
      <c r="BB33" s="76"/>
      <c r="BC33" s="76"/>
      <c r="BD33" s="76"/>
      <c r="BE33" s="77"/>
      <c r="BF33" s="22" t="s">
        <v>6596</v>
      </c>
      <c r="BG33" s="23"/>
      <c r="BH33" s="23"/>
      <c r="BI33" s="23"/>
      <c r="BJ33" s="23"/>
      <c r="BK33" s="23"/>
      <c r="BL33" s="23"/>
      <c r="BM33" s="23"/>
      <c r="BN33" s="23"/>
      <c r="BO33" s="23"/>
      <c r="BP33" s="23"/>
      <c r="BQ33" s="24"/>
      <c r="BR33" s="22" t="s">
        <v>6597</v>
      </c>
      <c r="BS33" s="23"/>
      <c r="BT33" s="23"/>
      <c r="BU33" s="23"/>
      <c r="BV33" s="23"/>
      <c r="BW33" s="24"/>
      <c r="BX33" s="22" t="s">
        <v>6598</v>
      </c>
      <c r="BY33" s="23"/>
      <c r="BZ33" s="23"/>
      <c r="CA33" s="23"/>
      <c r="CB33" s="23"/>
      <c r="CC33" s="23"/>
      <c r="CD33" s="23"/>
      <c r="CE33" s="23"/>
      <c r="CF33" s="23"/>
      <c r="CG33" s="23"/>
      <c r="CH33" s="23"/>
      <c r="CI33" s="23"/>
      <c r="CJ33" s="23"/>
      <c r="CK33" s="24"/>
    </row>
    <row r="34" spans="1:89" ht="20">
      <c r="A34" s="29" t="s">
        <v>6616</v>
      </c>
      <c r="B34" s="32" t="s">
        <v>6608</v>
      </c>
      <c r="C34" s="35">
        <v>5.78</v>
      </c>
      <c r="D34" s="32" t="s">
        <v>6608</v>
      </c>
      <c r="E34" s="35">
        <v>6.52</v>
      </c>
      <c r="F34" s="32" t="s">
        <v>6608</v>
      </c>
      <c r="G34" s="35">
        <v>12.29</v>
      </c>
      <c r="H34" s="32" t="s">
        <v>6608</v>
      </c>
      <c r="I34" s="35">
        <v>13.6</v>
      </c>
      <c r="O34" s="78" t="s">
        <v>6602</v>
      </c>
      <c r="P34" s="79"/>
      <c r="Q34" s="79"/>
      <c r="R34" s="79"/>
      <c r="S34" s="79"/>
      <c r="T34" s="79"/>
      <c r="U34" s="79"/>
      <c r="V34" s="79"/>
      <c r="W34" s="79"/>
      <c r="X34" s="79"/>
      <c r="Y34" s="79"/>
      <c r="Z34" s="79"/>
      <c r="AA34" s="80"/>
      <c r="AB34" s="26" t="s">
        <v>6603</v>
      </c>
      <c r="AC34" s="27"/>
      <c r="AD34" s="27"/>
      <c r="AE34" s="27"/>
      <c r="AF34" s="27"/>
      <c r="AG34" s="27"/>
      <c r="AH34" s="27"/>
      <c r="AI34" s="27"/>
      <c r="AJ34" s="28"/>
      <c r="AK34" s="26" t="s">
        <v>6604</v>
      </c>
      <c r="AL34" s="27"/>
      <c r="AM34" s="27"/>
      <c r="AN34" s="27"/>
      <c r="AO34" s="27"/>
      <c r="AP34" s="27"/>
      <c r="AQ34" s="27"/>
      <c r="AR34" s="27"/>
      <c r="AS34" s="27"/>
      <c r="AT34" s="27"/>
      <c r="AU34" s="27"/>
      <c r="AV34" s="27"/>
      <c r="AW34" s="28"/>
      <c r="AX34" s="75"/>
      <c r="AY34" s="76"/>
      <c r="AZ34" s="76"/>
      <c r="BA34" s="76"/>
      <c r="BB34" s="76"/>
      <c r="BC34" s="76"/>
      <c r="BD34" s="76"/>
      <c r="BE34" s="77"/>
      <c r="BF34" s="26" t="s">
        <v>6602</v>
      </c>
      <c r="BG34" s="27"/>
      <c r="BH34" s="27"/>
      <c r="BI34" s="27"/>
      <c r="BJ34" s="27"/>
      <c r="BK34" s="27"/>
      <c r="BL34" s="27"/>
      <c r="BM34" s="27"/>
      <c r="BN34" s="27"/>
      <c r="BO34" s="27"/>
      <c r="BP34" s="27"/>
      <c r="BQ34" s="28"/>
      <c r="BR34" s="26" t="s">
        <v>6603</v>
      </c>
      <c r="BS34" s="27"/>
      <c r="BT34" s="27"/>
      <c r="BU34" s="27"/>
      <c r="BV34" s="27"/>
      <c r="BW34" s="28"/>
      <c r="BX34" s="26" t="s">
        <v>6604</v>
      </c>
      <c r="BY34" s="27"/>
      <c r="BZ34" s="27"/>
      <c r="CA34" s="27"/>
      <c r="CB34" s="27"/>
      <c r="CC34" s="27"/>
      <c r="CD34" s="27"/>
      <c r="CE34" s="27"/>
      <c r="CF34" s="27"/>
      <c r="CG34" s="27"/>
      <c r="CH34" s="27"/>
      <c r="CI34" s="27"/>
      <c r="CJ34" s="27"/>
      <c r="CK34" s="28"/>
    </row>
    <row r="35" spans="1:89">
      <c r="A35" s="29" t="s">
        <v>6617</v>
      </c>
      <c r="B35" s="32" t="s">
        <v>6608</v>
      </c>
      <c r="C35" s="35">
        <v>5.99</v>
      </c>
      <c r="D35" s="32" t="s">
        <v>6608</v>
      </c>
      <c r="E35" s="35">
        <v>6.86</v>
      </c>
      <c r="F35" s="32" t="s">
        <v>6608</v>
      </c>
      <c r="G35" s="35">
        <v>12.72</v>
      </c>
      <c r="H35" s="32" t="s">
        <v>6608</v>
      </c>
      <c r="I35" s="35">
        <v>14.15</v>
      </c>
      <c r="O35" s="81" t="s">
        <v>6607</v>
      </c>
      <c r="P35" s="82"/>
      <c r="Q35" s="82"/>
      <c r="R35" s="82"/>
      <c r="S35" s="82"/>
      <c r="T35" s="82"/>
      <c r="U35" s="82"/>
      <c r="V35" s="82"/>
      <c r="W35" s="82"/>
      <c r="X35" s="82"/>
      <c r="Y35" s="82"/>
      <c r="Z35" s="82"/>
      <c r="AA35" s="83"/>
      <c r="AB35" s="32" t="s">
        <v>6608</v>
      </c>
      <c r="AC35" s="33"/>
      <c r="AD35" s="33"/>
      <c r="AE35" s="33"/>
      <c r="AF35" s="33"/>
      <c r="AG35" s="33"/>
      <c r="AH35" s="33"/>
      <c r="AI35" s="33"/>
      <c r="AJ35" s="34"/>
      <c r="AK35" s="35">
        <v>3.59</v>
      </c>
      <c r="AL35" s="36"/>
      <c r="AM35" s="36"/>
      <c r="AN35" s="36"/>
      <c r="AO35" s="36"/>
      <c r="AP35" s="36"/>
      <c r="AQ35" s="36"/>
      <c r="AR35" s="36"/>
      <c r="AS35" s="36"/>
      <c r="AT35" s="36"/>
      <c r="AU35" s="36"/>
      <c r="AV35" s="36"/>
      <c r="AW35" s="37"/>
      <c r="AX35" s="75"/>
      <c r="AY35" s="76"/>
      <c r="AZ35" s="76"/>
      <c r="BA35" s="76"/>
      <c r="BB35" s="76"/>
      <c r="BC35" s="76"/>
      <c r="BD35" s="76"/>
      <c r="BE35" s="77"/>
      <c r="BF35" s="29" t="s">
        <v>6617</v>
      </c>
      <c r="BG35" s="30"/>
      <c r="BH35" s="30"/>
      <c r="BI35" s="30"/>
      <c r="BJ35" s="30"/>
      <c r="BK35" s="30"/>
      <c r="BL35" s="30"/>
      <c r="BM35" s="30"/>
      <c r="BN35" s="30"/>
      <c r="BO35" s="30"/>
      <c r="BP35" s="30"/>
      <c r="BQ35" s="31"/>
      <c r="BR35" s="32" t="s">
        <v>6608</v>
      </c>
      <c r="BS35" s="33"/>
      <c r="BT35" s="33"/>
      <c r="BU35" s="33"/>
      <c r="BV35" s="33"/>
      <c r="BW35" s="34"/>
      <c r="BX35" s="35">
        <v>7.14</v>
      </c>
      <c r="BY35" s="36"/>
      <c r="BZ35" s="36"/>
      <c r="CA35" s="36"/>
      <c r="CB35" s="36"/>
      <c r="CC35" s="36"/>
      <c r="CD35" s="36"/>
      <c r="CE35" s="36"/>
      <c r="CF35" s="36"/>
      <c r="CG35" s="36"/>
      <c r="CH35" s="36"/>
      <c r="CI35" s="36"/>
      <c r="CJ35" s="36"/>
      <c r="CK35" s="37"/>
    </row>
    <row r="36" spans="1:89" ht="20">
      <c r="A36" s="29" t="s">
        <v>6618</v>
      </c>
      <c r="B36" s="32" t="s">
        <v>6608</v>
      </c>
      <c r="C36" s="35">
        <v>6.12</v>
      </c>
      <c r="D36" s="32" t="s">
        <v>6608</v>
      </c>
      <c r="E36" s="35">
        <v>7.21</v>
      </c>
      <c r="F36" s="32" t="s">
        <v>6608</v>
      </c>
      <c r="G36" s="35">
        <v>13.14</v>
      </c>
      <c r="H36" s="32" t="s">
        <v>6608</v>
      </c>
      <c r="I36" s="35">
        <v>14.57</v>
      </c>
      <c r="O36" s="81" t="s">
        <v>6609</v>
      </c>
      <c r="P36" s="82"/>
      <c r="Q36" s="82"/>
      <c r="R36" s="82"/>
      <c r="S36" s="82"/>
      <c r="T36" s="82"/>
      <c r="U36" s="82"/>
      <c r="V36" s="82"/>
      <c r="W36" s="82"/>
      <c r="X36" s="82"/>
      <c r="Y36" s="82"/>
      <c r="Z36" s="82"/>
      <c r="AA36" s="83"/>
      <c r="AB36" s="32" t="s">
        <v>6608</v>
      </c>
      <c r="AC36" s="33"/>
      <c r="AD36" s="33"/>
      <c r="AE36" s="33"/>
      <c r="AF36" s="33"/>
      <c r="AG36" s="33"/>
      <c r="AH36" s="33"/>
      <c r="AI36" s="33"/>
      <c r="AJ36" s="34"/>
      <c r="AK36" s="35">
        <v>3.96</v>
      </c>
      <c r="AL36" s="36"/>
      <c r="AM36" s="36"/>
      <c r="AN36" s="36"/>
      <c r="AO36" s="36"/>
      <c r="AP36" s="36"/>
      <c r="AQ36" s="36"/>
      <c r="AR36" s="36"/>
      <c r="AS36" s="36"/>
      <c r="AT36" s="36"/>
      <c r="AU36" s="36"/>
      <c r="AV36" s="36"/>
      <c r="AW36" s="37"/>
      <c r="AX36" s="75"/>
      <c r="AY36" s="76"/>
      <c r="AZ36" s="76"/>
      <c r="BA36" s="76"/>
      <c r="BB36" s="76"/>
      <c r="BC36" s="76"/>
      <c r="BD36" s="76"/>
      <c r="BE36" s="77"/>
      <c r="BF36" s="29" t="s">
        <v>6618</v>
      </c>
      <c r="BG36" s="30"/>
      <c r="BH36" s="30"/>
      <c r="BI36" s="30"/>
      <c r="BJ36" s="30"/>
      <c r="BK36" s="30"/>
      <c r="BL36" s="30"/>
      <c r="BM36" s="30"/>
      <c r="BN36" s="30"/>
      <c r="BO36" s="30"/>
      <c r="BP36" s="30"/>
      <c r="BQ36" s="31"/>
      <c r="BR36" s="32" t="s">
        <v>6608</v>
      </c>
      <c r="BS36" s="33"/>
      <c r="BT36" s="33"/>
      <c r="BU36" s="33"/>
      <c r="BV36" s="33"/>
      <c r="BW36" s="34"/>
      <c r="BX36" s="35">
        <v>7.51</v>
      </c>
      <c r="BY36" s="36"/>
      <c r="BZ36" s="36"/>
      <c r="CA36" s="36"/>
      <c r="CB36" s="36"/>
      <c r="CC36" s="36"/>
      <c r="CD36" s="36"/>
      <c r="CE36" s="36"/>
      <c r="CF36" s="36"/>
      <c r="CG36" s="36"/>
      <c r="CH36" s="36"/>
      <c r="CI36" s="36"/>
      <c r="CJ36" s="36"/>
      <c r="CK36" s="37"/>
    </row>
    <row r="37" spans="1:89" ht="20">
      <c r="A37" s="29" t="s">
        <v>6619</v>
      </c>
      <c r="B37" s="32" t="s">
        <v>6608</v>
      </c>
      <c r="C37" s="35">
        <v>6.42</v>
      </c>
      <c r="D37" s="32" t="s">
        <v>6608</v>
      </c>
      <c r="E37" s="35">
        <v>7.54</v>
      </c>
      <c r="F37" s="32" t="s">
        <v>6608</v>
      </c>
      <c r="G37" s="35">
        <v>13.49</v>
      </c>
      <c r="H37" s="32" t="s">
        <v>6608</v>
      </c>
      <c r="I37" s="35">
        <v>14.96</v>
      </c>
      <c r="O37" s="81" t="s">
        <v>6610</v>
      </c>
      <c r="P37" s="82"/>
      <c r="Q37" s="82"/>
      <c r="R37" s="82"/>
      <c r="S37" s="82"/>
      <c r="T37" s="82"/>
      <c r="U37" s="82"/>
      <c r="V37" s="82"/>
      <c r="W37" s="82"/>
      <c r="X37" s="82"/>
      <c r="Y37" s="82"/>
      <c r="Z37" s="82"/>
      <c r="AA37" s="83"/>
      <c r="AB37" s="32" t="s">
        <v>6608</v>
      </c>
      <c r="AC37" s="33"/>
      <c r="AD37" s="33"/>
      <c r="AE37" s="33"/>
      <c r="AF37" s="33"/>
      <c r="AG37" s="33"/>
      <c r="AH37" s="33"/>
      <c r="AI37" s="33"/>
      <c r="AJ37" s="34"/>
      <c r="AK37" s="35">
        <v>4.41</v>
      </c>
      <c r="AL37" s="36"/>
      <c r="AM37" s="36"/>
      <c r="AN37" s="36"/>
      <c r="AO37" s="36"/>
      <c r="AP37" s="36"/>
      <c r="AQ37" s="36"/>
      <c r="AR37" s="36"/>
      <c r="AS37" s="36"/>
      <c r="AT37" s="36"/>
      <c r="AU37" s="36"/>
      <c r="AV37" s="36"/>
      <c r="AW37" s="37"/>
      <c r="AX37" s="75"/>
      <c r="AY37" s="76"/>
      <c r="AZ37" s="76"/>
      <c r="BA37" s="76"/>
      <c r="BB37" s="76"/>
      <c r="BC37" s="76"/>
      <c r="BD37" s="76"/>
      <c r="BE37" s="77"/>
      <c r="BF37" s="29" t="s">
        <v>6619</v>
      </c>
      <c r="BG37" s="30"/>
      <c r="BH37" s="30"/>
      <c r="BI37" s="30"/>
      <c r="BJ37" s="30"/>
      <c r="BK37" s="30"/>
      <c r="BL37" s="30"/>
      <c r="BM37" s="30"/>
      <c r="BN37" s="30"/>
      <c r="BO37" s="30"/>
      <c r="BP37" s="30"/>
      <c r="BQ37" s="31"/>
      <c r="BR37" s="32" t="s">
        <v>6608</v>
      </c>
      <c r="BS37" s="33"/>
      <c r="BT37" s="33"/>
      <c r="BU37" s="33"/>
      <c r="BV37" s="33"/>
      <c r="BW37" s="34"/>
      <c r="BX37" s="35">
        <v>7.84</v>
      </c>
      <c r="BY37" s="36"/>
      <c r="BZ37" s="36"/>
      <c r="CA37" s="36"/>
      <c r="CB37" s="36"/>
      <c r="CC37" s="36"/>
      <c r="CD37" s="36"/>
      <c r="CE37" s="36"/>
      <c r="CF37" s="36"/>
      <c r="CG37" s="36"/>
      <c r="CH37" s="36"/>
      <c r="CI37" s="36"/>
      <c r="CJ37" s="36"/>
      <c r="CK37" s="37"/>
    </row>
    <row r="38" spans="1:89" ht="20">
      <c r="A38" s="29" t="s">
        <v>6620</v>
      </c>
      <c r="B38" s="32" t="s">
        <v>6608</v>
      </c>
      <c r="C38" s="35">
        <v>6.73</v>
      </c>
      <c r="D38" s="32" t="s">
        <v>6608</v>
      </c>
      <c r="E38" s="35">
        <v>7.85</v>
      </c>
      <c r="F38" s="32" t="s">
        <v>6608</v>
      </c>
      <c r="G38" s="35">
        <v>13.96</v>
      </c>
      <c r="H38" s="32" t="s">
        <v>6608</v>
      </c>
      <c r="I38" s="35">
        <v>15.44</v>
      </c>
      <c r="O38" s="81" t="s">
        <v>6611</v>
      </c>
      <c r="P38" s="82"/>
      <c r="Q38" s="82"/>
      <c r="R38" s="82"/>
      <c r="S38" s="82"/>
      <c r="T38" s="82"/>
      <c r="U38" s="82"/>
      <c r="V38" s="82"/>
      <c r="W38" s="82"/>
      <c r="X38" s="82"/>
      <c r="Y38" s="82"/>
      <c r="Z38" s="82"/>
      <c r="AA38" s="83"/>
      <c r="AB38" s="32" t="s">
        <v>6608</v>
      </c>
      <c r="AC38" s="33"/>
      <c r="AD38" s="33"/>
      <c r="AE38" s="33"/>
      <c r="AF38" s="33"/>
      <c r="AG38" s="33"/>
      <c r="AH38" s="33"/>
      <c r="AI38" s="33"/>
      <c r="AJ38" s="34"/>
      <c r="AK38" s="35">
        <v>4.79</v>
      </c>
      <c r="AL38" s="36"/>
      <c r="AM38" s="36"/>
      <c r="AN38" s="36"/>
      <c r="AO38" s="36"/>
      <c r="AP38" s="36"/>
      <c r="AQ38" s="36"/>
      <c r="AR38" s="36"/>
      <c r="AS38" s="36"/>
      <c r="AT38" s="36"/>
      <c r="AU38" s="36"/>
      <c r="AV38" s="36"/>
      <c r="AW38" s="37"/>
      <c r="AX38" s="75"/>
      <c r="AY38" s="76"/>
      <c r="AZ38" s="76"/>
      <c r="BA38" s="76"/>
      <c r="BB38" s="76"/>
      <c r="BC38" s="76"/>
      <c r="BD38" s="76"/>
      <c r="BE38" s="77"/>
      <c r="BF38" s="29" t="s">
        <v>6620</v>
      </c>
      <c r="BG38" s="30"/>
      <c r="BH38" s="30"/>
      <c r="BI38" s="30"/>
      <c r="BJ38" s="30"/>
      <c r="BK38" s="30"/>
      <c r="BL38" s="30"/>
      <c r="BM38" s="30"/>
      <c r="BN38" s="30"/>
      <c r="BO38" s="30"/>
      <c r="BP38" s="30"/>
      <c r="BQ38" s="31"/>
      <c r="BR38" s="32" t="s">
        <v>6608</v>
      </c>
      <c r="BS38" s="33"/>
      <c r="BT38" s="33"/>
      <c r="BU38" s="33"/>
      <c r="BV38" s="33"/>
      <c r="BW38" s="34"/>
      <c r="BX38" s="35">
        <v>8.16</v>
      </c>
      <c r="BY38" s="36"/>
      <c r="BZ38" s="36"/>
      <c r="CA38" s="36"/>
      <c r="CB38" s="36"/>
      <c r="CC38" s="36"/>
      <c r="CD38" s="36"/>
      <c r="CE38" s="36"/>
      <c r="CF38" s="36"/>
      <c r="CG38" s="36"/>
      <c r="CH38" s="36"/>
      <c r="CI38" s="36"/>
      <c r="CJ38" s="36"/>
      <c r="CK38" s="37"/>
    </row>
    <row r="39" spans="1:89" ht="20">
      <c r="A39" s="29" t="s">
        <v>6621</v>
      </c>
      <c r="B39" s="32" t="s">
        <v>6608</v>
      </c>
      <c r="C39" s="35">
        <v>7.05</v>
      </c>
      <c r="D39" s="32" t="s">
        <v>6608</v>
      </c>
      <c r="E39" s="35">
        <v>8.17</v>
      </c>
      <c r="F39" s="32" t="s">
        <v>6608</v>
      </c>
      <c r="G39" s="35">
        <v>14.35</v>
      </c>
      <c r="H39" s="32" t="s">
        <v>6608</v>
      </c>
      <c r="I39" s="35">
        <v>15.93</v>
      </c>
      <c r="O39" s="81" t="s">
        <v>6612</v>
      </c>
      <c r="P39" s="82"/>
      <c r="Q39" s="82"/>
      <c r="R39" s="82"/>
      <c r="S39" s="82"/>
      <c r="T39" s="82"/>
      <c r="U39" s="82"/>
      <c r="V39" s="82"/>
      <c r="W39" s="82"/>
      <c r="X39" s="82"/>
      <c r="Y39" s="82"/>
      <c r="Z39" s="82"/>
      <c r="AA39" s="83"/>
      <c r="AB39" s="32" t="s">
        <v>6608</v>
      </c>
      <c r="AC39" s="33"/>
      <c r="AD39" s="33"/>
      <c r="AE39" s="33"/>
      <c r="AF39" s="33"/>
      <c r="AG39" s="33"/>
      <c r="AH39" s="33"/>
      <c r="AI39" s="33"/>
      <c r="AJ39" s="34"/>
      <c r="AK39" s="35">
        <v>5.1100000000000003</v>
      </c>
      <c r="AL39" s="36"/>
      <c r="AM39" s="36"/>
      <c r="AN39" s="36"/>
      <c r="AO39" s="36"/>
      <c r="AP39" s="36"/>
      <c r="AQ39" s="36"/>
      <c r="AR39" s="36"/>
      <c r="AS39" s="36"/>
      <c r="AT39" s="36"/>
      <c r="AU39" s="36"/>
      <c r="AV39" s="36"/>
      <c r="AW39" s="37"/>
      <c r="AX39" s="75"/>
      <c r="AY39" s="76"/>
      <c r="AZ39" s="76"/>
      <c r="BA39" s="76"/>
      <c r="BB39" s="76"/>
      <c r="BC39" s="76"/>
      <c r="BD39" s="76"/>
      <c r="BE39" s="77"/>
      <c r="BF39" s="29" t="s">
        <v>6621</v>
      </c>
      <c r="BG39" s="30"/>
      <c r="BH39" s="30"/>
      <c r="BI39" s="30"/>
      <c r="BJ39" s="30"/>
      <c r="BK39" s="30"/>
      <c r="BL39" s="30"/>
      <c r="BM39" s="30"/>
      <c r="BN39" s="30"/>
      <c r="BO39" s="30"/>
      <c r="BP39" s="30"/>
      <c r="BQ39" s="31"/>
      <c r="BR39" s="32" t="s">
        <v>6608</v>
      </c>
      <c r="BS39" s="33"/>
      <c r="BT39" s="33"/>
      <c r="BU39" s="33"/>
      <c r="BV39" s="33"/>
      <c r="BW39" s="34"/>
      <c r="BX39" s="35">
        <v>8.52</v>
      </c>
      <c r="BY39" s="36"/>
      <c r="BZ39" s="36"/>
      <c r="CA39" s="36"/>
      <c r="CB39" s="36"/>
      <c r="CC39" s="36"/>
      <c r="CD39" s="36"/>
      <c r="CE39" s="36"/>
      <c r="CF39" s="36"/>
      <c r="CG39" s="36"/>
      <c r="CH39" s="36"/>
      <c r="CI39" s="36"/>
      <c r="CJ39" s="36"/>
      <c r="CK39" s="37"/>
    </row>
    <row r="40" spans="1:89" ht="20">
      <c r="A40" s="29" t="s">
        <v>6622</v>
      </c>
      <c r="B40" s="32" t="s">
        <v>6608</v>
      </c>
      <c r="C40" s="35">
        <v>7.58</v>
      </c>
      <c r="D40" s="32" t="s">
        <v>6608</v>
      </c>
      <c r="E40" s="35">
        <v>8.51</v>
      </c>
      <c r="F40" s="32" t="s">
        <v>6608</v>
      </c>
      <c r="G40" s="35">
        <v>14.92</v>
      </c>
      <c r="H40" s="32" t="s">
        <v>6608</v>
      </c>
      <c r="I40" s="35">
        <v>16.5</v>
      </c>
      <c r="O40" s="81" t="s">
        <v>6613</v>
      </c>
      <c r="P40" s="82"/>
      <c r="Q40" s="82"/>
      <c r="R40" s="82"/>
      <c r="S40" s="82"/>
      <c r="T40" s="82"/>
      <c r="U40" s="82"/>
      <c r="V40" s="82"/>
      <c r="W40" s="82"/>
      <c r="X40" s="82"/>
      <c r="Y40" s="82"/>
      <c r="Z40" s="82"/>
      <c r="AA40" s="83"/>
      <c r="AB40" s="32" t="s">
        <v>6608</v>
      </c>
      <c r="AC40" s="33"/>
      <c r="AD40" s="33"/>
      <c r="AE40" s="33"/>
      <c r="AF40" s="33"/>
      <c r="AG40" s="33"/>
      <c r="AH40" s="33"/>
      <c r="AI40" s="33"/>
      <c r="AJ40" s="34"/>
      <c r="AK40" s="35">
        <v>5.55</v>
      </c>
      <c r="AL40" s="36"/>
      <c r="AM40" s="36"/>
      <c r="AN40" s="36"/>
      <c r="AO40" s="36"/>
      <c r="AP40" s="36"/>
      <c r="AQ40" s="36"/>
      <c r="AR40" s="36"/>
      <c r="AS40" s="36"/>
      <c r="AT40" s="36"/>
      <c r="AU40" s="36"/>
      <c r="AV40" s="36"/>
      <c r="AW40" s="37"/>
      <c r="AX40" s="75"/>
      <c r="AY40" s="76"/>
      <c r="AZ40" s="76"/>
      <c r="BA40" s="76"/>
      <c r="BB40" s="76"/>
      <c r="BC40" s="76"/>
      <c r="BD40" s="76"/>
      <c r="BE40" s="77"/>
      <c r="BF40" s="29" t="s">
        <v>6622</v>
      </c>
      <c r="BG40" s="30"/>
      <c r="BH40" s="30"/>
      <c r="BI40" s="30"/>
      <c r="BJ40" s="30"/>
      <c r="BK40" s="30"/>
      <c r="BL40" s="30"/>
      <c r="BM40" s="30"/>
      <c r="BN40" s="30"/>
      <c r="BO40" s="30"/>
      <c r="BP40" s="30"/>
      <c r="BQ40" s="31"/>
      <c r="BR40" s="32" t="s">
        <v>6608</v>
      </c>
      <c r="BS40" s="33"/>
      <c r="BT40" s="33"/>
      <c r="BU40" s="33"/>
      <c r="BV40" s="33"/>
      <c r="BW40" s="34"/>
      <c r="BX40" s="35">
        <v>8.83</v>
      </c>
      <c r="BY40" s="36"/>
      <c r="BZ40" s="36"/>
      <c r="CA40" s="36"/>
      <c r="CB40" s="36"/>
      <c r="CC40" s="36"/>
      <c r="CD40" s="36"/>
      <c r="CE40" s="36"/>
      <c r="CF40" s="36"/>
      <c r="CG40" s="36"/>
      <c r="CH40" s="36"/>
      <c r="CI40" s="36"/>
      <c r="CJ40" s="36"/>
      <c r="CK40" s="37"/>
    </row>
    <row r="41" spans="1:89" ht="20">
      <c r="A41" s="29" t="s">
        <v>6623</v>
      </c>
      <c r="B41" s="32" t="s">
        <v>6608</v>
      </c>
      <c r="C41" s="35">
        <v>7.65</v>
      </c>
      <c r="D41" s="32" t="s">
        <v>6608</v>
      </c>
      <c r="E41" s="35">
        <v>8.82</v>
      </c>
      <c r="F41" s="32" t="s">
        <v>6608</v>
      </c>
      <c r="G41" s="35">
        <v>15.12</v>
      </c>
      <c r="H41" s="32" t="s">
        <v>6608</v>
      </c>
      <c r="I41" s="35">
        <v>16.75</v>
      </c>
      <c r="O41" s="81" t="s">
        <v>6614</v>
      </c>
      <c r="P41" s="82"/>
      <c r="Q41" s="82"/>
      <c r="R41" s="82"/>
      <c r="S41" s="82"/>
      <c r="T41" s="82"/>
      <c r="U41" s="82"/>
      <c r="V41" s="82"/>
      <c r="W41" s="82"/>
      <c r="X41" s="82"/>
      <c r="Y41" s="82"/>
      <c r="Z41" s="82"/>
      <c r="AA41" s="83"/>
      <c r="AB41" s="32" t="s">
        <v>6608</v>
      </c>
      <c r="AC41" s="33"/>
      <c r="AD41" s="33"/>
      <c r="AE41" s="33"/>
      <c r="AF41" s="33"/>
      <c r="AG41" s="33"/>
      <c r="AH41" s="33"/>
      <c r="AI41" s="33"/>
      <c r="AJ41" s="34"/>
      <c r="AK41" s="35">
        <v>5.95</v>
      </c>
      <c r="AL41" s="36"/>
      <c r="AM41" s="36"/>
      <c r="AN41" s="36"/>
      <c r="AO41" s="36"/>
      <c r="AP41" s="36"/>
      <c r="AQ41" s="36"/>
      <c r="AR41" s="36"/>
      <c r="AS41" s="36"/>
      <c r="AT41" s="36"/>
      <c r="AU41" s="36"/>
      <c r="AV41" s="36"/>
      <c r="AW41" s="37"/>
      <c r="AX41" s="75"/>
      <c r="AY41" s="76"/>
      <c r="AZ41" s="76"/>
      <c r="BA41" s="76"/>
      <c r="BB41" s="76"/>
      <c r="BC41" s="76"/>
      <c r="BD41" s="76"/>
      <c r="BE41" s="77"/>
      <c r="BF41" s="29" t="s">
        <v>6623</v>
      </c>
      <c r="BG41" s="30"/>
      <c r="BH41" s="30"/>
      <c r="BI41" s="30"/>
      <c r="BJ41" s="30"/>
      <c r="BK41" s="30"/>
      <c r="BL41" s="30"/>
      <c r="BM41" s="30"/>
      <c r="BN41" s="30"/>
      <c r="BO41" s="30"/>
      <c r="BP41" s="30"/>
      <c r="BQ41" s="31"/>
      <c r="BR41" s="32" t="s">
        <v>6608</v>
      </c>
      <c r="BS41" s="33"/>
      <c r="BT41" s="33"/>
      <c r="BU41" s="33"/>
      <c r="BV41" s="33"/>
      <c r="BW41" s="34"/>
      <c r="BX41" s="35">
        <v>9.15</v>
      </c>
      <c r="BY41" s="36"/>
      <c r="BZ41" s="36"/>
      <c r="CA41" s="36"/>
      <c r="CB41" s="36"/>
      <c r="CC41" s="36"/>
      <c r="CD41" s="36"/>
      <c r="CE41" s="36"/>
      <c r="CF41" s="36"/>
      <c r="CG41" s="36"/>
      <c r="CH41" s="36"/>
      <c r="CI41" s="36"/>
      <c r="CJ41" s="36"/>
      <c r="CK41" s="37"/>
    </row>
    <row r="42" spans="1:89" ht="15" customHeight="1">
      <c r="A42" s="38" t="s">
        <v>6624</v>
      </c>
      <c r="B42" s="29" t="s">
        <v>6625</v>
      </c>
      <c r="C42" s="35">
        <v>9.8200000000000006E-3</v>
      </c>
      <c r="D42" s="29" t="s">
        <v>6625</v>
      </c>
      <c r="E42" s="35">
        <v>1.111E-2</v>
      </c>
      <c r="F42" s="29" t="s">
        <v>6625</v>
      </c>
      <c r="G42" s="35">
        <v>1.431E-2</v>
      </c>
      <c r="H42" s="29" t="s">
        <v>6625</v>
      </c>
      <c r="I42" s="35">
        <v>1.6199999999999999E-2</v>
      </c>
      <c r="O42" s="81" t="s">
        <v>6615</v>
      </c>
      <c r="P42" s="82"/>
      <c r="Q42" s="82"/>
      <c r="R42" s="82"/>
      <c r="S42" s="82"/>
      <c r="T42" s="82"/>
      <c r="U42" s="82"/>
      <c r="V42" s="82"/>
      <c r="W42" s="82"/>
      <c r="X42" s="82"/>
      <c r="Y42" s="82"/>
      <c r="Z42" s="82"/>
      <c r="AA42" s="83"/>
      <c r="AB42" s="32" t="s">
        <v>6608</v>
      </c>
      <c r="AC42" s="33"/>
      <c r="AD42" s="33"/>
      <c r="AE42" s="33"/>
      <c r="AF42" s="33"/>
      <c r="AG42" s="33"/>
      <c r="AH42" s="33"/>
      <c r="AI42" s="33"/>
      <c r="AJ42" s="34"/>
      <c r="AK42" s="35">
        <v>6.33</v>
      </c>
      <c r="AL42" s="36"/>
      <c r="AM42" s="36"/>
      <c r="AN42" s="36"/>
      <c r="AO42" s="36"/>
      <c r="AP42" s="36"/>
      <c r="AQ42" s="36"/>
      <c r="AR42" s="36"/>
      <c r="AS42" s="36"/>
      <c r="AT42" s="36"/>
      <c r="AU42" s="36"/>
      <c r="AV42" s="36"/>
      <c r="AW42" s="37"/>
      <c r="AX42" s="75"/>
      <c r="AY42" s="76"/>
      <c r="AZ42" s="76"/>
      <c r="BA42" s="76"/>
      <c r="BB42" s="76"/>
      <c r="BC42" s="76"/>
      <c r="BD42" s="76"/>
      <c r="BE42" s="77"/>
      <c r="BF42" s="29" t="s">
        <v>6638</v>
      </c>
      <c r="BG42" s="30"/>
      <c r="BH42" s="30"/>
      <c r="BI42" s="30"/>
      <c r="BJ42" s="30"/>
      <c r="BK42" s="30"/>
      <c r="BL42" s="30"/>
      <c r="BM42" s="30"/>
      <c r="BN42" s="30"/>
      <c r="BO42" s="30"/>
      <c r="BP42" s="30"/>
      <c r="BQ42" s="31"/>
      <c r="BR42" s="29" t="s">
        <v>6625</v>
      </c>
      <c r="BS42" s="30"/>
      <c r="BT42" s="30"/>
      <c r="BU42" s="30"/>
      <c r="BV42" s="30"/>
      <c r="BW42" s="31"/>
      <c r="BX42" s="35">
        <v>1.1509999999999999E-2</v>
      </c>
      <c r="BY42" s="36"/>
      <c r="BZ42" s="36"/>
      <c r="CA42" s="36"/>
      <c r="CB42" s="36"/>
      <c r="CC42" s="36"/>
      <c r="CD42" s="36"/>
      <c r="CE42" s="36"/>
      <c r="CF42" s="36"/>
      <c r="CG42" s="36"/>
      <c r="CH42" s="36"/>
      <c r="CI42" s="36"/>
      <c r="CJ42" s="36"/>
      <c r="CK42" s="37"/>
    </row>
    <row r="43" spans="1:89" ht="20">
      <c r="O43" s="81" t="s">
        <v>6616</v>
      </c>
      <c r="P43" s="82"/>
      <c r="Q43" s="82"/>
      <c r="R43" s="82"/>
      <c r="S43" s="82"/>
      <c r="T43" s="82"/>
      <c r="U43" s="82"/>
      <c r="V43" s="82"/>
      <c r="W43" s="82"/>
      <c r="X43" s="82"/>
      <c r="Y43" s="82"/>
      <c r="Z43" s="82"/>
      <c r="AA43" s="83"/>
      <c r="AB43" s="32" t="s">
        <v>6608</v>
      </c>
      <c r="AC43" s="33"/>
      <c r="AD43" s="33"/>
      <c r="AE43" s="33"/>
      <c r="AF43" s="33"/>
      <c r="AG43" s="33"/>
      <c r="AH43" s="33"/>
      <c r="AI43" s="33"/>
      <c r="AJ43" s="34"/>
      <c r="AK43" s="35">
        <v>6.77</v>
      </c>
      <c r="AL43" s="36"/>
      <c r="AM43" s="36"/>
      <c r="AN43" s="36"/>
      <c r="AO43" s="36"/>
      <c r="AP43" s="36"/>
      <c r="AQ43" s="36"/>
      <c r="AR43" s="36"/>
      <c r="AS43" s="36"/>
      <c r="AT43" s="36"/>
      <c r="AU43" s="36"/>
      <c r="AV43" s="36"/>
      <c r="AW43" s="37"/>
      <c r="AX43" s="84"/>
      <c r="AY43" s="85"/>
      <c r="AZ43" s="85"/>
      <c r="BA43" s="85"/>
      <c r="BB43" s="85"/>
      <c r="BC43" s="85"/>
      <c r="BD43" s="85"/>
      <c r="BE43" s="85"/>
      <c r="BF43" s="85"/>
      <c r="BG43" s="85"/>
      <c r="BH43" s="85"/>
      <c r="BI43" s="85"/>
      <c r="BJ43" s="85"/>
      <c r="BK43" s="85"/>
      <c r="BL43" s="85"/>
      <c r="BM43" s="85"/>
      <c r="BN43" s="85"/>
      <c r="BO43" s="85"/>
      <c r="BP43" s="85"/>
      <c r="BQ43" s="85"/>
      <c r="BR43" s="85"/>
      <c r="BS43" s="85"/>
      <c r="BT43" s="85"/>
      <c r="BU43" s="85"/>
      <c r="BV43" s="85"/>
      <c r="BW43" s="85"/>
      <c r="BX43" s="85"/>
      <c r="BY43" s="85"/>
      <c r="BZ43" s="85"/>
      <c r="CA43" s="85"/>
      <c r="CB43" s="85"/>
      <c r="CC43" s="85"/>
      <c r="CD43" s="85"/>
      <c r="CE43" s="85"/>
      <c r="CF43" s="85"/>
      <c r="CG43" s="85"/>
      <c r="CH43" s="85"/>
      <c r="CI43" s="85"/>
      <c r="CJ43" s="85"/>
      <c r="CK43" s="85"/>
    </row>
  </sheetData>
  <mergeCells count="8">
    <mergeCell ref="B2:C2"/>
    <mergeCell ref="D2:E2"/>
    <mergeCell ref="F2:G2"/>
    <mergeCell ref="H2:I2"/>
    <mergeCell ref="B23:C23"/>
    <mergeCell ref="D23:E23"/>
    <mergeCell ref="F23:G23"/>
    <mergeCell ref="H23:I23"/>
  </mergeCells>
  <pageMargins left="0.7" right="0.7" top="0.75" bottom="0.75" header="0.3" footer="0.3"/>
  <headerFooter>
    <oddHeader>&amp;R&amp;"Arial"&amp;11&amp;KFF7300 MANN+HUMMEL - Confidential&amp;1#_x000D_</oddHead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3B59E6-54FF-437E-A0D3-D0877CDEE431}">
  <sheetPr codeName="Sheet8"/>
  <dimension ref="G2:I13"/>
  <sheetViews>
    <sheetView workbookViewId="0"/>
  </sheetViews>
  <sheetFormatPr defaultRowHeight="14.5"/>
  <cols>
    <col min="7" max="7" width="20.81640625" customWidth="1"/>
    <col min="8" max="8" width="32.7265625" bestFit="1" customWidth="1"/>
    <col min="9" max="9" width="12.81640625" bestFit="1" customWidth="1"/>
  </cols>
  <sheetData>
    <row r="2" spans="7:9">
      <c r="G2" s="101" t="s">
        <v>6217</v>
      </c>
      <c r="H2" s="101" t="s">
        <v>6192</v>
      </c>
      <c r="I2" s="101" t="s">
        <v>60</v>
      </c>
    </row>
    <row r="3" spans="7:9">
      <c r="G3" s="101">
        <v>246</v>
      </c>
      <c r="H3" s="101" t="s">
        <v>6170</v>
      </c>
      <c r="I3" s="101">
        <v>130</v>
      </c>
    </row>
    <row r="4" spans="7:9">
      <c r="G4" s="101">
        <v>247</v>
      </c>
      <c r="H4" s="101" t="s">
        <v>6223</v>
      </c>
      <c r="I4" s="101">
        <v>132</v>
      </c>
    </row>
    <row r="5" spans="7:9">
      <c r="G5" s="101">
        <v>248</v>
      </c>
      <c r="H5" s="101" t="s">
        <v>6225</v>
      </c>
      <c r="I5" s="101">
        <v>134</v>
      </c>
    </row>
    <row r="6" spans="7:9">
      <c r="G6" s="101">
        <v>254</v>
      </c>
      <c r="H6" s="101" t="s">
        <v>6228</v>
      </c>
      <c r="I6" s="101">
        <v>152</v>
      </c>
    </row>
    <row r="7" spans="7:9">
      <c r="G7" s="101">
        <v>250</v>
      </c>
      <c r="H7" s="101" t="s">
        <v>6230</v>
      </c>
      <c r="I7" s="101">
        <v>136</v>
      </c>
    </row>
    <row r="8" spans="7:9">
      <c r="G8" s="101">
        <v>256</v>
      </c>
      <c r="H8" s="101" t="s">
        <v>6232</v>
      </c>
      <c r="I8" s="101">
        <v>176</v>
      </c>
    </row>
    <row r="9" spans="7:9">
      <c r="G9" s="101">
        <v>251</v>
      </c>
      <c r="H9" s="101" t="s">
        <v>6235</v>
      </c>
      <c r="I9" s="101">
        <v>140</v>
      </c>
    </row>
    <row r="10" spans="7:9">
      <c r="G10" s="101">
        <v>252</v>
      </c>
      <c r="H10" s="101" t="s">
        <v>6237</v>
      </c>
      <c r="I10" s="101">
        <v>143</v>
      </c>
    </row>
    <row r="11" spans="7:9">
      <c r="G11" s="101">
        <v>255</v>
      </c>
      <c r="H11" s="101" t="s">
        <v>6239</v>
      </c>
      <c r="I11" s="101">
        <v>170</v>
      </c>
    </row>
    <row r="12" spans="7:9">
      <c r="G12" s="101">
        <v>234</v>
      </c>
      <c r="H12" s="101" t="s">
        <v>6444</v>
      </c>
      <c r="I12" s="101" t="s">
        <v>6438</v>
      </c>
    </row>
    <row r="13" spans="7:9">
      <c r="G13" s="101">
        <v>294</v>
      </c>
      <c r="H13" s="101" t="s">
        <v>6435</v>
      </c>
      <c r="I13" s="101" t="s">
        <v>6449</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lcf76f155ced4ddcb4097134ff3c332f xmlns="3bc9ec7c-cea8-49c6-b544-03b72fe972a1">
      <Terms xmlns="http://schemas.microsoft.com/office/infopath/2007/PartnerControls"/>
    </lcf76f155ced4ddcb4097134ff3c332f>
    <TaxCatchAll xmlns="7928f420-6878-45c9-b773-261e6af55842" xsi:nil="true"/>
  </documentManagement>
</p:properties>
</file>

<file path=customXml/item2.xml><?xml version="1.0" encoding="utf-8"?>
<SyracuseOfficeCustomData>{"createMode":"plain_doc","forceRefresh":"0"}</SyracuseOfficeCustomData>
</file>

<file path=customXml/item3.xml><?xml version="1.0" encoding="utf-8"?>
<ct:contentTypeSchema xmlns:ct="http://schemas.microsoft.com/office/2006/metadata/contentType" xmlns:ma="http://schemas.microsoft.com/office/2006/metadata/properties/metaAttributes" ct:_="" ma:_="" ma:contentTypeName="Document" ma:contentTypeID="0x010100516A5D9B687A874993984709F89C4FD3" ma:contentTypeVersion="14" ma:contentTypeDescription="Create a new document." ma:contentTypeScope="" ma:versionID="ccaf32698751752f6252585dee62b496">
  <xsd:schema xmlns:xsd="http://www.w3.org/2001/XMLSchema" xmlns:xs="http://www.w3.org/2001/XMLSchema" xmlns:p="http://schemas.microsoft.com/office/2006/metadata/properties" xmlns:ns1="http://schemas.microsoft.com/sharepoint/v3" xmlns:ns2="3bc9ec7c-cea8-49c6-b544-03b72fe972a1" xmlns:ns3="7928f420-6878-45c9-b773-261e6af55842" targetNamespace="http://schemas.microsoft.com/office/2006/metadata/properties" ma:root="true" ma:fieldsID="d99a6079c0a0d87f4a48196db24d60ac" ns1:_="" ns2:_="" ns3:_="">
    <xsd:import namespace="http://schemas.microsoft.com/sharepoint/v3"/>
    <xsd:import namespace="3bc9ec7c-cea8-49c6-b544-03b72fe972a1"/>
    <xsd:import namespace="7928f420-6878-45c9-b773-261e6af55842"/>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1:_ip_UnifiedCompliancePolicyProperties" minOccurs="0"/>
                <xsd:element ref="ns1:_ip_UnifiedCompliancePolicyUIAction" minOccurs="0"/>
                <xsd:element ref="ns2:lcf76f155ced4ddcb4097134ff3c332f" minOccurs="0"/>
                <xsd:element ref="ns3:TaxCatchAll" minOccurs="0"/>
                <xsd:element ref="ns2:MediaServiceDateTaken" minOccurs="0"/>
                <xsd:element ref="ns2:MediaServiceGenerationTime" minOccurs="0"/>
                <xsd:element ref="ns2:MediaServiceEventHashCode" minOccurs="0"/>
                <xsd:element ref="ns2:MediaLengthInSeconds"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2" nillable="true" ma:displayName="Unified Compliance Policy Properties" ma:hidden="true" ma:internalName="_ip_UnifiedCompliancePolicyProperties">
      <xsd:simpleType>
        <xsd:restriction base="dms:Note"/>
      </xsd:simpleType>
    </xsd:element>
    <xsd:element name="_ip_UnifiedCompliancePolicyUIAction" ma:index="13"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3bc9ec7c-cea8-49c6-b544-03b72fe972a1"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lcf76f155ced4ddcb4097134ff3c332f" ma:index="15" nillable="true" ma:taxonomy="true" ma:internalName="lcf76f155ced4ddcb4097134ff3c332f" ma:taxonomyFieldName="MediaServiceImageTags" ma:displayName="Image Tags" ma:readOnly="false" ma:fieldId="{5cf76f15-5ced-4ddc-b409-7134ff3c332f}" ma:taxonomyMulti="true" ma:sspId="9e03b60e-bf51-46ac-b499-f35eac66f721" ma:termSetId="09814cd3-568e-fe90-9814-8d621ff8fb84" ma:anchorId="fba54fb3-c3e1-fe81-a776-ca4b69148c4d" ma:open="true" ma:isKeyword="false">
      <xsd:complexType>
        <xsd:sequence>
          <xsd:element ref="pc:Terms" minOccurs="0" maxOccurs="1"/>
        </xsd:sequence>
      </xsd:complexType>
    </xsd:element>
    <xsd:element name="MediaServiceDateTaken" ma:index="17" nillable="true" ma:displayName="MediaServiceDateTaken" ma:hidden="true" ma:indexed="true" ma:internalName="MediaServiceDateTaken" ma:readOnly="true">
      <xsd:simpleType>
        <xsd:restriction base="dms:Text"/>
      </xsd:simpleType>
    </xsd:element>
    <xsd:element name="MediaServiceGenerationTime" ma:index="18" nillable="true" ma:displayName="MediaServiceGenerationTime" ma:hidden="true" ma:internalName="MediaServiceGenerationTime" ma:readOnly="true">
      <xsd:simpleType>
        <xsd:restriction base="dms:Text"/>
      </xsd:simpleType>
    </xsd:element>
    <xsd:element name="MediaServiceEventHashCode" ma:index="19" nillable="true" ma:displayName="MediaServiceEventHashCode" ma:hidden="true" ma:internalName="MediaServiceEventHashCode" ma:readOnly="true">
      <xsd:simpleType>
        <xsd:restriction base="dms:Text"/>
      </xsd:simpleType>
    </xsd:element>
    <xsd:element name="MediaLengthInSeconds" ma:index="20" nillable="true" ma:displayName="MediaLengthInSeconds" ma:hidden="true" ma:internalName="MediaLengthInSeconds" ma:readOnly="true">
      <xsd:simpleType>
        <xsd:restriction base="dms:Unknown"/>
      </xsd:simpleType>
    </xsd:element>
    <xsd:element name="MediaServiceBillingMetadata" ma:index="21"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7928f420-6878-45c9-b773-261e6af55842" elementFormDefault="qualified">
    <xsd:import namespace="http://schemas.microsoft.com/office/2006/documentManagement/types"/>
    <xsd:import namespace="http://schemas.microsoft.com/office/infopath/2007/PartnerControls"/>
    <xsd:element name="TaxCatchAll" ma:index="16" nillable="true" ma:displayName="Taxonomy Catch All Column" ma:hidden="true" ma:list="{8aad32b2-e039-4ae5-aaf2-e4bb959842ea}" ma:internalName="TaxCatchAll" ma:showField="CatchAllData" ma:web="7928f420-6878-45c9-b773-261e6af55842">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B04A2952-000C-4560-BDE2-B82CC6E50E4E}">
  <ds:schemaRefs>
    <ds:schemaRef ds:uri="http://schemas.microsoft.com/office/2006/metadata/properties"/>
    <ds:schemaRef ds:uri="http://schemas.microsoft.com/office/infopath/2007/PartnerControls"/>
    <ds:schemaRef ds:uri="http://schemas.microsoft.com/sharepoint/v3"/>
    <ds:schemaRef ds:uri="3bc9ec7c-cea8-49c6-b544-03b72fe972a1"/>
    <ds:schemaRef ds:uri="7928f420-6878-45c9-b773-261e6af55842"/>
  </ds:schemaRefs>
</ds:datastoreItem>
</file>

<file path=customXml/itemProps2.xml><?xml version="1.0" encoding="utf-8"?>
<ds:datastoreItem xmlns:ds="http://schemas.openxmlformats.org/officeDocument/2006/customXml" ds:itemID="{1AA7B127-0E14-4609-8DC0-A8BCC305F674}">
  <ds:schemaRefs/>
</ds:datastoreItem>
</file>

<file path=customXml/itemProps3.xml><?xml version="1.0" encoding="utf-8"?>
<ds:datastoreItem xmlns:ds="http://schemas.openxmlformats.org/officeDocument/2006/customXml" ds:itemID="{FDBD0213-A771-4182-B403-32009D073E6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3bc9ec7c-cea8-49c6-b544-03b72fe972a1"/>
    <ds:schemaRef ds:uri="7928f420-6878-45c9-b773-261e6af5584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0F6EB52A-2EF1-4161-B3E5-4146FA1753D8}">
  <ds:schemaRefs>
    <ds:schemaRef ds:uri="http://schemas.microsoft.com/sharepoint/v3/contenttype/forms"/>
  </ds:schemaRefs>
</ds:datastoreItem>
</file>

<file path=docMetadata/LabelInfo.xml><?xml version="1.0" encoding="utf-8"?>
<clbl:labelList xmlns:clbl="http://schemas.microsoft.com/office/2020/mipLabelMetadata">
  <clbl:label id="{81565f16-7fbc-4976-afe8-8c5680888c13}" enabled="1" method="Privileged" siteId="{23bf2ff5-a6d4-41d1-9e7b-2f86544e44a4}"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222</vt:i4>
      </vt:variant>
    </vt:vector>
  </HeadingPairs>
  <TitlesOfParts>
    <vt:vector size="237" baseType="lpstr">
      <vt:lpstr>Improvements</vt:lpstr>
      <vt:lpstr>Table of Contents</vt:lpstr>
      <vt:lpstr>Output</vt:lpstr>
      <vt:lpstr>Pleats Calc</vt:lpstr>
      <vt:lpstr>Pricing Logic Pleats</vt:lpstr>
      <vt:lpstr>Panels-Links Calc</vt:lpstr>
      <vt:lpstr>Pricing Logic Panels-Links</vt:lpstr>
      <vt:lpstr>Pads Calc</vt:lpstr>
      <vt:lpstr>Pricing Logic Pads</vt:lpstr>
      <vt:lpstr>Sleeves Calc</vt:lpstr>
      <vt:lpstr>Pricing Logic Sleeves</vt:lpstr>
      <vt:lpstr>NAT Price</vt:lpstr>
      <vt:lpstr>Product Guide</vt:lpstr>
      <vt:lpstr>Sheet1</vt:lpstr>
      <vt:lpstr>Sheet2</vt:lpstr>
      <vt:lpstr>Carton_price_pads</vt:lpstr>
      <vt:lpstr>Carton_price_panelslinks</vt:lpstr>
      <vt:lpstr>Carton_Price_pleats</vt:lpstr>
      <vt:lpstr>Carton_price_sleeves</vt:lpstr>
      <vt:lpstr>Carton_qty_pads</vt:lpstr>
      <vt:lpstr>Carton_qty_panelslinks</vt:lpstr>
      <vt:lpstr>Carton_Qty_Pleats</vt:lpstr>
      <vt:lpstr>Carton_qty_sleeves</vt:lpstr>
      <vt:lpstr>Double_11204_1</vt:lpstr>
      <vt:lpstr>Double_11204_2</vt:lpstr>
      <vt:lpstr>Double_12204_1</vt:lpstr>
      <vt:lpstr>Double_12204_2</vt:lpstr>
      <vt:lpstr>Double_21508_1</vt:lpstr>
      <vt:lpstr>Double_21508_2</vt:lpstr>
      <vt:lpstr>Double_21508_4</vt:lpstr>
      <vt:lpstr>Double_23209_1</vt:lpstr>
      <vt:lpstr>Double_23209_2</vt:lpstr>
      <vt:lpstr>Double_23209_4</vt:lpstr>
      <vt:lpstr>Double_23210_1</vt:lpstr>
      <vt:lpstr>Double_23210_2</vt:lpstr>
      <vt:lpstr>Double_23210_4</vt:lpstr>
      <vt:lpstr>Double_23211_1</vt:lpstr>
      <vt:lpstr>Double_23211_2</vt:lpstr>
      <vt:lpstr>Double_23211_4</vt:lpstr>
      <vt:lpstr>Double_23213_1</vt:lpstr>
      <vt:lpstr>Double_23213_2</vt:lpstr>
      <vt:lpstr>Double_23213_4</vt:lpstr>
      <vt:lpstr>Double_23309_1</vt:lpstr>
      <vt:lpstr>Double_23309_2</vt:lpstr>
      <vt:lpstr>Double_23309_4</vt:lpstr>
      <vt:lpstr>Double_23310_1</vt:lpstr>
      <vt:lpstr>Double_23310_2</vt:lpstr>
      <vt:lpstr>Double_23310_4</vt:lpstr>
      <vt:lpstr>Double_23311_1</vt:lpstr>
      <vt:lpstr>Double_23311_2</vt:lpstr>
      <vt:lpstr>Double_23311_4</vt:lpstr>
      <vt:lpstr>max_031_25_25</vt:lpstr>
      <vt:lpstr>max_031_25_48</vt:lpstr>
      <vt:lpstr>max_031_25_78</vt:lpstr>
      <vt:lpstr>max_031_34_78</vt:lpstr>
      <vt:lpstr>max_031_52_78</vt:lpstr>
      <vt:lpstr>max_050_25_25</vt:lpstr>
      <vt:lpstr>max_050_25_48</vt:lpstr>
      <vt:lpstr>max_050_25_78</vt:lpstr>
      <vt:lpstr>max_050_34_78</vt:lpstr>
      <vt:lpstr>max_050_52_78</vt:lpstr>
      <vt:lpstr>max_054_25_25</vt:lpstr>
      <vt:lpstr>max_054_25_48</vt:lpstr>
      <vt:lpstr>max_054_25_78</vt:lpstr>
      <vt:lpstr>max_054_34_78</vt:lpstr>
      <vt:lpstr>max_054_52_78</vt:lpstr>
      <vt:lpstr>max_056_25_25</vt:lpstr>
      <vt:lpstr>max_056_25_48</vt:lpstr>
      <vt:lpstr>max_056_25_78</vt:lpstr>
      <vt:lpstr>max_056_34_78</vt:lpstr>
      <vt:lpstr>max_056_52_78</vt:lpstr>
      <vt:lpstr>max_070</vt:lpstr>
      <vt:lpstr>max_11204</vt:lpstr>
      <vt:lpstr>max_12204</vt:lpstr>
      <vt:lpstr>max_130</vt:lpstr>
      <vt:lpstr>max_132</vt:lpstr>
      <vt:lpstr>max_134</vt:lpstr>
      <vt:lpstr>max_136</vt:lpstr>
      <vt:lpstr>max_140</vt:lpstr>
      <vt:lpstr>max_143</vt:lpstr>
      <vt:lpstr>max_152</vt:lpstr>
      <vt:lpstr>max_170</vt:lpstr>
      <vt:lpstr>max_176</vt:lpstr>
      <vt:lpstr>max_21508</vt:lpstr>
      <vt:lpstr>max_23209</vt:lpstr>
      <vt:lpstr>max_23210</vt:lpstr>
      <vt:lpstr>max_23211</vt:lpstr>
      <vt:lpstr>max_23213</vt:lpstr>
      <vt:lpstr>max_23309</vt:lpstr>
      <vt:lpstr>max_23310</vt:lpstr>
      <vt:lpstr>max_23311</vt:lpstr>
      <vt:lpstr>min_031_25_25</vt:lpstr>
      <vt:lpstr>min_031_25_48</vt:lpstr>
      <vt:lpstr>min_031_25_78</vt:lpstr>
      <vt:lpstr>min_031_34_78</vt:lpstr>
      <vt:lpstr>min_031_52_78</vt:lpstr>
      <vt:lpstr>min_050_25_25</vt:lpstr>
      <vt:lpstr>min_050_25_48</vt:lpstr>
      <vt:lpstr>min_050_25_78</vt:lpstr>
      <vt:lpstr>min_050_34_78</vt:lpstr>
      <vt:lpstr>min_050_52_78</vt:lpstr>
      <vt:lpstr>min_054_25_25</vt:lpstr>
      <vt:lpstr>min_054_25_48</vt:lpstr>
      <vt:lpstr>min_054_25_78</vt:lpstr>
      <vt:lpstr>min_054_34_78</vt:lpstr>
      <vt:lpstr>min_054_52_78</vt:lpstr>
      <vt:lpstr>min_056_25_25</vt:lpstr>
      <vt:lpstr>min_056_25_48</vt:lpstr>
      <vt:lpstr>min_056_25_78</vt:lpstr>
      <vt:lpstr>min_056_34_78</vt:lpstr>
      <vt:lpstr>min_056_52_78</vt:lpstr>
      <vt:lpstr>min_070</vt:lpstr>
      <vt:lpstr>min_11204</vt:lpstr>
      <vt:lpstr>min_12204</vt:lpstr>
      <vt:lpstr>min_130</vt:lpstr>
      <vt:lpstr>min_132</vt:lpstr>
      <vt:lpstr>min_134</vt:lpstr>
      <vt:lpstr>min_136</vt:lpstr>
      <vt:lpstr>min_140</vt:lpstr>
      <vt:lpstr>min_143</vt:lpstr>
      <vt:lpstr>min_152</vt:lpstr>
      <vt:lpstr>min_170</vt:lpstr>
      <vt:lpstr>min_176</vt:lpstr>
      <vt:lpstr>min_21508</vt:lpstr>
      <vt:lpstr>min_23209</vt:lpstr>
      <vt:lpstr>min_23210</vt:lpstr>
      <vt:lpstr>min_23211</vt:lpstr>
      <vt:lpstr>min_23213</vt:lpstr>
      <vt:lpstr>min_23309</vt:lpstr>
      <vt:lpstr>min_23310</vt:lpstr>
      <vt:lpstr>min_23311</vt:lpstr>
      <vt:lpstr>Part_Number_pads</vt:lpstr>
      <vt:lpstr>Part_Number_panelslinks</vt:lpstr>
      <vt:lpstr>Part_Number_Pleats</vt:lpstr>
      <vt:lpstr>Part_Number_sleeves</vt:lpstr>
      <vt:lpstr>price_050_25_25</vt:lpstr>
      <vt:lpstr>price_050_25_48</vt:lpstr>
      <vt:lpstr>price_050_25_78</vt:lpstr>
      <vt:lpstr>price_050_34_78</vt:lpstr>
      <vt:lpstr>price_050_52_78</vt:lpstr>
      <vt:lpstr>price_054_25_25</vt:lpstr>
      <vt:lpstr>price_054_25_48</vt:lpstr>
      <vt:lpstr>price_054_25_78</vt:lpstr>
      <vt:lpstr>price_054_34_78</vt:lpstr>
      <vt:lpstr>price_054_52_78</vt:lpstr>
      <vt:lpstr>price_056_25_25</vt:lpstr>
      <vt:lpstr>price_056_25_48</vt:lpstr>
      <vt:lpstr>price_056_25_78</vt:lpstr>
      <vt:lpstr>price_056_34_78</vt:lpstr>
      <vt:lpstr>price_056_52_78</vt:lpstr>
      <vt:lpstr>price_070</vt:lpstr>
      <vt:lpstr>price_070_at</vt:lpstr>
      <vt:lpstr>price_130</vt:lpstr>
      <vt:lpstr>price_130_at</vt:lpstr>
      <vt:lpstr>price_132</vt:lpstr>
      <vt:lpstr>price_134</vt:lpstr>
      <vt:lpstr>price_136</vt:lpstr>
      <vt:lpstr>price_140</vt:lpstr>
      <vt:lpstr>price_140_at</vt:lpstr>
      <vt:lpstr>price_143</vt:lpstr>
      <vt:lpstr>price_143_at</vt:lpstr>
      <vt:lpstr>price_152</vt:lpstr>
      <vt:lpstr>price_170</vt:lpstr>
      <vt:lpstr>price_176</vt:lpstr>
      <vt:lpstr>Price_pads</vt:lpstr>
      <vt:lpstr>Price_panelslinks</vt:lpstr>
      <vt:lpstr>Price_Pleats</vt:lpstr>
      <vt:lpstr>Price_sleeves</vt:lpstr>
      <vt:lpstr>Product_Family_pads</vt:lpstr>
      <vt:lpstr>Product_Family_panelslinks</vt:lpstr>
      <vt:lpstr>Product_Family_Pleats</vt:lpstr>
      <vt:lpstr>Product_Family_sleeves</vt:lpstr>
      <vt:lpstr>Single_11204_1</vt:lpstr>
      <vt:lpstr>Single_11204_2</vt:lpstr>
      <vt:lpstr>Single_12204_1</vt:lpstr>
      <vt:lpstr>Single_12204_2</vt:lpstr>
      <vt:lpstr>Single_21508_1</vt:lpstr>
      <vt:lpstr>Single_21508_2</vt:lpstr>
      <vt:lpstr>Single_21508_4</vt:lpstr>
      <vt:lpstr>Single_23209_1</vt:lpstr>
      <vt:lpstr>Single_23209_2</vt:lpstr>
      <vt:lpstr>Single_23209_4</vt:lpstr>
      <vt:lpstr>Single_23210_1</vt:lpstr>
      <vt:lpstr>Single_23210_2</vt:lpstr>
      <vt:lpstr>Single_23210_4</vt:lpstr>
      <vt:lpstr>Single_23211_1</vt:lpstr>
      <vt:lpstr>Single_23211_2</vt:lpstr>
      <vt:lpstr>Single_23211_4</vt:lpstr>
      <vt:lpstr>Single_23213_1</vt:lpstr>
      <vt:lpstr>Single_23213_2</vt:lpstr>
      <vt:lpstr>Single_23213_4</vt:lpstr>
      <vt:lpstr>Single_23309_1</vt:lpstr>
      <vt:lpstr>Single_23309_2</vt:lpstr>
      <vt:lpstr>Single_23309_4</vt:lpstr>
      <vt:lpstr>Single_23310_1</vt:lpstr>
      <vt:lpstr>Single_23310_2</vt:lpstr>
      <vt:lpstr>Single_23310_4</vt:lpstr>
      <vt:lpstr>Single_23311_1</vt:lpstr>
      <vt:lpstr>Single_23311_2</vt:lpstr>
      <vt:lpstr>Single_23311_4</vt:lpstr>
      <vt:lpstr>Triple_11204_1</vt:lpstr>
      <vt:lpstr>Triple_11204_2</vt:lpstr>
      <vt:lpstr>Triple_12204_1</vt:lpstr>
      <vt:lpstr>Triple_12204_2</vt:lpstr>
      <vt:lpstr>Triple_21508_1</vt:lpstr>
      <vt:lpstr>Triple_21508_2</vt:lpstr>
      <vt:lpstr>Triple_21508_4</vt:lpstr>
      <vt:lpstr>Triple_23209_1</vt:lpstr>
      <vt:lpstr>Triple_23209_2</vt:lpstr>
      <vt:lpstr>Triple_23209_4</vt:lpstr>
      <vt:lpstr>Triple_23210_1</vt:lpstr>
      <vt:lpstr>Triple_23210_2</vt:lpstr>
      <vt:lpstr>Triple_23210_4</vt:lpstr>
      <vt:lpstr>Triple_23211_1</vt:lpstr>
      <vt:lpstr>Triple_23211_2</vt:lpstr>
      <vt:lpstr>Triple_23211_4</vt:lpstr>
      <vt:lpstr>Triple_23213_1</vt:lpstr>
      <vt:lpstr>Triple_23213_2</vt:lpstr>
      <vt:lpstr>Triple_23213_4</vt:lpstr>
      <vt:lpstr>Triple_23309_1</vt:lpstr>
      <vt:lpstr>Triple_23309_2</vt:lpstr>
      <vt:lpstr>Triple_23309_4</vt:lpstr>
      <vt:lpstr>Triple_23310_1</vt:lpstr>
      <vt:lpstr>Triple_23310_2</vt:lpstr>
      <vt:lpstr>Triple_23310_4</vt:lpstr>
      <vt:lpstr>Triple_23311_1</vt:lpstr>
      <vt:lpstr>Triple_23311_2</vt:lpstr>
      <vt:lpstr>Triple_23311_4</vt:lpstr>
      <vt:lpstr>XT_Double_1</vt:lpstr>
      <vt:lpstr>XT_Double_2</vt:lpstr>
      <vt:lpstr>XT_Double_4</vt:lpstr>
      <vt:lpstr>XT_Single_1</vt:lpstr>
      <vt:lpstr>XT_Single_2</vt:lpstr>
      <vt:lpstr>XT_Single_4</vt:lpstr>
      <vt:lpstr>XT_Triple_1</vt:lpstr>
      <vt:lpstr>XT_Triple_2</vt:lpstr>
      <vt:lpstr>XT_Triple_4</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Ext. Martinez, Joshua</cp:lastModifiedBy>
  <cp:revision/>
  <dcterms:created xsi:type="dcterms:W3CDTF">2024-10-17T13:49:07Z</dcterms:created>
  <dcterms:modified xsi:type="dcterms:W3CDTF">2025-10-24T19:25:53Z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0x010100516A5D9B687A874993984709F89C4FD3</vt:lpwstr>
  </property>
  <property fmtid="{D5CDD505-2E9C-101B-9397-08002B2CF9AE}" pid="3" name="MediaServiceImageTags">
    <vt:lpwstr/>
  </property>
</Properties>
</file>